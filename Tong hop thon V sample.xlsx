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admin\Downloads\ubnd\"/>
    </mc:Choice>
  </mc:AlternateContent>
  <xr:revisionPtr revIDLastSave="0" documentId="13_ncr:1_{832BAF80-3996-4723-8FF8-45E15751D2C5}" xr6:coauthVersionLast="47" xr6:coauthVersionMax="47" xr10:uidLastSave="{00000000-0000-0000-0000-000000000000}"/>
  <bookViews>
    <workbookView xWindow="-110" yWindow="-110" windowWidth="25820" windowHeight="14620" xr2:uid="{00000000-000D-0000-FFFF-FFFF00000000}"/>
  </bookViews>
  <sheets>
    <sheet name="File tổng" sheetId="1" r:id="rId1"/>
    <sheet name="check thong tin ho" sheetId="2" r:id="rId2"/>
  </sheets>
  <externalReferences>
    <externalReference r:id="rId3"/>
  </externalReferences>
  <definedNames>
    <definedName name="_a1" localSheetId="1" hidden="1">{"'Sheet1'!$L$16"}</definedName>
    <definedName name="_a1" hidden="1">{"'Sheet1'!$L$16"}</definedName>
    <definedName name="_Fill" hidden="1">#REF!</definedName>
    <definedName name="_xlnm._FilterDatabase" localSheetId="1" hidden="1">'check thong tin ho'!$A$1:$I$293</definedName>
    <definedName name="_xlnm._FilterDatabase" localSheetId="0" hidden="1">'File tổng'!$A$1:$AE$83</definedName>
    <definedName name="_Order1" hidden="1">255</definedName>
    <definedName name="_Order2" hidden="1">255</definedName>
    <definedName name="_Sort" hidden="1">#REF!</definedName>
    <definedName name="BDL.CÂY">'[1]DL. Cây 2026'!$B$4:$Z$1558</definedName>
    <definedName name="BDL.VKT">'[1]DL. VKT 2026'!$B$2:$AB$931</definedName>
    <definedName name="Cot.DT.TH">#REF!</definedName>
    <definedName name="Cot.HoTenChuHo">#REF!</definedName>
    <definedName name="Cot.SNK">#REF!</definedName>
    <definedName name="Cot.Sothua">#REF!</definedName>
    <definedName name="Cot.STT.ho">#REF!</definedName>
    <definedName name="Cot.TDT.ĐSD">#REF!</definedName>
    <definedName name="Cot.TLTH">#REF!</definedName>
    <definedName name="DL.Tong">#REF!</definedName>
    <definedName name="erge" localSheetId="1" hidden="1">{"'Sheet1'!$L$16"}</definedName>
    <definedName name="erge" hidden="1">{"'Sheet1'!$L$16"}</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1" hidden="1">{"'Sheet1'!$L$16"}</definedName>
    <definedName name="huy" hidden="1">{"'Sheet1'!$L$16"}</definedName>
    <definedName name="kl" localSheetId="1" hidden="1">{"'Sheet1'!$L$16"}</definedName>
    <definedName name="kl" hidden="1">{"'Sheet1'!$L$16"}</definedName>
    <definedName name="thklcongd" localSheetId="1" hidden="1">{"'Sheet1'!$L$16"}</definedName>
    <definedName name="thklcongd" hidden="1">{"'Sheet1'!$L$16"}</definedName>
    <definedName name="THTKS" localSheetId="1" hidden="1">{"'Sheet1'!$L$16"}</definedName>
    <definedName name="THTKS" hidden="1">{"'Sheet1'!$L$16"}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a="1"/>
  <c r="H62" i="1"/>
  <c r="Y62" i="1" s="1"/>
  <c r="Z62" i="1" s="1"/>
  <c r="J62" i="1"/>
  <c r="AA62" i="1"/>
  <c r="AB62" i="1"/>
  <c r="AD62" i="1"/>
  <c r="P64" i="1"/>
  <c r="N66" i="1"/>
  <c r="T66" i="1"/>
  <c r="T67" i="1"/>
  <c r="P68" i="1"/>
  <c r="P69" i="1"/>
  <c r="T69" i="1"/>
  <c r="P70" i="1"/>
  <c r="N70" i="1" s="1"/>
  <c r="T70" i="1" s="1"/>
  <c r="P71" i="1"/>
  <c r="N71" i="1" s="1"/>
  <c r="T71" i="1" s="1"/>
  <c r="P72" i="1"/>
  <c r="T72" i="1"/>
  <c r="H73" i="1"/>
  <c r="Y73" i="1" s="1"/>
  <c r="Z73" i="1" s="1"/>
  <c r="J73" i="1"/>
  <c r="AA73" i="1"/>
  <c r="AB73" i="1"/>
  <c r="AD73" i="1"/>
  <c r="P75" i="1"/>
  <c r="N77" i="1"/>
  <c r="T77" i="1"/>
  <c r="N78" i="1"/>
  <c r="T78" i="1"/>
  <c r="P79" i="1"/>
  <c r="P80" i="1"/>
  <c r="T80" i="1"/>
  <c r="P81" i="1"/>
  <c r="T81" i="1"/>
  <c r="P82" i="1"/>
  <c r="N82" i="1" s="1"/>
  <c r="T82" i="1" s="1"/>
  <c r="P83" i="1"/>
  <c r="N83" i="1" s="1"/>
  <c r="T83" i="1" s="1"/>
  <c r="H3" i="1"/>
  <c r="J3" i="1"/>
  <c r="H5" i="1"/>
  <c r="J5" i="1"/>
  <c r="E7" i="1"/>
  <c r="Y5" i="1"/>
  <c r="Z5" i="1" s="1"/>
  <c r="P48" i="1"/>
  <c r="P49" i="1"/>
  <c r="R56" i="1"/>
  <c r="T56" i="1" s="1"/>
  <c r="R42" i="1"/>
  <c r="T42" i="1" s="1"/>
  <c r="R25" i="1"/>
  <c r="T25" i="1" s="1"/>
  <c r="R11" i="1"/>
  <c r="P46" i="1"/>
  <c r="N28" i="1"/>
  <c r="T28" i="1" s="1"/>
  <c r="P16" i="1"/>
  <c r="P15" i="1"/>
  <c r="AA5" i="1"/>
  <c r="AB5" i="1"/>
  <c r="AD5" i="1"/>
  <c r="T46" i="1"/>
  <c r="N39" i="1"/>
  <c r="N54" i="1"/>
  <c r="R55" i="1"/>
  <c r="R24" i="1"/>
  <c r="N24" i="1"/>
  <c r="R43" i="1"/>
  <c r="R26" i="1"/>
  <c r="R44" i="1"/>
  <c r="R27" i="1"/>
  <c r="N10" i="1"/>
  <c r="R38" i="1"/>
  <c r="P52" i="1"/>
  <c r="P57" i="1" s="1"/>
  <c r="P60" i="1" s="1"/>
  <c r="N60" i="1" s="1"/>
  <c r="P36" i="1"/>
  <c r="P45" i="1" s="1"/>
  <c r="P22" i="1"/>
  <c r="P29" i="1" s="1"/>
  <c r="P32" i="1" s="1"/>
  <c r="N32" i="1" s="1"/>
  <c r="T32" i="1" s="1"/>
  <c r="R3" i="2" l="1" a="1"/>
  <c r="R2" i="2" a="1"/>
  <c r="R4" i="2" a="1"/>
  <c r="Q4" i="2" s="1"/>
  <c r="R5" i="2" a="1"/>
  <c r="Q5" i="2" s="1"/>
  <c r="R6" i="2" a="1"/>
  <c r="Q6" i="2" s="1"/>
  <c r="R8" i="2" a="1"/>
  <c r="Q8" i="2" s="1"/>
  <c r="R9" i="2" a="1"/>
  <c r="Q9" i="2" s="1"/>
  <c r="R7" i="2" a="1"/>
  <c r="Q7" i="2" s="1"/>
  <c r="T76" i="1"/>
  <c r="U73" i="1" s="1"/>
  <c r="T65" i="1"/>
  <c r="T68" i="1"/>
  <c r="V62" i="1" s="1"/>
  <c r="T79" i="1"/>
  <c r="Q3" i="2" l="1"/>
  <c r="Q2" i="2"/>
  <c r="U62" i="1"/>
  <c r="W62" i="1" s="1"/>
  <c r="AC62" i="1" s="1"/>
  <c r="AE62" i="1" s="1"/>
  <c r="T64" i="1"/>
  <c r="V73" i="1"/>
  <c r="W73" i="1" s="1"/>
  <c r="AC73" i="1" s="1"/>
  <c r="AE73" i="1" s="1"/>
  <c r="T75" i="1"/>
  <c r="T60" i="1" l="1"/>
  <c r="T59" i="1"/>
  <c r="P59" i="1"/>
  <c r="T58" i="1"/>
  <c r="P58" i="1"/>
  <c r="T55" i="1"/>
  <c r="T54" i="1"/>
  <c r="AD51" i="1"/>
  <c r="AB51" i="1"/>
  <c r="AA51" i="1"/>
  <c r="J51" i="1"/>
  <c r="H51" i="1"/>
  <c r="Y51" i="1" s="1"/>
  <c r="Z51" i="1" s="1"/>
  <c r="N50" i="1"/>
  <c r="T50" i="1" s="1"/>
  <c r="T49" i="1"/>
  <c r="T48" i="1"/>
  <c r="T47" i="1"/>
  <c r="P47" i="1"/>
  <c r="T44" i="1"/>
  <c r="T43" i="1"/>
  <c r="T41" i="1"/>
  <c r="T40" i="1"/>
  <c r="T39" i="1"/>
  <c r="N38" i="1"/>
  <c r="T38" i="1" s="1"/>
  <c r="AD35" i="1"/>
  <c r="AB35" i="1"/>
  <c r="AA35" i="1"/>
  <c r="J35" i="1"/>
  <c r="H35" i="1"/>
  <c r="Y35" i="1" s="1"/>
  <c r="Z35" i="1" s="1"/>
  <c r="T53" i="1" l="1"/>
  <c r="U51" i="1" s="1"/>
  <c r="T57" i="1"/>
  <c r="V51" i="1" s="1"/>
  <c r="T45" i="1"/>
  <c r="V35" i="1" s="1"/>
  <c r="T37" i="1"/>
  <c r="U35" i="1" s="1"/>
  <c r="T52" i="1" l="1"/>
  <c r="W51" i="1" s="1"/>
  <c r="AC51" i="1" s="1"/>
  <c r="AE51" i="1" s="1"/>
  <c r="T36" i="1"/>
  <c r="W35" i="1" s="1"/>
  <c r="AC35" i="1" s="1"/>
  <c r="AE35" i="1" s="1"/>
  <c r="T33" i="1" l="1"/>
  <c r="P33" i="1"/>
  <c r="T30" i="1"/>
  <c r="P30" i="1"/>
  <c r="P31" i="1" s="1"/>
  <c r="N31" i="1" s="1"/>
  <c r="T31" i="1" s="1"/>
  <c r="T27" i="1"/>
  <c r="T26" i="1"/>
  <c r="T24" i="1"/>
  <c r="AB21" i="1"/>
  <c r="AD19" i="1"/>
  <c r="AB19" i="1"/>
  <c r="AA19" i="1"/>
  <c r="J19" i="1"/>
  <c r="H19" i="1"/>
  <c r="Y19" i="1" s="1"/>
  <c r="Z19" i="1" s="1"/>
  <c r="AD17" i="1"/>
  <c r="AB17" i="1"/>
  <c r="AA17" i="1"/>
  <c r="J17" i="1"/>
  <c r="H17" i="1"/>
  <c r="Y17" i="1" s="1"/>
  <c r="Z17" i="1" s="1"/>
  <c r="T14" i="1"/>
  <c r="T16" i="1"/>
  <c r="T15" i="1"/>
  <c r="N12" i="1"/>
  <c r="T12" i="1" s="1"/>
  <c r="T11" i="1"/>
  <c r="T10" i="1"/>
  <c r="P8" i="1"/>
  <c r="P13" i="1" s="1"/>
  <c r="AD3" i="1"/>
  <c r="AB3" i="1"/>
  <c r="AA3" i="1"/>
  <c r="Y3" i="1"/>
  <c r="Z3" i="1" s="1"/>
  <c r="T13" i="1" l="1"/>
  <c r="V7" i="1" s="1"/>
  <c r="T23" i="1"/>
  <c r="T29" i="1"/>
  <c r="V21" i="1" s="1"/>
  <c r="AA7" i="1"/>
  <c r="AA21" i="1"/>
  <c r="AC21" i="1" s="1"/>
  <c r="AB7" i="1"/>
  <c r="T9" i="1"/>
  <c r="AC19" i="1" l="1"/>
  <c r="AE19" i="1" s="1"/>
  <c r="U21" i="1"/>
  <c r="AC5" i="1"/>
  <c r="AE5" i="1" s="1"/>
  <c r="U7" i="1"/>
  <c r="T22" i="1"/>
  <c r="AC17" i="1" s="1"/>
  <c r="AE17" i="1" s="1"/>
  <c r="AC7" i="1"/>
  <c r="T8" i="1"/>
  <c r="AC3" i="1" s="1"/>
  <c r="AE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<sst xmlns="http://schemas.openxmlformats.org/spreadsheetml/2006/main" count="316" uniqueCount="154">
  <si>
    <t>STT</t>
  </si>
  <si>
    <t>Tên chủ sử dụng đất</t>
  </si>
  <si>
    <t>Tên chủ tài sản</t>
  </si>
  <si>
    <t>Tổng diện tích ĐNN đang sử dụng (m2)</t>
  </si>
  <si>
    <t>Diện tích đất thu hồi (m2)</t>
  </si>
  <si>
    <t>Số tờ</t>
  </si>
  <si>
    <t>Số Thửa</t>
  </si>
  <si>
    <t>Tỷ lệ % thu hồi</t>
  </si>
  <si>
    <t>Giá đất</t>
  </si>
  <si>
    <t>Bồi thường về đất
(đồng)</t>
  </si>
  <si>
    <t>Hạng mục</t>
  </si>
  <si>
    <t>Quy cách đặc điểm</t>
  </si>
  <si>
    <t>ĐVT</t>
  </si>
  <si>
    <t xml:space="preserve">Khối lượng </t>
  </si>
  <si>
    <t>Mật độ (m2/cây)</t>
  </si>
  <si>
    <t>Diện tích mật độ (m2)</t>
  </si>
  <si>
    <t>Tỷ lệ % chất lượng còn lại</t>
  </si>
  <si>
    <t>Đơn giá (đồng)</t>
  </si>
  <si>
    <t>Tỷ lệ BTHT (%)</t>
  </si>
  <si>
    <t xml:space="preserve">Thành tiền (đồng) </t>
  </si>
  <si>
    <t>BTHT tài sản, vật kiến trúc</t>
  </si>
  <si>
    <t>BTHT cây cối, hoa màu</t>
  </si>
  <si>
    <t>Tổng tiền bồi thường tài sản</t>
  </si>
  <si>
    <t>Số nhân khẩu</t>
  </si>
  <si>
    <t>Đơn giá gạo</t>
  </si>
  <si>
    <t>Thành tiền hỗ trợ gạo</t>
  </si>
  <si>
    <t xml:space="preserve">Hỗ trợ đào tạo, chuyển đổi nghề và tìm kiếm việc làm (đồng) </t>
  </si>
  <si>
    <t>Thưởng tiến độ</t>
  </si>
  <si>
    <t>Tổng tiền BT,HT chưa có hỗ trợ của CĐT</t>
  </si>
  <si>
    <t>Hỗ Trợ của CĐT dự án</t>
  </si>
  <si>
    <t xml:space="preserve">Tổng số tiền bồi thường, hỗ trợ được nhận (đồng) </t>
  </si>
  <si>
    <t>50</t>
  </si>
  <si>
    <t>298</t>
  </si>
  <si>
    <t/>
  </si>
  <si>
    <t>299</t>
  </si>
  <si>
    <t>298: 299</t>
  </si>
  <si>
    <t>Tổng 1+2</t>
  </si>
  <si>
    <t>1. Bồi thường, hỗ trợ công trình vật kiến trúc</t>
  </si>
  <si>
    <t>Cột tuýp sắt Ø34</t>
  </si>
  <si>
    <t>45 cột x 1,5m</t>
  </si>
  <si>
    <t>Kg</t>
  </si>
  <si>
    <t xml:space="preserve">Giếng khoan </t>
  </si>
  <si>
    <t>40m x 1 cái</t>
  </si>
  <si>
    <t>m</t>
  </si>
  <si>
    <t>Dây thép gai</t>
  </si>
  <si>
    <t>kg</t>
  </si>
  <si>
    <t>2. Bồi thường, hỗ trợ cây trồng vật nuôi</t>
  </si>
  <si>
    <t>Nhãn</t>
  </si>
  <si>
    <t>Cây</t>
  </si>
  <si>
    <t>Ao thả cá rô</t>
  </si>
  <si>
    <t>m2</t>
  </si>
  <si>
    <t>17</t>
  </si>
  <si>
    <t>16</t>
  </si>
  <si>
    <t>BBTS 01</t>
  </si>
  <si>
    <t>17: 16</t>
  </si>
  <si>
    <t>Cột tuýp sắt Ø27</t>
  </si>
  <si>
    <t>50m x 1 cái</t>
  </si>
  <si>
    <t>Ống nhựa PVC Ø48</t>
  </si>
  <si>
    <t>50m</t>
  </si>
  <si>
    <t>Ống nhựa PVC Ø34</t>
  </si>
  <si>
    <t>110m</t>
  </si>
  <si>
    <t>Hàng rào lưới B40</t>
  </si>
  <si>
    <t>Đinh lăng</t>
  </si>
  <si>
    <t>Rau xen canh</t>
  </si>
  <si>
    <t>450m2</t>
  </si>
  <si>
    <t>m3</t>
  </si>
  <si>
    <t>150m</t>
  </si>
  <si>
    <t>Bưởi</t>
  </si>
  <si>
    <t>Cột BTCT</t>
  </si>
  <si>
    <t>50% diện tích</t>
  </si>
  <si>
    <t>4</t>
  </si>
  <si>
    <t>Lều trông cây kết cấu thép</t>
  </si>
  <si>
    <t>Quây tôn, cao &gt;3m, kết cấu thép mái lợp tôn, kt 3mx3m</t>
  </si>
  <si>
    <t>Kích thước 200x1,5m</t>
  </si>
  <si>
    <t>160 Kg</t>
  </si>
  <si>
    <t xml:space="preserve">Cổng sắt 1 cánh </t>
  </si>
  <si>
    <t>Kt 2,5x2 m (30Kg)</t>
  </si>
  <si>
    <t>1cái x 50 m</t>
  </si>
  <si>
    <t>120m</t>
  </si>
  <si>
    <t>Cá rô</t>
  </si>
  <si>
    <t>885</t>
  </si>
  <si>
    <t>Kích thước 120x1,8m</t>
  </si>
  <si>
    <t>36 Kg</t>
  </si>
  <si>
    <t>688</t>
  </si>
  <si>
    <t>0,1 x 1,5 x 40 cột</t>
  </si>
  <si>
    <t xml:space="preserve">Dây thép gai </t>
  </si>
  <si>
    <t>840m</t>
  </si>
  <si>
    <t>70m2</t>
  </si>
  <si>
    <t>784</t>
  </si>
  <si>
    <t>cao 1,5 x 77 cột</t>
  </si>
  <si>
    <t>1,5 x 240m</t>
  </si>
  <si>
    <t>12cm ≤ đk gốc &lt; 20cm</t>
  </si>
  <si>
    <t>7cm ≤ đk gốc &lt; 12cm</t>
  </si>
  <si>
    <t>Cột tuýp sắt Ø48</t>
  </si>
  <si>
    <t>Nguyễn Văn Định</t>
  </si>
  <si>
    <t>20cm ≤ đk gốc ≤ 30cm</t>
  </si>
  <si>
    <t>đk gốc 20cm trở lên</t>
  </si>
  <si>
    <t>2cm &lt; đk gốc ≤ 4cm</t>
  </si>
  <si>
    <t>4cm &lt; đk gốc ≤ 8cm</t>
  </si>
  <si>
    <t>39 cột * 1,5m</t>
  </si>
  <si>
    <t>Đinh lăng vượt mật độ</t>
  </si>
  <si>
    <t>1,8m x 195m</t>
  </si>
  <si>
    <t>Nhãn vượt mật độ</t>
  </si>
  <si>
    <t>Ok</t>
  </si>
  <si>
    <t>OK</t>
  </si>
  <si>
    <t>dtth</t>
  </si>
  <si>
    <t>tong dt</t>
  </si>
  <si>
    <t>stt</t>
  </si>
  <si>
    <t>so sanh -&gt;</t>
  </si>
  <si>
    <t>thua</t>
  </si>
  <si>
    <t>to</t>
  </si>
  <si>
    <t>tongdt</t>
  </si>
  <si>
    <t>chuts</t>
  </si>
  <si>
    <t>chudat</t>
  </si>
  <si>
    <t>day la file lam -&gt;</t>
  </si>
  <si>
    <t>&lt;- day la data</t>
  </si>
  <si>
    <t>Nguyễn Văn A</t>
  </si>
  <si>
    <t>Lê Văn Hg</t>
  </si>
  <si>
    <t>Thửa 298 tờ 50, diện tích 876m2, Chủ tài sản Lê Văn Hg(BBTS 109)</t>
  </si>
  <si>
    <t>Lê Văn H</t>
  </si>
  <si>
    <t>Thửa 299 tờ 50, diện tích 720,4m2, Chủ tài sản Lê Văn Hg(BBTS kh thấy ở file exel)</t>
  </si>
  <si>
    <t>Thửa 298 tờ 50, diện tích 876m2. Chủ hộ :Nguyễn Văn A
Thửa 299 tờ 50, diện tích 720,4m2, Chủ hộ :Lê Văn H</t>
  </si>
  <si>
    <t>Lê Văn B</t>
  </si>
  <si>
    <t>Nguyễn Văn H</t>
  </si>
  <si>
    <t>Thửa 17 tờ 50, diện tích 672m2, Chủ tài sản Nguyễn Văn H(BBTS 01)</t>
  </si>
  <si>
    <t>Lê Thị X</t>
  </si>
  <si>
    <t>Thửa 16 tờ 50, diện tích 528m2, Chủ tài sản Nguyễn Văn H(BBTS 04</t>
  </si>
  <si>
    <t>Thửa 17 tờ 50, diện tích 672m2. Chủ hộ :Lê Văn B
Thửa 16 tờ 50, diện tích 528m2, Chủ hộ :Lê Thị X
Tổng diện tích canh tác 1200 m2</t>
  </si>
  <si>
    <t>Nguyễn Văn C</t>
  </si>
  <si>
    <t>Thửa 4 tờ 50, diện tích 1008m2. Chủ tài sản: Nguyễn Văn C</t>
  </si>
  <si>
    <t>Đào Ngọc T</t>
  </si>
  <si>
    <t>Đào Thị T H</t>
  </si>
  <si>
    <t>Lê Văn Đ</t>
  </si>
  <si>
    <t>Lê Văn T</t>
  </si>
  <si>
    <t>Thửa 688 tờ 50, diện tích 1356m2. Chủ tài sản: Lê Văn T</t>
  </si>
  <si>
    <t>Lê Đình K</t>
  </si>
  <si>
    <t>Lê Đình P</t>
  </si>
  <si>
    <t>Thửa 784 tờ 50, diện tích 1488m2. Chủ tài sản: Lê Đình P</t>
  </si>
  <si>
    <t>Nguyễn Văn A (đã chết)</t>
  </si>
  <si>
    <t>NguyễnThị N</t>
  </si>
  <si>
    <t>Lê Văn H; Nguyễn Thị V</t>
  </si>
  <si>
    <t>Nguyễn Thị N</t>
  </si>
  <si>
    <t>Lê Văn H; Nguyễn Thị T</t>
  </si>
  <si>
    <t>BBTS …</t>
  </si>
  <si>
    <t>Lê Văn B; Đinh Thị P</t>
  </si>
  <si>
    <t>Lã Văn N</t>
  </si>
  <si>
    <t>Lê Thị L</t>
  </si>
  <si>
    <t>Trần Thị T</t>
  </si>
  <si>
    <t>Thửa 885 tờ 50, diện tích 1000m2. Chủ tài sản: Đào Thị T H</t>
  </si>
  <si>
    <t>Lê Bá T</t>
  </si>
  <si>
    <t>Nguyễn Văn B; Nguyễn Thị U</t>
  </si>
  <si>
    <t>Nguyễn Văn B</t>
  </si>
  <si>
    <t>Lê Đức H; Đào Thị T</t>
  </si>
  <si>
    <t>Lê Đức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</si>
</sst>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_(* #,##0_);_(* \(#,##0\);_(* &quot;-&quot;??_);_(@_)"/>
    <numFmt numFmtId="166" formatCode="0.0%"/>
    <numFmt numFmtId="167" formatCode="_(* #,##0.0_);_(* \(#,##0.0\);_(* &quot;-&quot;??_);_(@_)"/>
    <numFmt numFmtId="168" formatCode="0.0"/>
  </numFmts>
  <fonts count="18"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2"/>
      <name val="Times New Roman"/>
      <family val="1"/>
    </font>
    <font>
      <sz val="12"/>
      <color theme="1"/>
      <name val="Times New Roman"/>
      <family val="1"/>
    </font>
    <font>
      <sz val="12"/>
      <name val="Times New Roman"/>
      <family val="1"/>
    </font>
    <font>
      <b/>
      <i/>
      <sz val="12"/>
      <name val="Times New Roman"/>
      <family val="1"/>
    </font>
    <font>
      <b/>
      <sz val="12"/>
      <color theme="1"/>
      <name val="Times New Roman"/>
      <family val="1"/>
    </font>
    <font>
      <b/>
      <sz val="12"/>
      <color rgb="FFFF0000"/>
      <name val="Times New Roman"/>
      <family val="1"/>
    </font>
    <font>
      <sz val="12"/>
      <color rgb="FFFF0000"/>
      <name val="Times New Roman"/>
      <family val="1"/>
    </font>
    <font>
      <sz val="10.5"/>
      <name val="Times New Roman"/>
      <family val="1"/>
    </font>
    <font>
      <sz val="10.5"/>
      <color theme="1"/>
      <name val="Times New Roman"/>
      <family val="1"/>
    </font>
    <font>
      <b/>
      <sz val="12"/>
      <color theme="1"/>
      <name val="Calibri"/>
      <family val="2"/>
      <scheme val="minor"/>
    </font>
    <font>
      <sz val="11"/>
      <color theme="1"/>
      <name val="Calibri"/>
      <family val="2"/>
      <charset val="163"/>
      <scheme val="minor"/>
    </font>
    <font>
      <sz val="11"/>
      <color theme="1"/>
      <name val="Calibri"/>
      <family val="2"/>
      <scheme val="minor"/>
    </font>
    <font>
      <sz val="11"/>
      <color theme="1"/>
      <name val="Times New Roman"/>
      <family val="1"/>
    </font>
    <font>
      <sz val="11"/>
      <color rgb="FF000000"/>
      <name val="Times New Roman"/>
      <family val="1"/>
    </font>
  </fonts>
  <fills count="8">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2" tint="-9.9978637043366805E-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s>
  <cellStyleXfs count="12">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0" fontId="14" fillId="0" borderId="0"/>
    <xf numFmtId="0" fontId="15" fillId="0" borderId="0"/>
    <xf numFmtId="0" fontId="3" fillId="0" borderId="0"/>
  </cellStyleXfs>
  <cellXfs count="182">
    <xf numFmtId="0" fontId="0" fillId="0" borderId="0" xfId="0"/>
    <xf numFmtId="0" fontId="4" fillId="6" borderId="1" xfId="0" applyFont="1" applyFill="1" applyBorder="1" applyAlignment="1">
      <alignment horizontal="left" vertical="center" wrapText="1"/>
    </xf>
    <xf numFmtId="167" fontId="7" fillId="6" borderId="1" xfId="1"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49" fontId="7" fillId="6" borderId="1" xfId="0" quotePrefix="1" applyNumberFormat="1" applyFont="1" applyFill="1" applyBorder="1" applyAlignment="1">
      <alignment horizontal="center" vertical="center" wrapText="1"/>
    </xf>
    <xf numFmtId="9" fontId="7" fillId="6" borderId="1" xfId="2" applyFont="1" applyFill="1" applyBorder="1" applyAlignment="1">
      <alignment horizontal="center" vertical="center" wrapText="1"/>
    </xf>
    <xf numFmtId="165" fontId="7" fillId="6" borderId="1" xfId="1" applyNumberFormat="1"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165" fontId="8" fillId="6" borderId="1" xfId="1" applyNumberFormat="1" applyFont="1" applyFill="1" applyBorder="1" applyAlignment="1">
      <alignment horizontal="center" vertical="center" wrapText="1"/>
    </xf>
    <xf numFmtId="0" fontId="6" fillId="6" borderId="1" xfId="0" applyFont="1" applyFill="1" applyBorder="1" applyAlignment="1">
      <alignment horizontal="left" vertical="center" wrapText="1"/>
    </xf>
    <xf numFmtId="0" fontId="4" fillId="6" borderId="1" xfId="0" applyFont="1" applyFill="1" applyBorder="1" applyAlignment="1">
      <alignment vertical="center" wrapText="1"/>
    </xf>
    <xf numFmtId="49" fontId="6" fillId="6" borderId="1" xfId="0" applyNumberFormat="1" applyFont="1" applyFill="1" applyBorder="1" applyAlignment="1">
      <alignment horizontal="center" vertical="center" wrapText="1"/>
    </xf>
    <xf numFmtId="167" fontId="4" fillId="6" borderId="1" xfId="1" applyNumberFormat="1" applyFont="1" applyFill="1" applyBorder="1" applyAlignment="1">
      <alignment horizontal="center" vertical="center" wrapText="1"/>
    </xf>
    <xf numFmtId="165" fontId="4" fillId="6" borderId="1" xfId="1" applyNumberFormat="1" applyFont="1" applyFill="1" applyBorder="1" applyAlignment="1">
      <alignment horizontal="center" vertical="center" wrapText="1"/>
    </xf>
    <xf numFmtId="0" fontId="6" fillId="6" borderId="1" xfId="0" applyFont="1" applyFill="1" applyBorder="1" applyAlignment="1">
      <alignment vertical="center" wrapText="1"/>
    </xf>
    <xf numFmtId="49" fontId="6" fillId="0" borderId="1" xfId="0" applyNumberFormat="1" applyFont="1" applyBorder="1" applyAlignment="1">
      <alignment horizontal="center" vertical="center" wrapText="1"/>
    </xf>
    <xf numFmtId="3" fontId="6" fillId="6" borderId="1" xfId="0" applyNumberFormat="1" applyFont="1" applyFill="1" applyBorder="1" applyAlignment="1">
      <alignment horizontal="center" vertical="center" wrapText="1"/>
    </xf>
    <xf numFmtId="2" fontId="6" fillId="6" borderId="1" xfId="0" applyNumberFormat="1" applyFont="1" applyFill="1" applyBorder="1" applyAlignment="1">
      <alignment horizontal="center" vertical="center" wrapText="1"/>
    </xf>
    <xf numFmtId="165" fontId="6" fillId="6" borderId="1" xfId="1"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166" fontId="4" fillId="4" borderId="1" xfId="5" applyNumberFormat="1" applyFont="1" applyFill="1" applyBorder="1" applyAlignment="1">
      <alignment horizontal="center" vertical="center" wrapText="1"/>
    </xf>
    <xf numFmtId="3" fontId="4" fillId="4" borderId="2" xfId="1" applyNumberFormat="1" applyFont="1" applyFill="1" applyBorder="1" applyAlignment="1">
      <alignment horizontal="center" vertical="center" wrapText="1"/>
    </xf>
    <xf numFmtId="165" fontId="4" fillId="4" borderId="2" xfId="4" applyNumberFormat="1" applyFont="1" applyFill="1" applyBorder="1" applyAlignment="1">
      <alignment horizontal="center" vertical="center" wrapText="1"/>
    </xf>
    <xf numFmtId="49" fontId="4" fillId="4" borderId="1" xfId="3" applyNumberFormat="1" applyFont="1" applyFill="1" applyBorder="1" applyAlignment="1">
      <alignment vertical="center" wrapText="1"/>
    </xf>
    <xf numFmtId="49" fontId="4" fillId="4" borderId="1" xfId="3" applyNumberFormat="1" applyFont="1" applyFill="1" applyBorder="1" applyAlignment="1">
      <alignment horizontal="center" vertical="center" wrapText="1"/>
    </xf>
    <xf numFmtId="3" fontId="4" fillId="4" borderId="1" xfId="3" applyNumberFormat="1" applyFont="1" applyFill="1" applyBorder="1" applyAlignment="1">
      <alignment horizontal="right" vertical="center" wrapText="1"/>
    </xf>
    <xf numFmtId="3" fontId="4" fillId="4" borderId="1" xfId="3" applyNumberFormat="1" applyFont="1" applyFill="1" applyBorder="1" applyAlignment="1">
      <alignment horizontal="center" vertical="center" wrapText="1"/>
    </xf>
    <xf numFmtId="3" fontId="4" fillId="4" borderId="1" xfId="4" applyNumberFormat="1" applyFont="1" applyFill="1" applyBorder="1" applyAlignment="1">
      <alignment horizontal="right" vertical="center" wrapText="1"/>
    </xf>
    <xf numFmtId="0" fontId="7" fillId="5" borderId="3" xfId="3" applyFont="1" applyFill="1" applyBorder="1" applyAlignment="1">
      <alignment horizontal="center" vertical="center" wrapText="1"/>
    </xf>
    <xf numFmtId="0" fontId="4" fillId="5" borderId="1" xfId="3" applyFont="1" applyFill="1" applyBorder="1" applyAlignment="1">
      <alignment horizontal="center" vertical="center" wrapText="1"/>
    </xf>
    <xf numFmtId="0" fontId="7" fillId="5" borderId="1" xfId="3" applyFont="1" applyFill="1" applyBorder="1" applyAlignment="1">
      <alignment horizontal="center" vertical="center" wrapText="1"/>
    </xf>
    <xf numFmtId="165" fontId="7" fillId="5" borderId="2" xfId="1" applyNumberFormat="1" applyFont="1" applyFill="1" applyBorder="1" applyAlignment="1">
      <alignment horizontal="center" vertical="center" wrapText="1"/>
    </xf>
    <xf numFmtId="0" fontId="7" fillId="5" borderId="2" xfId="3" applyFont="1" applyFill="1" applyBorder="1" applyAlignment="1">
      <alignment horizontal="center" vertical="center" wrapText="1"/>
    </xf>
    <xf numFmtId="165" fontId="4" fillId="5" borderId="1" xfId="4" applyNumberFormat="1" applyFont="1" applyFill="1" applyBorder="1" applyAlignment="1">
      <alignment horizontal="center" vertical="center" wrapText="1"/>
    </xf>
    <xf numFmtId="49" fontId="7" fillId="5" borderId="1" xfId="3" applyNumberFormat="1" applyFont="1" applyFill="1" applyBorder="1" applyAlignment="1">
      <alignment horizontal="center" vertical="center" wrapText="1"/>
    </xf>
    <xf numFmtId="3" fontId="4" fillId="4" borderId="1" xfId="0" applyNumberFormat="1" applyFont="1" applyFill="1" applyBorder="1" applyAlignment="1">
      <alignment horizontal="center" vertical="center" wrapText="1"/>
    </xf>
    <xf numFmtId="9" fontId="6" fillId="6" borderId="1" xfId="2" applyFont="1" applyFill="1" applyBorder="1" applyAlignment="1">
      <alignment horizontal="center" vertical="center" wrapText="1"/>
    </xf>
    <xf numFmtId="3" fontId="4" fillId="2" borderId="1" xfId="3" applyNumberFormat="1" applyFont="1" applyFill="1" applyBorder="1" applyAlignment="1">
      <alignment horizontal="center" vertical="center" wrapText="1"/>
    </xf>
    <xf numFmtId="3" fontId="4" fillId="2" borderId="1" xfId="3" applyNumberFormat="1" applyFont="1" applyFill="1" applyBorder="1" applyAlignment="1">
      <alignment horizontal="left" vertical="center" wrapText="1"/>
    </xf>
    <xf numFmtId="0" fontId="4" fillId="2" borderId="1" xfId="3" applyFont="1" applyFill="1" applyBorder="1" applyAlignment="1">
      <alignment horizontal="center" vertical="center" wrapText="1"/>
    </xf>
    <xf numFmtId="9" fontId="4" fillId="2" borderId="1" xfId="5" applyFont="1" applyFill="1" applyBorder="1" applyAlignment="1">
      <alignment horizontal="center" vertical="center" wrapText="1"/>
    </xf>
    <xf numFmtId="165" fontId="4" fillId="2" borderId="2" xfId="1" applyNumberFormat="1" applyFont="1" applyFill="1" applyBorder="1" applyAlignment="1">
      <alignment horizontal="center" vertical="center" wrapText="1"/>
    </xf>
    <xf numFmtId="165" fontId="4" fillId="2" borderId="2" xfId="4" applyNumberFormat="1" applyFont="1" applyFill="1" applyBorder="1" applyAlignment="1">
      <alignment horizontal="center" vertical="center" wrapText="1"/>
    </xf>
    <xf numFmtId="9" fontId="4" fillId="2" borderId="1" xfId="2" applyFont="1" applyFill="1" applyBorder="1" applyAlignment="1">
      <alignment horizontal="center" vertical="center" wrapText="1"/>
    </xf>
    <xf numFmtId="165" fontId="4" fillId="2" borderId="1" xfId="4" applyNumberFormat="1" applyFont="1" applyFill="1" applyBorder="1" applyAlignment="1">
      <alignment horizontal="center" vertical="center" wrapText="1"/>
    </xf>
    <xf numFmtId="0" fontId="2" fillId="0" borderId="0" xfId="0" applyFont="1"/>
    <xf numFmtId="0" fontId="2" fillId="3" borderId="0" xfId="0" applyFont="1" applyFill="1"/>
    <xf numFmtId="0" fontId="4" fillId="4" borderId="1" xfId="3" applyFont="1" applyFill="1" applyBorder="1" applyAlignment="1">
      <alignment horizontal="left" vertical="center" wrapText="1"/>
    </xf>
    <xf numFmtId="0" fontId="7" fillId="5" borderId="1" xfId="3" applyFont="1" applyFill="1" applyBorder="1" applyAlignment="1">
      <alignment horizontal="left" vertical="center" wrapText="1"/>
    </xf>
    <xf numFmtId="3" fontId="6" fillId="4" borderId="1" xfId="0" applyNumberFormat="1" applyFont="1" applyFill="1" applyBorder="1" applyAlignment="1">
      <alignment horizontal="center" vertical="center" wrapText="1"/>
    </xf>
    <xf numFmtId="165" fontId="6" fillId="4" borderId="1" xfId="1" applyNumberFormat="1" applyFont="1" applyFill="1" applyBorder="1" applyAlignment="1">
      <alignment horizontal="center" vertical="center" wrapText="1"/>
    </xf>
    <xf numFmtId="49" fontId="6" fillId="6" borderId="1" xfId="1" applyNumberFormat="1" applyFont="1" applyFill="1" applyBorder="1" applyAlignment="1">
      <alignment horizontal="center" vertical="center" wrapText="1"/>
    </xf>
    <xf numFmtId="9" fontId="6" fillId="6" borderId="1" xfId="7" applyFont="1" applyFill="1" applyBorder="1" applyAlignment="1">
      <alignment horizontal="center" vertical="center" wrapText="1"/>
    </xf>
    <xf numFmtId="0" fontId="4" fillId="4" borderId="1" xfId="3"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49" fontId="11" fillId="6" borderId="1" xfId="0" applyNumberFormat="1" applyFont="1" applyFill="1" applyBorder="1" applyAlignment="1">
      <alignment vertical="center" wrapText="1"/>
    </xf>
    <xf numFmtId="0" fontId="4" fillId="2" borderId="1" xfId="4" applyNumberFormat="1" applyFont="1" applyFill="1" applyBorder="1" applyAlignment="1">
      <alignment horizontal="center" vertical="center" wrapText="1"/>
    </xf>
    <xf numFmtId="0" fontId="2" fillId="0" borderId="0" xfId="0" applyFont="1" applyAlignment="1">
      <alignment horizontal="center"/>
    </xf>
    <xf numFmtId="0" fontId="13" fillId="0" borderId="0" xfId="0" applyFont="1"/>
    <xf numFmtId="0" fontId="13" fillId="3" borderId="0" xfId="0" applyFont="1" applyFill="1" applyAlignment="1">
      <alignment wrapText="1"/>
    </xf>
    <xf numFmtId="0" fontId="2" fillId="3" borderId="0" xfId="0" applyFont="1" applyFill="1" applyAlignment="1">
      <alignment wrapText="1"/>
    </xf>
    <xf numFmtId="9" fontId="6" fillId="4" borderId="1" xfId="2" applyFont="1" applyFill="1" applyBorder="1" applyAlignment="1">
      <alignment horizontal="center" vertical="center" wrapText="1"/>
    </xf>
    <xf numFmtId="3" fontId="7" fillId="5" borderId="1" xfId="3" applyNumberFormat="1" applyFont="1" applyFill="1" applyBorder="1" applyAlignment="1">
      <alignment horizontal="center" vertical="center" wrapText="1"/>
    </xf>
    <xf numFmtId="9" fontId="6" fillId="5" borderId="1" xfId="2" applyFont="1" applyFill="1" applyBorder="1" applyAlignment="1">
      <alignment horizontal="center" vertical="center" wrapText="1"/>
    </xf>
    <xf numFmtId="3" fontId="4" fillId="5" borderId="1" xfId="3" applyNumberFormat="1" applyFont="1" applyFill="1" applyBorder="1" applyAlignment="1">
      <alignment horizontal="right" vertical="center" wrapText="1"/>
    </xf>
    <xf numFmtId="3" fontId="7" fillId="5" borderId="1" xfId="3" applyNumberFormat="1" applyFont="1" applyFill="1" applyBorder="1" applyAlignment="1">
      <alignment horizontal="right" vertical="center" wrapText="1"/>
    </xf>
    <xf numFmtId="10" fontId="6" fillId="4" borderId="1" xfId="2" applyNumberFormat="1" applyFont="1" applyFill="1" applyBorder="1" applyAlignment="1">
      <alignment horizontal="center" vertical="center" wrapText="1"/>
    </xf>
    <xf numFmtId="165" fontId="4" fillId="4" borderId="1" xfId="1"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167" fontId="6" fillId="4" borderId="1" xfId="1" applyNumberFormat="1" applyFont="1" applyFill="1" applyBorder="1" applyAlignment="1">
      <alignment horizontal="center" vertical="center" wrapText="1"/>
    </xf>
    <xf numFmtId="165" fontId="5" fillId="4" borderId="1" xfId="1" applyNumberFormat="1" applyFont="1" applyFill="1" applyBorder="1" applyAlignment="1">
      <alignment vertical="center" wrapText="1"/>
    </xf>
    <xf numFmtId="165" fontId="6" fillId="4" borderId="1" xfId="1" applyNumberFormat="1" applyFont="1" applyFill="1" applyBorder="1" applyAlignment="1">
      <alignment horizontal="right" vertical="center" wrapText="1"/>
    </xf>
    <xf numFmtId="3" fontId="4" fillId="4" borderId="1" xfId="0" applyNumberFormat="1" applyFont="1" applyFill="1" applyBorder="1" applyAlignment="1">
      <alignment horizontal="right" vertical="center" wrapText="1"/>
    </xf>
    <xf numFmtId="3" fontId="6" fillId="4" borderId="1" xfId="0" applyNumberFormat="1" applyFont="1" applyFill="1" applyBorder="1" applyAlignment="1">
      <alignment horizontal="right" vertical="center" wrapText="1"/>
    </xf>
    <xf numFmtId="165" fontId="7" fillId="6" borderId="1" xfId="1" applyNumberFormat="1" applyFont="1" applyFill="1" applyBorder="1" applyAlignment="1">
      <alignment vertical="center" wrapText="1"/>
    </xf>
    <xf numFmtId="9" fontId="4" fillId="6" borderId="1" xfId="2" applyFont="1" applyFill="1" applyBorder="1" applyAlignment="1">
      <alignment horizontal="center" vertical="center" wrapText="1"/>
    </xf>
    <xf numFmtId="3" fontId="7" fillId="6" borderId="1" xfId="0" applyNumberFormat="1" applyFont="1" applyFill="1" applyBorder="1" applyAlignment="1">
      <alignment horizontal="right" vertical="center" wrapText="1"/>
    </xf>
    <xf numFmtId="10" fontId="6" fillId="6" borderId="1" xfId="2" applyNumberFormat="1" applyFont="1" applyFill="1" applyBorder="1" applyAlignment="1">
      <alignment horizontal="center" vertical="center" wrapText="1"/>
    </xf>
    <xf numFmtId="165" fontId="4" fillId="6" borderId="1" xfId="1" applyNumberFormat="1" applyFont="1" applyFill="1" applyBorder="1" applyAlignment="1">
      <alignment horizontal="right" vertical="center" wrapText="1"/>
    </xf>
    <xf numFmtId="3" fontId="4" fillId="6" borderId="1" xfId="0" applyNumberFormat="1" applyFont="1" applyFill="1" applyBorder="1" applyAlignment="1">
      <alignment horizontal="right" vertical="center" wrapText="1"/>
    </xf>
    <xf numFmtId="3" fontId="6" fillId="6" borderId="1" xfId="0" applyNumberFormat="1" applyFont="1" applyFill="1" applyBorder="1" applyAlignment="1">
      <alignment horizontal="right" vertical="center" wrapText="1"/>
    </xf>
    <xf numFmtId="165" fontId="6" fillId="6" borderId="1" xfId="6" applyNumberFormat="1" applyFont="1" applyFill="1" applyBorder="1" applyAlignment="1">
      <alignment vertical="center" wrapText="1"/>
    </xf>
    <xf numFmtId="3" fontId="6" fillId="6" borderId="1" xfId="3" applyNumberFormat="1" applyFont="1" applyFill="1" applyBorder="1" applyAlignment="1">
      <alignment horizontal="right" vertical="center" wrapText="1"/>
    </xf>
    <xf numFmtId="165" fontId="6" fillId="6" borderId="1" xfId="1" applyNumberFormat="1" applyFont="1" applyFill="1" applyBorder="1" applyAlignment="1">
      <alignment vertical="center" wrapText="1"/>
    </xf>
    <xf numFmtId="9" fontId="10" fillId="6" borderId="1" xfId="2" applyFont="1" applyFill="1" applyBorder="1" applyAlignment="1">
      <alignment horizontal="center" vertical="center" wrapText="1"/>
    </xf>
    <xf numFmtId="165" fontId="6" fillId="6" borderId="1" xfId="1" applyNumberFormat="1" applyFont="1" applyFill="1" applyBorder="1" applyAlignment="1">
      <alignment horizontal="right" vertical="center" wrapText="1"/>
    </xf>
    <xf numFmtId="165" fontId="5" fillId="6" borderId="1" xfId="1" applyNumberFormat="1" applyFont="1" applyFill="1" applyBorder="1" applyAlignment="1">
      <alignment vertical="center" wrapText="1"/>
    </xf>
    <xf numFmtId="49" fontId="4" fillId="6" borderId="1" xfId="0" applyNumberFormat="1" applyFont="1" applyFill="1" applyBorder="1" applyAlignment="1">
      <alignment vertical="center" wrapText="1"/>
    </xf>
    <xf numFmtId="165" fontId="5" fillId="0" borderId="1" xfId="1" applyNumberFormat="1" applyFont="1" applyBorder="1" applyAlignment="1">
      <alignment vertical="center" wrapText="1"/>
    </xf>
    <xf numFmtId="165" fontId="4" fillId="6" borderId="1" xfId="1" applyNumberFormat="1" applyFont="1" applyFill="1" applyBorder="1" applyAlignment="1">
      <alignment vertical="center" wrapText="1"/>
    </xf>
    <xf numFmtId="165" fontId="4" fillId="6" borderId="1" xfId="6" applyNumberFormat="1" applyFont="1" applyFill="1" applyBorder="1" applyAlignment="1">
      <alignment vertical="center" wrapText="1"/>
    </xf>
    <xf numFmtId="165" fontId="6" fillId="6" borderId="2" xfId="1" applyNumberFormat="1" applyFont="1" applyFill="1" applyBorder="1" applyAlignment="1">
      <alignment horizontal="center" vertical="center" wrapText="1"/>
    </xf>
    <xf numFmtId="165" fontId="4" fillId="6" borderId="2" xfId="1"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2" fillId="4" borderId="0" xfId="0" applyFont="1" applyFill="1"/>
    <xf numFmtId="0" fontId="7" fillId="2" borderId="3" xfId="3" applyFont="1" applyFill="1" applyBorder="1" applyAlignment="1">
      <alignment horizontal="center" vertical="center" wrapText="1"/>
    </xf>
    <xf numFmtId="0" fontId="7" fillId="2" borderId="1" xfId="3" applyFont="1" applyFill="1" applyBorder="1" applyAlignment="1">
      <alignment horizontal="left" vertical="center" wrapText="1"/>
    </xf>
    <xf numFmtId="0" fontId="7" fillId="2" borderId="1" xfId="3" applyFont="1" applyFill="1" applyBorder="1" applyAlignment="1">
      <alignment horizontal="center" vertical="center" wrapText="1"/>
    </xf>
    <xf numFmtId="165" fontId="7" fillId="2" borderId="2" xfId="1" applyNumberFormat="1" applyFont="1" applyFill="1" applyBorder="1" applyAlignment="1">
      <alignment horizontal="center" vertical="center" wrapText="1"/>
    </xf>
    <xf numFmtId="0" fontId="7" fillId="2" borderId="2" xfId="3" applyFont="1" applyFill="1" applyBorder="1" applyAlignment="1">
      <alignment horizontal="center" vertical="center" wrapText="1"/>
    </xf>
    <xf numFmtId="49" fontId="7" fillId="2" borderId="1" xfId="3" applyNumberFormat="1" applyFont="1" applyFill="1" applyBorder="1" applyAlignment="1">
      <alignment horizontal="center" vertical="center" wrapText="1"/>
    </xf>
    <xf numFmtId="3" fontId="7" fillId="2" borderId="1" xfId="3" applyNumberFormat="1" applyFont="1" applyFill="1" applyBorder="1" applyAlignment="1">
      <alignment horizontal="center" vertical="center" wrapText="1"/>
    </xf>
    <xf numFmtId="9" fontId="6" fillId="2" borderId="1" xfId="2" applyFont="1" applyFill="1" applyBorder="1" applyAlignment="1">
      <alignment horizontal="center" vertical="center" wrapText="1"/>
    </xf>
    <xf numFmtId="3" fontId="4" fillId="2" borderId="1" xfId="3" applyNumberFormat="1" applyFont="1" applyFill="1" applyBorder="1" applyAlignment="1">
      <alignment horizontal="right" vertical="center" wrapText="1"/>
    </xf>
    <xf numFmtId="3" fontId="7" fillId="2" borderId="1" xfId="3" applyNumberFormat="1" applyFont="1" applyFill="1" applyBorder="1" applyAlignment="1">
      <alignment horizontal="right" vertical="center" wrapText="1"/>
    </xf>
    <xf numFmtId="0" fontId="2" fillId="2" borderId="0" xfId="0" applyFont="1" applyFill="1"/>
    <xf numFmtId="0" fontId="2" fillId="0" borderId="0" xfId="0" applyFont="1" applyAlignment="1">
      <alignment wrapText="1"/>
    </xf>
    <xf numFmtId="3" fontId="4" fillId="2" borderId="1" xfId="3" applyNumberFormat="1" applyFont="1" applyFill="1" applyBorder="1" applyAlignment="1">
      <alignment horizontal="right" vertical="top" wrapText="1"/>
    </xf>
    <xf numFmtId="3" fontId="4" fillId="4" borderId="1" xfId="3" applyNumberFormat="1" applyFont="1" applyFill="1" applyBorder="1" applyAlignment="1">
      <alignment horizontal="right" vertical="top" wrapText="1"/>
    </xf>
    <xf numFmtId="3" fontId="7" fillId="5" borderId="1" xfId="3" applyNumberFormat="1" applyFont="1" applyFill="1" applyBorder="1" applyAlignment="1">
      <alignment horizontal="right" vertical="top" wrapText="1"/>
    </xf>
    <xf numFmtId="3" fontId="7" fillId="2" borderId="1" xfId="3" applyNumberFormat="1" applyFont="1" applyFill="1" applyBorder="1" applyAlignment="1">
      <alignment horizontal="right" vertical="top" wrapText="1"/>
    </xf>
    <xf numFmtId="3" fontId="6" fillId="6" borderId="1" xfId="6" applyNumberFormat="1" applyFont="1" applyFill="1" applyBorder="1" applyAlignment="1">
      <alignment horizontal="right" vertical="top" wrapText="1"/>
    </xf>
    <xf numFmtId="3" fontId="6" fillId="6" borderId="1" xfId="0" applyNumberFormat="1" applyFont="1" applyFill="1" applyBorder="1" applyAlignment="1">
      <alignment horizontal="right" vertical="top" wrapText="1"/>
    </xf>
    <xf numFmtId="9" fontId="6" fillId="6" borderId="1" xfId="1" applyNumberFormat="1" applyFont="1" applyFill="1" applyBorder="1" applyAlignment="1">
      <alignment horizontal="center" vertical="center" wrapText="1"/>
    </xf>
    <xf numFmtId="0" fontId="10"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0" fontId="7" fillId="5" borderId="1" xfId="4" applyNumberFormat="1" applyFont="1" applyFill="1" applyBorder="1" applyAlignment="1">
      <alignment horizontal="center" vertical="center" wrapText="1"/>
    </xf>
    <xf numFmtId="0" fontId="7" fillId="2" borderId="1" xfId="4" applyNumberFormat="1" applyFont="1" applyFill="1" applyBorder="1" applyAlignment="1">
      <alignment horizontal="center" vertical="center" wrapText="1"/>
    </xf>
    <xf numFmtId="0" fontId="8" fillId="4" borderId="1" xfId="1" applyNumberFormat="1" applyFont="1" applyFill="1" applyBorder="1" applyAlignment="1">
      <alignment horizontal="center" vertical="center" wrapText="1"/>
    </xf>
    <xf numFmtId="0" fontId="7" fillId="6" borderId="1" xfId="1" applyNumberFormat="1" applyFont="1" applyFill="1" applyBorder="1" applyAlignment="1">
      <alignment horizontal="center" vertical="center" wrapText="1"/>
    </xf>
    <xf numFmtId="0" fontId="6" fillId="6" borderId="1" xfId="1" applyNumberFormat="1"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0" fontId="1" fillId="0" borderId="0" xfId="0" applyFont="1"/>
    <xf numFmtId="0" fontId="1" fillId="3" borderId="0" xfId="0" applyFont="1" applyFill="1"/>
    <xf numFmtId="0" fontId="4" fillId="4" borderId="1" xfId="4"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4" borderId="1" xfId="5" applyNumberFormat="1" applyFont="1" applyFill="1" applyBorder="1" applyAlignment="1">
      <alignment horizontal="center" vertical="center" wrapText="1"/>
    </xf>
    <xf numFmtId="0" fontId="1" fillId="3" borderId="0" xfId="0" applyFont="1" applyFill="1" applyAlignment="1">
      <alignment wrapText="1"/>
    </xf>
    <xf numFmtId="0" fontId="4" fillId="5" borderId="0" xfId="3" applyFont="1" applyFill="1" applyAlignment="1">
      <alignment vertical="center" wrapText="1"/>
    </xf>
    <xf numFmtId="0" fontId="4" fillId="6" borderId="1" xfId="1" applyNumberFormat="1" applyFont="1" applyFill="1" applyBorder="1" applyAlignment="1">
      <alignment vertical="center" wrapText="1"/>
    </xf>
    <xf numFmtId="0" fontId="4" fillId="6" borderId="1" xfId="6" applyNumberFormat="1" applyFont="1" applyFill="1" applyBorder="1" applyAlignment="1">
      <alignment vertical="center" wrapText="1"/>
    </xf>
    <xf numFmtId="3" fontId="5" fillId="4" borderId="1" xfId="1" applyNumberFormat="1" applyFont="1" applyFill="1" applyBorder="1" applyAlignment="1">
      <alignment vertical="center" wrapText="1"/>
    </xf>
    <xf numFmtId="3" fontId="4" fillId="6" borderId="1" xfId="1" applyNumberFormat="1" applyFont="1" applyFill="1" applyBorder="1" applyAlignment="1">
      <alignment vertical="center" wrapText="1"/>
    </xf>
    <xf numFmtId="3" fontId="9" fillId="6" borderId="1" xfId="1" applyNumberFormat="1" applyFont="1" applyFill="1" applyBorder="1" applyAlignment="1">
      <alignment horizontal="center" vertical="center" wrapText="1"/>
    </xf>
    <xf numFmtId="3" fontId="6" fillId="6" borderId="1" xfId="1" applyNumberFormat="1" applyFont="1" applyFill="1" applyBorder="1" applyAlignment="1">
      <alignment vertical="center" wrapText="1"/>
    </xf>
    <xf numFmtId="3" fontId="6" fillId="6" borderId="1" xfId="1" applyNumberFormat="1" applyFont="1" applyFill="1" applyBorder="1" applyAlignment="1">
      <alignment horizontal="center" vertical="center" wrapText="1"/>
    </xf>
    <xf numFmtId="3" fontId="5" fillId="6" borderId="1" xfId="1" applyNumberFormat="1" applyFont="1" applyFill="1" applyBorder="1" applyAlignment="1">
      <alignment vertical="center" wrapText="1"/>
    </xf>
    <xf numFmtId="3" fontId="1" fillId="0" borderId="0" xfId="0" applyNumberFormat="1" applyFont="1"/>
    <xf numFmtId="0" fontId="4" fillId="2" borderId="1" xfId="0" applyFont="1" applyFill="1" applyBorder="1" applyAlignment="1">
      <alignment horizontal="center" vertical="center" wrapText="1"/>
    </xf>
    <xf numFmtId="3" fontId="1" fillId="3" borderId="0" xfId="0" applyNumberFormat="1" applyFont="1" applyFill="1" applyAlignment="1">
      <alignment wrapText="1"/>
    </xf>
    <xf numFmtId="3" fontId="2" fillId="3" borderId="0" xfId="0" applyNumberFormat="1" applyFont="1" applyFill="1" applyAlignment="1">
      <alignment horizontal="right" vertical="top" wrapText="1"/>
    </xf>
    <xf numFmtId="3" fontId="6" fillId="4" borderId="1" xfId="1" applyNumberFormat="1" applyFont="1" applyFill="1" applyBorder="1" applyAlignment="1">
      <alignment horizontal="right" vertical="top" wrapText="1"/>
    </xf>
    <xf numFmtId="3" fontId="7" fillId="6" borderId="1" xfId="0" applyNumberFormat="1" applyFont="1" applyFill="1" applyBorder="1" applyAlignment="1">
      <alignment horizontal="right" vertical="top" wrapText="1"/>
    </xf>
    <xf numFmtId="3" fontId="4" fillId="6" borderId="1" xfId="0" applyNumberFormat="1" applyFont="1" applyFill="1" applyBorder="1" applyAlignment="1">
      <alignment horizontal="right" vertical="top" wrapText="1"/>
    </xf>
    <xf numFmtId="3" fontId="5" fillId="0" borderId="1" xfId="6" applyNumberFormat="1" applyFont="1" applyBorder="1" applyAlignment="1">
      <alignment horizontal="right" vertical="top" wrapText="1"/>
    </xf>
    <xf numFmtId="3" fontId="5" fillId="0" borderId="4" xfId="6" applyNumberFormat="1" applyFont="1" applyBorder="1" applyAlignment="1">
      <alignment horizontal="right" vertical="top" wrapText="1"/>
    </xf>
    <xf numFmtId="3" fontId="5" fillId="0" borderId="5" xfId="6" applyNumberFormat="1" applyFont="1" applyBorder="1" applyAlignment="1">
      <alignment horizontal="right" vertical="top" wrapText="1"/>
    </xf>
    <xf numFmtId="3" fontId="12" fillId="0" borderId="1" xfId="1" applyNumberFormat="1" applyFont="1" applyBorder="1" applyAlignment="1">
      <alignment horizontal="right" vertical="top" wrapText="1"/>
    </xf>
    <xf numFmtId="3" fontId="6" fillId="6" borderId="1" xfId="1" applyNumberFormat="1" applyFont="1" applyFill="1" applyBorder="1" applyAlignment="1">
      <alignment horizontal="right" vertical="top" wrapText="1"/>
    </xf>
    <xf numFmtId="3" fontId="2" fillId="0" borderId="0" xfId="0" applyNumberFormat="1" applyFont="1" applyAlignment="1">
      <alignment horizontal="right" vertical="top"/>
    </xf>
    <xf numFmtId="9" fontId="2" fillId="3" borderId="0" xfId="0" applyNumberFormat="1" applyFont="1" applyFill="1" applyAlignment="1">
      <alignment wrapText="1"/>
    </xf>
    <xf numFmtId="9" fontId="4" fillId="4" borderId="1" xfId="5" applyFont="1" applyFill="1" applyBorder="1" applyAlignment="1">
      <alignment horizontal="center" vertical="center" wrapText="1"/>
    </xf>
    <xf numFmtId="9" fontId="4" fillId="5" borderId="1" xfId="5" applyFont="1" applyFill="1" applyBorder="1" applyAlignment="1">
      <alignment horizontal="center" vertical="center" wrapText="1"/>
    </xf>
    <xf numFmtId="9" fontId="6" fillId="4" borderId="1" xfId="1" applyNumberFormat="1" applyFont="1" applyFill="1" applyBorder="1" applyAlignment="1">
      <alignment horizontal="center" vertical="center" wrapText="1"/>
    </xf>
    <xf numFmtId="9" fontId="7" fillId="6" borderId="1" xfId="1" applyNumberFormat="1" applyFont="1" applyFill="1" applyBorder="1" applyAlignment="1">
      <alignment horizontal="center" vertical="center" wrapText="1"/>
    </xf>
    <xf numFmtId="9" fontId="6" fillId="0" borderId="1" xfId="2" applyFont="1" applyFill="1" applyBorder="1" applyAlignment="1">
      <alignment horizontal="center" vertical="center" wrapText="1"/>
    </xf>
    <xf numFmtId="9" fontId="2" fillId="0" borderId="0" xfId="0" applyNumberFormat="1" applyFont="1"/>
    <xf numFmtId="0" fontId="3" fillId="0" borderId="0" xfId="11"/>
    <xf numFmtId="168" fontId="16" fillId="0" borderId="6" xfId="11" applyNumberFormat="1" applyFont="1" applyBorder="1" applyAlignment="1">
      <alignment horizontal="right" vertical="center" wrapText="1"/>
    </xf>
    <xf numFmtId="0" fontId="16" fillId="0" borderId="6" xfId="11" applyFont="1" applyBorder="1" applyAlignment="1">
      <alignment vertical="center" wrapText="1"/>
    </xf>
    <xf numFmtId="1" fontId="16" fillId="0" borderId="6" xfId="11" applyNumberFormat="1" applyFont="1" applyBorder="1" applyAlignment="1">
      <alignment horizontal="center" vertical="center" wrapText="1"/>
    </xf>
    <xf numFmtId="0" fontId="16" fillId="0" borderId="6" xfId="11" applyFont="1" applyBorder="1" applyAlignment="1">
      <alignment horizontal="center" vertical="center" wrapText="1"/>
    </xf>
    <xf numFmtId="0" fontId="16" fillId="0" borderId="6" xfId="0" applyFont="1" applyBorder="1" applyAlignment="1">
      <alignment horizontal="center" vertical="center"/>
    </xf>
    <xf numFmtId="0" fontId="0" fillId="3" borderId="0" xfId="0" applyFill="1"/>
    <xf numFmtId="0" fontId="16" fillId="0" borderId="7" xfId="11" applyFont="1" applyBorder="1" applyAlignment="1">
      <alignment horizontal="center" vertical="center" wrapText="1"/>
    </xf>
    <xf numFmtId="168" fontId="16" fillId="0" borderId="7" xfId="11" applyNumberFormat="1" applyFont="1" applyBorder="1" applyAlignment="1">
      <alignment horizontal="center" vertical="center" wrapText="1"/>
    </xf>
    <xf numFmtId="1" fontId="16" fillId="0" borderId="7" xfId="11" applyNumberFormat="1" applyFont="1" applyBorder="1" applyAlignment="1">
      <alignment horizontal="center" vertical="center" wrapText="1"/>
    </xf>
    <xf numFmtId="0" fontId="16" fillId="0" borderId="7" xfId="11" applyFont="1" applyBorder="1" applyAlignment="1">
      <alignment horizontal="left" vertical="center" wrapText="1"/>
    </xf>
    <xf numFmtId="0" fontId="16" fillId="0" borderId="6" xfId="0" applyFont="1" applyBorder="1" applyAlignment="1">
      <alignment vertical="center" wrapText="1"/>
    </xf>
    <xf numFmtId="0" fontId="16" fillId="0" borderId="6" xfId="11" applyFont="1" applyBorder="1" applyAlignment="1">
      <alignment horizontal="center" vertical="center"/>
    </xf>
    <xf numFmtId="168" fontId="16" fillId="0" borderId="6" xfId="11" applyNumberFormat="1" applyFont="1" applyBorder="1" applyAlignment="1">
      <alignment horizontal="center" vertical="center"/>
    </xf>
    <xf numFmtId="0" fontId="16" fillId="0" borderId="6" xfId="11" applyFont="1" applyBorder="1" applyAlignment="1">
      <alignment horizontal="left" vertical="center" wrapText="1"/>
    </xf>
    <xf numFmtId="0" fontId="6" fillId="0" borderId="0" xfId="0" applyFont="1" applyAlignment="1">
      <alignment horizontal="left" vertical="center"/>
    </xf>
    <xf numFmtId="0" fontId="6" fillId="3" borderId="0" xfId="0" applyFont="1" applyFill="1" applyAlignment="1">
      <alignment horizontal="left" vertical="center"/>
    </xf>
    <xf numFmtId="0" fontId="17" fillId="0" borderId="6" xfId="0" applyFont="1" applyBorder="1" applyAlignment="1">
      <alignment vertical="center" wrapText="1"/>
    </xf>
    <xf numFmtId="4" fontId="0" fillId="0" borderId="0" xfId="0" applyNumberFormat="1"/>
    <xf numFmtId="3" fontId="0" fillId="0" borderId="0" xfId="0" applyNumberFormat="1"/>
    <xf numFmtId="0" fontId="0" fillId="7" borderId="0" xfId="0" applyFill="1"/>
  </cellXfs>
  <cellStyles count="12">
    <cellStyle name="Comma" xfId="1" builtinId="3"/>
    <cellStyle name="Comma 3" xfId="4" xr:uid="{A694E35E-118D-4D37-A21A-F673EEF565D3}"/>
    <cellStyle name="Comma 5" xfId="6" xr:uid="{E7F20CBD-1182-43BA-BC37-DB596EEEBE29}"/>
    <cellStyle name="Normal" xfId="0" builtinId="0"/>
    <cellStyle name="Normal 2" xfId="10" xr:uid="{B2750904-413E-4F10-9D86-73746F3AF757}"/>
    <cellStyle name="Normal 2 2" xfId="11" xr:uid="{3780652E-89E9-460E-BE5A-422D3A4A9D4B}"/>
    <cellStyle name="Normal 5" xfId="3" xr:uid="{F77D0F7A-CFFF-4673-A1DE-C7D11C7F4C58}"/>
    <cellStyle name="Normal 5 3 2" xfId="9" xr:uid="{AF0C43CF-B5C1-4672-A3E2-53E21F707663}"/>
    <cellStyle name="Normal 9" xfId="8" xr:uid="{A2AC2797-56CA-42EE-AA7B-3E06FEF44395}"/>
    <cellStyle name="Percent" xfId="2" builtinId="5"/>
    <cellStyle name="Percent 3" xfId="5" xr:uid="{D377DACF-620E-4961-990C-D5C8F17449A1}"/>
    <cellStyle name="Percent 4" xfId="7" xr:uid="{E3626243-BCDE-44F2-9F9C-8562C687242F}"/>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089fa6ae069b176/M&#225;y%20t&#237;nh/&#272;L/PA%20th&#244;n%2012%20khu%2093%5eLJ55ha_28.8.2026.xlsx" TargetMode="External"/><Relationship Id="rId1" Type="http://schemas.openxmlformats.org/officeDocument/2006/relationships/externalLinkPath" Target="https://d.docs.live.net/3089fa6ae069b176/M&#225;y%20t&#237;nh/&#272;L/PA%20th&#244;n%2012%20khu%2093%5eLJ55ha_28.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 thôn 12 sao luu"/>
      <sheetName val="data quy chu"/>
      <sheetName val="check thong tin ho"/>
      <sheetName val="PA thôn 12"/>
      <sheetName val="DL. Cây 2026"/>
      <sheetName val="DL. VKT 2026"/>
      <sheetName val="Ý kiến Đan Nhiễm 162 h"/>
      <sheetName val="Bảng Tổng hợp (Mẫu)"/>
    </sheetNames>
    <sheetDataSet>
      <sheetData sheetId="0"/>
      <sheetData sheetId="1"/>
      <sheetData sheetId="2"/>
      <sheetData sheetId="3"/>
      <sheetData sheetId="4">
        <row r="4">
          <cell r="B4" t="str">
            <v>Lúa</v>
          </cell>
          <cell r="C4" t="str">
            <v>Lúa</v>
          </cell>
          <cell r="D4" t="str">
            <v>toàn diện tích</v>
          </cell>
          <cell r="F4" t="str">
            <v>m2</v>
          </cell>
          <cell r="G4">
            <v>10000</v>
          </cell>
          <cell r="H4">
            <v>1</v>
          </cell>
        </row>
        <row r="5">
          <cell r="B5" t="str">
            <v>Ngô</v>
          </cell>
          <cell r="C5" t="str">
            <v>Ngô</v>
          </cell>
          <cell r="D5" t="str">
            <v>toàn diện tích</v>
          </cell>
          <cell r="F5" t="str">
            <v>m2</v>
          </cell>
          <cell r="G5">
            <v>10000</v>
          </cell>
          <cell r="H5">
            <v>1</v>
          </cell>
        </row>
        <row r="6">
          <cell r="B6" t="str">
            <v>Lạc</v>
          </cell>
          <cell r="C6" t="str">
            <v>Lạc</v>
          </cell>
          <cell r="D6" t="str">
            <v>toàn diện tích</v>
          </cell>
          <cell r="F6" t="str">
            <v>m2</v>
          </cell>
          <cell r="G6">
            <v>10000</v>
          </cell>
          <cell r="H6">
            <v>1</v>
          </cell>
        </row>
        <row r="7">
          <cell r="B7" t="str">
            <v>đậu tương</v>
          </cell>
          <cell r="C7" t="str">
            <v>Đậu tương</v>
          </cell>
          <cell r="D7" t="str">
            <v>toàn diện tích</v>
          </cell>
          <cell r="F7" t="str">
            <v>m2</v>
          </cell>
          <cell r="G7">
            <v>10000</v>
          </cell>
          <cell r="H7">
            <v>1</v>
          </cell>
        </row>
        <row r="8">
          <cell r="B8" t="str">
            <v>Kê</v>
          </cell>
          <cell r="C8" t="str">
            <v>Kê</v>
          </cell>
          <cell r="D8" t="str">
            <v>toàn diện tích</v>
          </cell>
          <cell r="F8" t="str">
            <v>m2</v>
          </cell>
          <cell r="G8">
            <v>15000</v>
          </cell>
          <cell r="H8">
            <v>1</v>
          </cell>
        </row>
        <row r="9">
          <cell r="B9" t="str">
            <v>Khoai lang</v>
          </cell>
          <cell r="C9" t="str">
            <v>Khoai lang</v>
          </cell>
          <cell r="D9" t="str">
            <v>toàn diện tích</v>
          </cell>
          <cell r="F9" t="str">
            <v>m2</v>
          </cell>
          <cell r="G9">
            <v>12500</v>
          </cell>
          <cell r="H9">
            <v>1</v>
          </cell>
        </row>
        <row r="10">
          <cell r="B10" t="str">
            <v>Sắn</v>
          </cell>
          <cell r="C10" t="str">
            <v>Sắn</v>
          </cell>
          <cell r="D10" t="str">
            <v>toàn diện tích</v>
          </cell>
          <cell r="F10" t="str">
            <v>m2</v>
          </cell>
          <cell r="G10">
            <v>12500</v>
          </cell>
          <cell r="H10">
            <v>1</v>
          </cell>
        </row>
        <row r="11">
          <cell r="B11" t="str">
            <v>Khoai tây</v>
          </cell>
          <cell r="C11" t="str">
            <v>Khoai tây</v>
          </cell>
          <cell r="D11" t="str">
            <v>toàn diện tích</v>
          </cell>
          <cell r="F11" t="str">
            <v>m2</v>
          </cell>
          <cell r="G11">
            <v>22500</v>
          </cell>
          <cell r="H11">
            <v>1</v>
          </cell>
        </row>
        <row r="12">
          <cell r="B12" t="str">
            <v>Khoai môn</v>
          </cell>
          <cell r="C12" t="str">
            <v>Khoai môn</v>
          </cell>
          <cell r="D12" t="str">
            <v>toàn diện tích</v>
          </cell>
          <cell r="F12" t="str">
            <v>m2</v>
          </cell>
          <cell r="G12">
            <v>11000</v>
          </cell>
          <cell r="H12">
            <v>1</v>
          </cell>
        </row>
        <row r="13">
          <cell r="B13" t="str">
            <v>Khoai sọ</v>
          </cell>
          <cell r="C13" t="str">
            <v>Khoai sọ</v>
          </cell>
          <cell r="D13" t="str">
            <v>toàn diện tích</v>
          </cell>
          <cell r="F13" t="str">
            <v>m2</v>
          </cell>
          <cell r="G13">
            <v>11000</v>
          </cell>
          <cell r="H13">
            <v>1</v>
          </cell>
        </row>
        <row r="14">
          <cell r="B14" t="str">
            <v>Dong riềng</v>
          </cell>
          <cell r="C14" t="str">
            <v>Dong riềng</v>
          </cell>
          <cell r="D14" t="str">
            <v>toàn diện tích</v>
          </cell>
          <cell r="F14" t="str">
            <v>m2</v>
          </cell>
          <cell r="G14">
            <v>12500</v>
          </cell>
          <cell r="H14">
            <v>1</v>
          </cell>
        </row>
        <row r="15">
          <cell r="B15" t="str">
            <v>Dưa hấu</v>
          </cell>
          <cell r="C15" t="str">
            <v>Dưa hấu</v>
          </cell>
          <cell r="D15" t="str">
            <v>toàn diện tích</v>
          </cell>
          <cell r="F15" t="str">
            <v>m2</v>
          </cell>
          <cell r="G15">
            <v>20000</v>
          </cell>
          <cell r="H15">
            <v>1</v>
          </cell>
        </row>
        <row r="16">
          <cell r="B16" t="str">
            <v>Dưa lê</v>
          </cell>
          <cell r="C16" t="str">
            <v>Dưa hấu</v>
          </cell>
          <cell r="D16" t="str">
            <v>toàn diện tích</v>
          </cell>
          <cell r="F16" t="str">
            <v>m2</v>
          </cell>
          <cell r="G16">
            <v>24000</v>
          </cell>
          <cell r="H16">
            <v>1</v>
          </cell>
        </row>
        <row r="17">
          <cell r="B17" t="str">
            <v>Dưa vàng</v>
          </cell>
          <cell r="C17" t="str">
            <v>Dưa vàng</v>
          </cell>
          <cell r="D17" t="str">
            <v>toàn diện tích</v>
          </cell>
          <cell r="F17" t="str">
            <v>m2</v>
          </cell>
          <cell r="G17">
            <v>28200</v>
          </cell>
          <cell r="H17">
            <v>1</v>
          </cell>
        </row>
        <row r="18">
          <cell r="B18" t="str">
            <v>Dưa lưới</v>
          </cell>
          <cell r="C18" t="str">
            <v>Dưa lưới</v>
          </cell>
          <cell r="D18" t="str">
            <v>toàn diện tích</v>
          </cell>
          <cell r="F18" t="str">
            <v>m2</v>
          </cell>
          <cell r="G18">
            <v>35000</v>
          </cell>
          <cell r="H18">
            <v>1</v>
          </cell>
        </row>
        <row r="19">
          <cell r="B19" t="str">
            <v>Dưa bở</v>
          </cell>
          <cell r="C19" t="str">
            <v>Dưa bở</v>
          </cell>
          <cell r="D19" t="str">
            <v>toàn diện tích</v>
          </cell>
          <cell r="F19" t="str">
            <v>m2</v>
          </cell>
          <cell r="G19">
            <v>23000</v>
          </cell>
          <cell r="H19">
            <v>1</v>
          </cell>
        </row>
        <row r="20">
          <cell r="B20" t="str">
            <v>Dưa gang</v>
          </cell>
          <cell r="C20" t="str">
            <v>Dưa gang</v>
          </cell>
          <cell r="D20" t="str">
            <v>toàn diện tích</v>
          </cell>
          <cell r="F20" t="str">
            <v>m2</v>
          </cell>
          <cell r="G20">
            <v>23000</v>
          </cell>
          <cell r="H20">
            <v>1</v>
          </cell>
        </row>
        <row r="21">
          <cell r="B21" t="str">
            <v>Dưa chuột</v>
          </cell>
          <cell r="C21" t="str">
            <v>Dưa chuột</v>
          </cell>
          <cell r="D21" t="str">
            <v>toàn diện tích</v>
          </cell>
          <cell r="F21" t="str">
            <v>m2</v>
          </cell>
          <cell r="G21">
            <v>23000</v>
          </cell>
          <cell r="H21">
            <v>1</v>
          </cell>
        </row>
        <row r="22">
          <cell r="B22" t="str">
            <v>Cà chua</v>
          </cell>
          <cell r="C22" t="str">
            <v>Cà chua</v>
          </cell>
          <cell r="D22" t="str">
            <v>toàn diện tích</v>
          </cell>
          <cell r="F22" t="str">
            <v>m2</v>
          </cell>
          <cell r="G22">
            <v>24000</v>
          </cell>
          <cell r="H22">
            <v>1</v>
          </cell>
          <cell r="O22">
            <v>8</v>
          </cell>
          <cell r="Q22">
            <v>160</v>
          </cell>
        </row>
        <row r="23">
          <cell r="B23" t="str">
            <v>cà tím</v>
          </cell>
          <cell r="C23" t="str">
            <v>Cà tím</v>
          </cell>
          <cell r="D23" t="str">
            <v>toàn diện tích</v>
          </cell>
          <cell r="F23" t="str">
            <v>m2</v>
          </cell>
          <cell r="G23">
            <v>24000</v>
          </cell>
          <cell r="H23">
            <v>1</v>
          </cell>
          <cell r="O23">
            <v>0</v>
          </cell>
        </row>
        <row r="24">
          <cell r="B24" t="str">
            <v>cà bát</v>
          </cell>
          <cell r="C24" t="str">
            <v>Cà bát</v>
          </cell>
          <cell r="D24" t="str">
            <v>toàn diện tích</v>
          </cell>
          <cell r="F24" t="str">
            <v>m2</v>
          </cell>
          <cell r="G24">
            <v>24000</v>
          </cell>
          <cell r="H24">
            <v>1</v>
          </cell>
        </row>
        <row r="25">
          <cell r="B25" t="str">
            <v>cà pháo</v>
          </cell>
          <cell r="C25" t="str">
            <v>Cà pháo</v>
          </cell>
          <cell r="D25" t="str">
            <v>toàn diện tích</v>
          </cell>
          <cell r="F25" t="str">
            <v>m2</v>
          </cell>
          <cell r="G25">
            <v>24000</v>
          </cell>
          <cell r="H25">
            <v>1</v>
          </cell>
        </row>
        <row r="26">
          <cell r="B26" t="str">
            <v>bầu</v>
          </cell>
          <cell r="C26" t="str">
            <v>Bầu</v>
          </cell>
          <cell r="D26" t="str">
            <v>toàn diện tích</v>
          </cell>
          <cell r="F26" t="str">
            <v>m2</v>
          </cell>
          <cell r="G26">
            <v>24000</v>
          </cell>
          <cell r="H26">
            <v>1</v>
          </cell>
        </row>
        <row r="27">
          <cell r="B27" t="str">
            <v>bí</v>
          </cell>
          <cell r="C27" t="str">
            <v>Bí</v>
          </cell>
          <cell r="D27" t="str">
            <v>toàn diện tích</v>
          </cell>
          <cell r="F27" t="str">
            <v>m2</v>
          </cell>
          <cell r="G27">
            <v>24000</v>
          </cell>
          <cell r="H27">
            <v>1</v>
          </cell>
        </row>
        <row r="28">
          <cell r="B28" t="str">
            <v>mướp</v>
          </cell>
          <cell r="C28" t="str">
            <v>Mướp</v>
          </cell>
          <cell r="D28" t="str">
            <v>toàn diện tích</v>
          </cell>
          <cell r="F28" t="str">
            <v>m2</v>
          </cell>
          <cell r="G28">
            <v>24000</v>
          </cell>
          <cell r="H28">
            <v>1</v>
          </cell>
        </row>
        <row r="29">
          <cell r="B29" t="str">
            <v>Ớt ngọt</v>
          </cell>
          <cell r="C29" t="str">
            <v>Ớt ngọt</v>
          </cell>
          <cell r="D29" t="str">
            <v>toàn diện tích</v>
          </cell>
          <cell r="F29" t="str">
            <v>m2</v>
          </cell>
          <cell r="G29">
            <v>42000</v>
          </cell>
          <cell r="H29">
            <v>1</v>
          </cell>
        </row>
        <row r="30">
          <cell r="B30" t="str">
            <v>Su hào</v>
          </cell>
          <cell r="C30" t="str">
            <v>Su hào</v>
          </cell>
          <cell r="D30" t="str">
            <v>toàn diện tích</v>
          </cell>
          <cell r="F30" t="str">
            <v>m2</v>
          </cell>
          <cell r="G30">
            <v>17500</v>
          </cell>
          <cell r="H30">
            <v>1</v>
          </cell>
        </row>
        <row r="31">
          <cell r="B31" t="str">
            <v>bắp cải</v>
          </cell>
          <cell r="C31" t="str">
            <v>Bắp cải</v>
          </cell>
          <cell r="D31" t="str">
            <v>toàn diện tích</v>
          </cell>
          <cell r="F31" t="str">
            <v>m2</v>
          </cell>
          <cell r="G31">
            <v>17500</v>
          </cell>
          <cell r="H31">
            <v>1</v>
          </cell>
        </row>
        <row r="32">
          <cell r="B32" t="str">
            <v>cà rốt</v>
          </cell>
          <cell r="C32" t="str">
            <v>Cà rốt</v>
          </cell>
          <cell r="D32" t="str">
            <v>toàn diện tích</v>
          </cell>
          <cell r="F32" t="str">
            <v>m2</v>
          </cell>
          <cell r="G32">
            <v>17500</v>
          </cell>
          <cell r="H32">
            <v>1</v>
          </cell>
        </row>
        <row r="33">
          <cell r="B33" t="str">
            <v>Tỏi lấy củ</v>
          </cell>
          <cell r="C33" t="str">
            <v>Tỏi lấy củ</v>
          </cell>
          <cell r="D33" t="str">
            <v>toàn diện tích</v>
          </cell>
          <cell r="F33" t="str">
            <v>m2</v>
          </cell>
          <cell r="G33">
            <v>37000</v>
          </cell>
          <cell r="H33">
            <v>1</v>
          </cell>
        </row>
        <row r="34">
          <cell r="B34" t="str">
            <v>Tỏi tây</v>
          </cell>
          <cell r="C34" t="str">
            <v>Tỏi tây</v>
          </cell>
          <cell r="D34" t="str">
            <v>toàn diện tích</v>
          </cell>
          <cell r="F34" t="str">
            <v>m2</v>
          </cell>
          <cell r="G34">
            <v>28000</v>
          </cell>
          <cell r="H34">
            <v>1</v>
          </cell>
        </row>
        <row r="35">
          <cell r="B35" t="str">
            <v>Hành</v>
          </cell>
          <cell r="C35" t="str">
            <v>Hành các loại</v>
          </cell>
          <cell r="D35" t="str">
            <v>toàn diện tích</v>
          </cell>
          <cell r="F35" t="str">
            <v>m2</v>
          </cell>
          <cell r="G35">
            <v>24000</v>
          </cell>
          <cell r="H35">
            <v>1</v>
          </cell>
        </row>
        <row r="36">
          <cell r="B36" t="str">
            <v>cần tây</v>
          </cell>
          <cell r="C36" t="str">
            <v>Cần tây</v>
          </cell>
          <cell r="D36" t="str">
            <v>toàn diện tích</v>
          </cell>
          <cell r="F36" t="str">
            <v>m3</v>
          </cell>
          <cell r="G36">
            <v>23000</v>
          </cell>
          <cell r="H36">
            <v>1</v>
          </cell>
        </row>
        <row r="37">
          <cell r="B37" t="str">
            <v>Rau</v>
          </cell>
          <cell r="C37" t="str">
            <v xml:space="preserve">Rau </v>
          </cell>
          <cell r="D37" t="str">
            <v>toàn diện tích</v>
          </cell>
          <cell r="F37" t="str">
            <v>m2</v>
          </cell>
          <cell r="G37">
            <v>20000</v>
          </cell>
          <cell r="H37">
            <v>1</v>
          </cell>
        </row>
        <row r="38">
          <cell r="B38" t="str">
            <v>đậu đỗ</v>
          </cell>
          <cell r="C38" t="str">
            <v>Đậu đỗ các loại</v>
          </cell>
          <cell r="D38" t="str">
            <v>toàn diện tích</v>
          </cell>
          <cell r="F38" t="str">
            <v>m2</v>
          </cell>
          <cell r="G38">
            <v>20000</v>
          </cell>
          <cell r="H38">
            <v>1</v>
          </cell>
        </row>
        <row r="39">
          <cell r="B39" t="str">
            <v>rau gia vị</v>
          </cell>
          <cell r="C39" t="str">
            <v>Các loại rau gia vị</v>
          </cell>
          <cell r="D39" t="str">
            <v>toàn diện tích</v>
          </cell>
          <cell r="F39" t="str">
            <v>m2</v>
          </cell>
          <cell r="G39">
            <v>11000</v>
          </cell>
          <cell r="H39">
            <v>1</v>
          </cell>
        </row>
        <row r="40">
          <cell r="B40" t="str">
            <v>Mía</v>
          </cell>
          <cell r="C40" t="str">
            <v>Mía</v>
          </cell>
          <cell r="D40" t="str">
            <v>toàn diện tích</v>
          </cell>
          <cell r="F40" t="str">
            <v>m2</v>
          </cell>
          <cell r="G40">
            <v>20000</v>
          </cell>
          <cell r="H40">
            <v>1</v>
          </cell>
        </row>
        <row r="41">
          <cell r="B41" t="str">
            <v>nấm rơm</v>
          </cell>
          <cell r="C41" t="str">
            <v>Nấm rơm</v>
          </cell>
          <cell r="D41" t="str">
            <v>toàn diện tích</v>
          </cell>
          <cell r="F41" t="str">
            <v>m2</v>
          </cell>
          <cell r="G41">
            <v>92000</v>
          </cell>
          <cell r="H41">
            <v>1</v>
          </cell>
        </row>
        <row r="42">
          <cell r="B42" t="str">
            <v>nấm mỡ</v>
          </cell>
          <cell r="C42" t="str">
            <v>Nấm mỡ</v>
          </cell>
          <cell r="D42" t="str">
            <v>toàn diện tích</v>
          </cell>
          <cell r="F42" t="str">
            <v>m2</v>
          </cell>
          <cell r="G42">
            <v>107000</v>
          </cell>
          <cell r="H42">
            <v>1</v>
          </cell>
          <cell r="U42">
            <v>0</v>
          </cell>
        </row>
        <row r="43">
          <cell r="B43" t="str">
            <v>xc.cà pháo</v>
          </cell>
          <cell r="C43" t="str">
            <v>Cà pháo xen canh</v>
          </cell>
          <cell r="D43" t="str">
            <v>toàn diện tích</v>
          </cell>
          <cell r="F43" t="str">
            <v>m2</v>
          </cell>
          <cell r="G43">
            <v>24000</v>
          </cell>
          <cell r="H43">
            <v>1</v>
          </cell>
        </row>
        <row r="44">
          <cell r="B44" t="str">
            <v>xc.Rau</v>
          </cell>
          <cell r="C44" t="str">
            <v>Rau xen canh</v>
          </cell>
          <cell r="D44" t="str">
            <v>toàn diện tích</v>
          </cell>
          <cell r="F44" t="str">
            <v>m2</v>
          </cell>
          <cell r="G44">
            <v>20000</v>
          </cell>
          <cell r="H44">
            <v>1</v>
          </cell>
        </row>
        <row r="45">
          <cell r="B45" t="str">
            <v>xc.Cà chua</v>
          </cell>
          <cell r="C45" t="str">
            <v>Cà chua xen canh</v>
          </cell>
          <cell r="D45" t="str">
            <v>toàn diện tích</v>
          </cell>
          <cell r="F45" t="str">
            <v>m2</v>
          </cell>
          <cell r="G45">
            <v>24000</v>
          </cell>
          <cell r="H45">
            <v>1</v>
          </cell>
          <cell r="Q45">
            <v>0</v>
          </cell>
        </row>
        <row r="46">
          <cell r="B46" t="str">
            <v>xc.cà tím</v>
          </cell>
          <cell r="C46" t="str">
            <v>Cà tím xen canh</v>
          </cell>
          <cell r="D46" t="str">
            <v>toàn diện tích</v>
          </cell>
          <cell r="F46" t="str">
            <v>m2</v>
          </cell>
          <cell r="G46">
            <v>24000</v>
          </cell>
          <cell r="H46">
            <v>1</v>
          </cell>
          <cell r="O46">
            <v>6</v>
          </cell>
          <cell r="T46">
            <v>0.15</v>
          </cell>
        </row>
        <row r="47">
          <cell r="B47" t="str">
            <v>xc.cà bát</v>
          </cell>
          <cell r="C47" t="str">
            <v>Cà bát xen canh</v>
          </cell>
          <cell r="D47" t="str">
            <v>toàn diện tích</v>
          </cell>
          <cell r="F47" t="str">
            <v>m2</v>
          </cell>
          <cell r="G47">
            <v>24000</v>
          </cell>
          <cell r="H47">
            <v>1</v>
          </cell>
        </row>
        <row r="48">
          <cell r="B48" t="str">
            <v>xc.bầu</v>
          </cell>
          <cell r="C48" t="str">
            <v>Bầu xen canh</v>
          </cell>
          <cell r="D48" t="str">
            <v>toàn diện tích</v>
          </cell>
          <cell r="F48" t="str">
            <v>m2</v>
          </cell>
          <cell r="G48">
            <v>24000</v>
          </cell>
          <cell r="H48">
            <v>1</v>
          </cell>
        </row>
        <row r="49">
          <cell r="B49" t="str">
            <v>xc.bí</v>
          </cell>
          <cell r="C49" t="str">
            <v>Bí xen canh</v>
          </cell>
          <cell r="D49" t="str">
            <v>toàn diện tích</v>
          </cell>
          <cell r="F49" t="str">
            <v>m2</v>
          </cell>
          <cell r="G49">
            <v>24000</v>
          </cell>
          <cell r="H49">
            <v>1</v>
          </cell>
        </row>
        <row r="50">
          <cell r="B50" t="str">
            <v>xc.mướp</v>
          </cell>
          <cell r="C50" t="str">
            <v>Mướp xen canh</v>
          </cell>
          <cell r="D50" t="str">
            <v>toàn diện tích</v>
          </cell>
          <cell r="F50" t="str">
            <v>m2</v>
          </cell>
          <cell r="G50">
            <v>24000</v>
          </cell>
          <cell r="H50">
            <v>1</v>
          </cell>
        </row>
        <row r="51">
          <cell r="B51" t="str">
            <v>xc.Su hào</v>
          </cell>
          <cell r="C51" t="str">
            <v>Su hào xen canh</v>
          </cell>
          <cell r="D51" t="str">
            <v>toàn diện tích</v>
          </cell>
          <cell r="F51" t="str">
            <v>m2</v>
          </cell>
          <cell r="G51">
            <v>17500</v>
          </cell>
          <cell r="H51">
            <v>1</v>
          </cell>
        </row>
        <row r="52">
          <cell r="B52" t="str">
            <v>xc.bắp cải</v>
          </cell>
          <cell r="C52" t="str">
            <v>Bắp cải xen canh</v>
          </cell>
          <cell r="D52" t="str">
            <v>toàn diện tích</v>
          </cell>
          <cell r="F52" t="str">
            <v>m2</v>
          </cell>
          <cell r="G52">
            <v>17500</v>
          </cell>
          <cell r="H52">
            <v>1</v>
          </cell>
        </row>
        <row r="53">
          <cell r="B53" t="str">
            <v>xc.Hành</v>
          </cell>
          <cell r="C53" t="str">
            <v>Hành các loại xen canh</v>
          </cell>
          <cell r="D53" t="str">
            <v>toàn diện tích</v>
          </cell>
          <cell r="F53" t="str">
            <v>m2</v>
          </cell>
          <cell r="G53">
            <v>24000</v>
          </cell>
          <cell r="H53">
            <v>1</v>
          </cell>
        </row>
        <row r="54">
          <cell r="B54" t="str">
            <v>xc.đậu đỗ</v>
          </cell>
          <cell r="C54" t="str">
            <v>Đậu đỗ các loại xen canh</v>
          </cell>
          <cell r="D54" t="str">
            <v>toàn diện tích</v>
          </cell>
          <cell r="F54" t="str">
            <v>m2</v>
          </cell>
          <cell r="G54">
            <v>20000</v>
          </cell>
          <cell r="H54">
            <v>1</v>
          </cell>
        </row>
        <row r="55">
          <cell r="B55" t="str">
            <v>xc.rau gia vị</v>
          </cell>
          <cell r="C55" t="str">
            <v>Các loại rau gia vị xen canh</v>
          </cell>
          <cell r="D55" t="str">
            <v>toàn diện tích</v>
          </cell>
          <cell r="F55" t="str">
            <v>m2</v>
          </cell>
          <cell r="G55">
            <v>11000</v>
          </cell>
          <cell r="H55">
            <v>1</v>
          </cell>
        </row>
        <row r="56">
          <cell r="B56" t="str">
            <v>hoa cúc</v>
          </cell>
          <cell r="C56" t="str">
            <v>Hoa cúc</v>
          </cell>
          <cell r="F56" t="str">
            <v>m2</v>
          </cell>
          <cell r="G56">
            <v>57000</v>
          </cell>
          <cell r="H56">
            <v>1</v>
          </cell>
        </row>
        <row r="57">
          <cell r="B57" t="str">
            <v>Hoa lay ơn</v>
          </cell>
          <cell r="C57" t="str">
            <v>Hoa lay ơn</v>
          </cell>
          <cell r="F57" t="str">
            <v>m2</v>
          </cell>
          <cell r="G57">
            <v>59000</v>
          </cell>
          <cell r="H57">
            <v>1</v>
          </cell>
        </row>
        <row r="58">
          <cell r="B58" t="str">
            <v>Hoa cẩm chướng</v>
          </cell>
          <cell r="C58" t="str">
            <v>Hoa cẩm chướng</v>
          </cell>
          <cell r="F58" t="str">
            <v>m2</v>
          </cell>
          <cell r="G58">
            <v>139000</v>
          </cell>
          <cell r="H58">
            <v>1</v>
          </cell>
        </row>
        <row r="59">
          <cell r="B59" t="str">
            <v>Hoa lily</v>
          </cell>
          <cell r="C59" t="str">
            <v>Hoa lily</v>
          </cell>
          <cell r="F59" t="str">
            <v>m2</v>
          </cell>
          <cell r="G59">
            <v>200000</v>
          </cell>
          <cell r="H59">
            <v>1</v>
          </cell>
        </row>
        <row r="60">
          <cell r="B60" t="str">
            <v>Hoa loa kèn</v>
          </cell>
          <cell r="C60" t="str">
            <v>Hoa loa kèn</v>
          </cell>
          <cell r="F60" t="str">
            <v>m2</v>
          </cell>
          <cell r="G60">
            <v>98500</v>
          </cell>
          <cell r="H60">
            <v>1</v>
          </cell>
        </row>
        <row r="61">
          <cell r="B61" t="str">
            <v>Hoa đồng tiền</v>
          </cell>
          <cell r="C61" t="str">
            <v>Hoa đồng tiền</v>
          </cell>
          <cell r="F61" t="str">
            <v>m2</v>
          </cell>
          <cell r="G61">
            <v>77000</v>
          </cell>
          <cell r="H61">
            <v>1</v>
          </cell>
        </row>
        <row r="62">
          <cell r="B62" t="str">
            <v>Hoa thạch thảo</v>
          </cell>
          <cell r="C62" t="str">
            <v>Hoa thạch thảo</v>
          </cell>
          <cell r="F62" t="str">
            <v>m2</v>
          </cell>
          <cell r="G62">
            <v>94000</v>
          </cell>
          <cell r="H62">
            <v>1</v>
          </cell>
        </row>
        <row r="63">
          <cell r="B63" t="str">
            <v>Hoa cát tường</v>
          </cell>
          <cell r="C63" t="str">
            <v>Hoa cát tường</v>
          </cell>
          <cell r="F63" t="str">
            <v>m2</v>
          </cell>
          <cell r="G63">
            <v>168000</v>
          </cell>
          <cell r="H63">
            <v>1</v>
          </cell>
        </row>
        <row r="64">
          <cell r="B64" t="str">
            <v>Hoa hướng dương</v>
          </cell>
          <cell r="C64" t="str">
            <v>Hoa hướng dương</v>
          </cell>
          <cell r="F64" t="str">
            <v>m2</v>
          </cell>
          <cell r="G64">
            <v>17000</v>
          </cell>
          <cell r="H64">
            <v>1</v>
          </cell>
        </row>
        <row r="65">
          <cell r="B65" t="str">
            <v>Hoa huệ</v>
          </cell>
          <cell r="C65" t="str">
            <v>Hoa huệ</v>
          </cell>
          <cell r="F65" t="str">
            <v>m2</v>
          </cell>
          <cell r="G65">
            <v>50000</v>
          </cell>
          <cell r="H65">
            <v>1</v>
          </cell>
        </row>
        <row r="66">
          <cell r="B66" t="str">
            <v>Hoa sen</v>
          </cell>
          <cell r="C66" t="str">
            <v>Hoa sen</v>
          </cell>
          <cell r="F66" t="str">
            <v>m2</v>
          </cell>
          <cell r="G66">
            <v>12500</v>
          </cell>
          <cell r="H66">
            <v>1</v>
          </cell>
        </row>
        <row r="67">
          <cell r="B67" t="str">
            <v>Hoa súng</v>
          </cell>
          <cell r="C67" t="str">
            <v>Hoa súng</v>
          </cell>
          <cell r="F67" t="str">
            <v>m2</v>
          </cell>
          <cell r="G67">
            <v>10000</v>
          </cell>
          <cell r="H67">
            <v>1</v>
          </cell>
        </row>
        <row r="68">
          <cell r="C68" t="str">
            <v>NHÓM CÂY LÂU NĂM</v>
          </cell>
        </row>
        <row r="69">
          <cell r="C69" t="str">
            <v>Nhãn</v>
          </cell>
        </row>
        <row r="70">
          <cell r="B70" t="str">
            <v>Nhãn02</v>
          </cell>
          <cell r="C70" t="str">
            <v>Cây nhãn</v>
          </cell>
          <cell r="D70" t="str">
            <v>đk gốc &lt; 2cm</v>
          </cell>
          <cell r="E70">
            <v>25</v>
          </cell>
          <cell r="F70" t="str">
            <v>cây</v>
          </cell>
          <cell r="G70">
            <v>180000</v>
          </cell>
          <cell r="H70">
            <v>0.5</v>
          </cell>
          <cell r="J70">
            <v>3600</v>
          </cell>
        </row>
        <row r="71">
          <cell r="B71" t="str">
            <v>Nhãn25</v>
          </cell>
          <cell r="C71" t="str">
            <v>Cây nhãn</v>
          </cell>
          <cell r="D71" t="str">
            <v>2cm ≤ đk gốc &lt; 5cm</v>
          </cell>
          <cell r="E71">
            <v>25</v>
          </cell>
          <cell r="F71" t="str">
            <v>cây</v>
          </cell>
          <cell r="G71">
            <v>370000</v>
          </cell>
          <cell r="H71">
            <v>0.5</v>
          </cell>
          <cell r="J71">
            <v>7400</v>
          </cell>
          <cell r="K71" t="str">
            <v>Nhãn1220</v>
          </cell>
          <cell r="O71">
            <v>1</v>
          </cell>
          <cell r="Q71">
            <v>0</v>
          </cell>
          <cell r="S71">
            <v>3750000</v>
          </cell>
        </row>
        <row r="72">
          <cell r="B72" t="str">
            <v>Nhãn57</v>
          </cell>
          <cell r="C72" t="str">
            <v>Cây nhãn</v>
          </cell>
          <cell r="D72" t="str">
            <v>5cm ≤ đk gốc &lt; 7cm</v>
          </cell>
          <cell r="E72">
            <v>25</v>
          </cell>
          <cell r="F72" t="str">
            <v>cây</v>
          </cell>
          <cell r="G72">
            <v>1125000</v>
          </cell>
          <cell r="H72">
            <v>0.5</v>
          </cell>
          <cell r="J72">
            <v>22500</v>
          </cell>
          <cell r="K72" t="str">
            <v>Nhãn</v>
          </cell>
          <cell r="O72" t="e">
            <v>#DIV/0!</v>
          </cell>
          <cell r="Q72">
            <v>0</v>
          </cell>
          <cell r="T72">
            <v>0.5</v>
          </cell>
        </row>
        <row r="73">
          <cell r="B73" t="str">
            <v>Nhãn57</v>
          </cell>
          <cell r="C73" t="str">
            <v>Cây nhãn</v>
          </cell>
          <cell r="D73" t="str">
            <v>5cm ≤ đk gốc &lt; 7cm</v>
          </cell>
          <cell r="E73">
            <v>25</v>
          </cell>
          <cell r="F73" t="str">
            <v>cây</v>
          </cell>
          <cell r="G73">
            <v>1125000</v>
          </cell>
          <cell r="H73">
            <v>0.5</v>
          </cell>
          <cell r="J73">
            <v>22500</v>
          </cell>
          <cell r="K73" t="str">
            <v>Nhãn</v>
          </cell>
          <cell r="L73" t="str">
            <v>Nhãn vượt mật độ</v>
          </cell>
          <cell r="O73" t="e">
            <v>#DIV/0!</v>
          </cell>
          <cell r="Q73">
            <v>0</v>
          </cell>
        </row>
        <row r="74">
          <cell r="B74" t="str">
            <v>Nhãn712</v>
          </cell>
          <cell r="C74" t="str">
            <v>Cây nhãn</v>
          </cell>
          <cell r="D74" t="str">
            <v>7cm ≤ đk gốc &lt; 12cm</v>
          </cell>
          <cell r="E74">
            <v>25</v>
          </cell>
          <cell r="F74" t="str">
            <v>cây</v>
          </cell>
          <cell r="G74">
            <v>2700000</v>
          </cell>
          <cell r="H74">
            <v>0.8</v>
          </cell>
          <cell r="J74">
            <v>86400</v>
          </cell>
        </row>
        <row r="75">
          <cell r="B75" t="str">
            <v>Nhãn1220</v>
          </cell>
          <cell r="C75" t="str">
            <v>Cây nhãn</v>
          </cell>
          <cell r="D75" t="str">
            <v>12cm ≤ đk gốc &lt; 20cm</v>
          </cell>
          <cell r="E75">
            <v>25</v>
          </cell>
          <cell r="F75" t="str">
            <v>cây</v>
          </cell>
          <cell r="G75">
            <v>3750000</v>
          </cell>
          <cell r="H75">
            <v>0.8</v>
          </cell>
          <cell r="J75">
            <v>120000</v>
          </cell>
        </row>
        <row r="76">
          <cell r="B76" t="str">
            <v>Nhãn2030</v>
          </cell>
          <cell r="C76" t="str">
            <v>Cây nhãn</v>
          </cell>
          <cell r="D76" t="str">
            <v>20cm ≤ đk gốc ≤ 30cm</v>
          </cell>
          <cell r="E76">
            <v>25</v>
          </cell>
          <cell r="F76" t="str">
            <v>cây</v>
          </cell>
          <cell r="G76">
            <v>3850000</v>
          </cell>
          <cell r="H76">
            <v>0.8</v>
          </cell>
          <cell r="J76">
            <v>123200</v>
          </cell>
        </row>
        <row r="77">
          <cell r="B77" t="str">
            <v>Nhãn30+</v>
          </cell>
          <cell r="C77" t="str">
            <v>Cây nhãn</v>
          </cell>
          <cell r="D77" t="str">
            <v>đk gốc từ 30cm trở lên</v>
          </cell>
          <cell r="E77">
            <v>25</v>
          </cell>
          <cell r="F77" t="str">
            <v>cây</v>
          </cell>
          <cell r="G77">
            <v>4500000</v>
          </cell>
          <cell r="H77">
            <v>0.8</v>
          </cell>
          <cell r="J77">
            <v>144000</v>
          </cell>
        </row>
        <row r="78">
          <cell r="B78" t="str">
            <v>Nhãn02vmd</v>
          </cell>
          <cell r="C78" t="str">
            <v>Cây nhãn vượt mật độ</v>
          </cell>
          <cell r="D78" t="str">
            <v>đk gốc &lt; 2cm</v>
          </cell>
          <cell r="E78">
            <v>25</v>
          </cell>
          <cell r="F78" t="str">
            <v>cây</v>
          </cell>
          <cell r="G78">
            <v>180000</v>
          </cell>
          <cell r="H78">
            <v>0.25</v>
          </cell>
          <cell r="J78">
            <v>1800</v>
          </cell>
        </row>
        <row r="79">
          <cell r="B79" t="str">
            <v>Nhãn25vmd</v>
          </cell>
          <cell r="C79" t="str">
            <v>Cây nhãn vượt mật độ</v>
          </cell>
          <cell r="D79" t="str">
            <v>2cm ≤ đk gốc &lt; 5cm</v>
          </cell>
          <cell r="E79">
            <v>25</v>
          </cell>
          <cell r="F79" t="str">
            <v>cây</v>
          </cell>
          <cell r="G79">
            <v>370000</v>
          </cell>
          <cell r="H79">
            <v>0.25</v>
          </cell>
          <cell r="J79">
            <v>3700</v>
          </cell>
        </row>
        <row r="80">
          <cell r="B80" t="str">
            <v>Nhãn57vmd</v>
          </cell>
          <cell r="C80" t="str">
            <v>Cây nhãn vượt mật độ</v>
          </cell>
          <cell r="D80" t="str">
            <v>5cm ≤ đk gốc &lt; 7cm</v>
          </cell>
          <cell r="E80">
            <v>25</v>
          </cell>
          <cell r="F80" t="str">
            <v>cây</v>
          </cell>
          <cell r="G80">
            <v>1125000</v>
          </cell>
          <cell r="H80">
            <v>0.25</v>
          </cell>
          <cell r="J80">
            <v>11250</v>
          </cell>
        </row>
        <row r="81">
          <cell r="B81" t="str">
            <v>Nhãn712vmd</v>
          </cell>
          <cell r="C81" t="str">
            <v>Cây nhãn vượt mật độ</v>
          </cell>
          <cell r="D81" t="str">
            <v>7cm ≤ đk gốc &lt; 12cm</v>
          </cell>
          <cell r="E81">
            <v>25</v>
          </cell>
          <cell r="F81" t="str">
            <v>cây</v>
          </cell>
          <cell r="G81">
            <v>2700000</v>
          </cell>
          <cell r="H81">
            <v>0.4</v>
          </cell>
          <cell r="J81">
            <v>43200</v>
          </cell>
        </row>
        <row r="82">
          <cell r="B82" t="str">
            <v>Nhãn1220vmd</v>
          </cell>
          <cell r="C82" t="str">
            <v>Cây nhãn vượt mật độ</v>
          </cell>
          <cell r="D82" t="str">
            <v>12cm ≤ đk gốc &lt; 20cm</v>
          </cell>
          <cell r="E82">
            <v>25</v>
          </cell>
          <cell r="F82" t="str">
            <v>cây</v>
          </cell>
          <cell r="G82">
            <v>3750000</v>
          </cell>
          <cell r="H82">
            <v>0.4</v>
          </cell>
          <cell r="J82">
            <v>60000</v>
          </cell>
        </row>
        <row r="83">
          <cell r="B83" t="str">
            <v>Nhãn2030vmd</v>
          </cell>
          <cell r="C83" t="str">
            <v>Cây nhãn vượt mật độ</v>
          </cell>
          <cell r="D83" t="str">
            <v>20cm ≤ đk gốc ≤ 30cm</v>
          </cell>
          <cell r="E83">
            <v>25</v>
          </cell>
          <cell r="F83" t="str">
            <v>cây</v>
          </cell>
          <cell r="G83">
            <v>3850000</v>
          </cell>
          <cell r="H83">
            <v>0.4</v>
          </cell>
          <cell r="J83">
            <v>61600</v>
          </cell>
        </row>
        <row r="84">
          <cell r="B84" t="str">
            <v>Nhãn30+vmd</v>
          </cell>
          <cell r="C84" t="str">
            <v>Cây nhãn vượt mật độ</v>
          </cell>
          <cell r="D84" t="str">
            <v>đk gốc từ 30cm trở lên</v>
          </cell>
          <cell r="E84">
            <v>25</v>
          </cell>
          <cell r="F84" t="str">
            <v>cây</v>
          </cell>
          <cell r="G84">
            <v>4500000</v>
          </cell>
          <cell r="H84">
            <v>0.4</v>
          </cell>
          <cell r="J84">
            <v>72000</v>
          </cell>
        </row>
        <row r="85">
          <cell r="B85" t="str">
            <v>Nhãn02itl</v>
          </cell>
          <cell r="C85" t="str">
            <v>Cây nhãn ít tán ít lá</v>
          </cell>
          <cell r="D85" t="str">
            <v>đk gốc &lt; 2cm</v>
          </cell>
          <cell r="E85">
            <v>25</v>
          </cell>
          <cell r="F85" t="str">
            <v>cây</v>
          </cell>
          <cell r="G85">
            <v>180000</v>
          </cell>
          <cell r="H85">
            <v>0.5</v>
          </cell>
          <cell r="J85">
            <v>3600</v>
          </cell>
        </row>
        <row r="86">
          <cell r="B86" t="str">
            <v>Nhãn25itl</v>
          </cell>
          <cell r="C86" t="str">
            <v>Cây nhãn ít tán ít lá</v>
          </cell>
          <cell r="D86" t="str">
            <v>2cm ≤ đk gốc &lt; 5cm</v>
          </cell>
          <cell r="E86">
            <v>25</v>
          </cell>
          <cell r="F86" t="str">
            <v>cây</v>
          </cell>
          <cell r="G86">
            <v>370000</v>
          </cell>
          <cell r="H86">
            <v>0.5</v>
          </cell>
          <cell r="J86">
            <v>7400</v>
          </cell>
        </row>
        <row r="87">
          <cell r="B87" t="str">
            <v>Nhãn57itl</v>
          </cell>
          <cell r="C87" t="str">
            <v>Cây nhãn ít tán ít lá</v>
          </cell>
          <cell r="D87" t="str">
            <v>5cm ≤ đk gốc &lt; 7cm</v>
          </cell>
          <cell r="E87">
            <v>25</v>
          </cell>
          <cell r="F87" t="str">
            <v>cây</v>
          </cell>
          <cell r="G87">
            <v>1125000</v>
          </cell>
          <cell r="H87">
            <v>0.5</v>
          </cell>
          <cell r="J87">
            <v>22500</v>
          </cell>
        </row>
        <row r="88">
          <cell r="B88" t="str">
            <v>Nhãn712itl</v>
          </cell>
          <cell r="C88" t="str">
            <v>Cây nhãn ít tán ít lá</v>
          </cell>
          <cell r="D88" t="str">
            <v>7cm ≤ đk gốc &lt; 12cm</v>
          </cell>
          <cell r="E88">
            <v>25</v>
          </cell>
          <cell r="F88" t="str">
            <v>cây</v>
          </cell>
          <cell r="G88">
            <v>2700000</v>
          </cell>
          <cell r="H88">
            <v>0.5</v>
          </cell>
          <cell r="J88">
            <v>54000</v>
          </cell>
        </row>
        <row r="89">
          <cell r="B89" t="str">
            <v>Nhãn1220itl</v>
          </cell>
          <cell r="C89" t="str">
            <v>Cây nhãn ít tán ít lá</v>
          </cell>
          <cell r="D89" t="str">
            <v>12cm ≤ đk gốc &lt; 20cm</v>
          </cell>
          <cell r="E89">
            <v>25</v>
          </cell>
          <cell r="F89" t="str">
            <v>cây</v>
          </cell>
          <cell r="G89">
            <v>3750000</v>
          </cell>
          <cell r="H89">
            <v>0.5</v>
          </cell>
          <cell r="J89">
            <v>75000</v>
          </cell>
        </row>
        <row r="90">
          <cell r="B90" t="str">
            <v>Nhãn2030itl</v>
          </cell>
          <cell r="C90" t="str">
            <v>Cây nhãn ít tán ít lá</v>
          </cell>
          <cell r="D90" t="str">
            <v>20cm ≤ đk gốc ≤ 30cm</v>
          </cell>
          <cell r="E90">
            <v>25</v>
          </cell>
          <cell r="F90" t="str">
            <v>cây</v>
          </cell>
          <cell r="G90">
            <v>3850000</v>
          </cell>
          <cell r="H90">
            <v>0.5</v>
          </cell>
          <cell r="J90">
            <v>77000</v>
          </cell>
        </row>
        <row r="91">
          <cell r="B91" t="str">
            <v>Nhãn30+itl</v>
          </cell>
          <cell r="C91" t="str">
            <v>Cây nhãn ít tán ít lá</v>
          </cell>
          <cell r="D91" t="str">
            <v>đk gốc từ 30cm trở lên</v>
          </cell>
          <cell r="E91">
            <v>25</v>
          </cell>
          <cell r="F91" t="str">
            <v>cây</v>
          </cell>
          <cell r="G91">
            <v>4500000</v>
          </cell>
          <cell r="H91">
            <v>0.5</v>
          </cell>
          <cell r="J91">
            <v>90000</v>
          </cell>
        </row>
        <row r="92">
          <cell r="B92" t="str">
            <v>Nhãn02itlvmd</v>
          </cell>
          <cell r="C92" t="str">
            <v>Cây nhãn ít tán ít lá vượt mật độ</v>
          </cell>
          <cell r="D92" t="str">
            <v>đk gốc &lt; 2cm</v>
          </cell>
          <cell r="E92">
            <v>25</v>
          </cell>
          <cell r="F92" t="str">
            <v>cây</v>
          </cell>
          <cell r="G92">
            <v>180000</v>
          </cell>
          <cell r="H92">
            <v>0.25</v>
          </cell>
          <cell r="J92">
            <v>1800</v>
          </cell>
        </row>
        <row r="93">
          <cell r="B93" t="str">
            <v>Nhãn25itlvmd</v>
          </cell>
          <cell r="C93" t="str">
            <v>Cây nhãn ít tán ít lá vượt mật độ</v>
          </cell>
          <cell r="D93" t="str">
            <v>2cm ≤ đk gốc &lt; 5cm</v>
          </cell>
          <cell r="E93">
            <v>25</v>
          </cell>
          <cell r="F93" t="str">
            <v>cây</v>
          </cell>
          <cell r="G93">
            <v>370000</v>
          </cell>
          <cell r="H93">
            <v>0.25</v>
          </cell>
          <cell r="J93">
            <v>3700</v>
          </cell>
        </row>
        <row r="94">
          <cell r="B94" t="str">
            <v>Nhãn57itlvmd</v>
          </cell>
          <cell r="C94" t="str">
            <v>Cây nhãn ít tán ít lá vượt mật độ</v>
          </cell>
          <cell r="D94" t="str">
            <v>5cm ≤ đk gốc &lt; 7cm</v>
          </cell>
          <cell r="E94">
            <v>25</v>
          </cell>
          <cell r="F94" t="str">
            <v>cây</v>
          </cell>
          <cell r="G94">
            <v>1125000</v>
          </cell>
          <cell r="H94">
            <v>0.25</v>
          </cell>
          <cell r="J94">
            <v>11250</v>
          </cell>
        </row>
        <row r="95">
          <cell r="B95" t="str">
            <v>Nhãn712itlvmd</v>
          </cell>
          <cell r="C95" t="str">
            <v>Cây nhãn ít tán ít lá vượt mật độ</v>
          </cell>
          <cell r="D95" t="str">
            <v>7cm ≤ đk gốc &lt; 12cm</v>
          </cell>
          <cell r="E95">
            <v>25</v>
          </cell>
          <cell r="F95" t="str">
            <v>cây</v>
          </cell>
          <cell r="G95">
            <v>2700000</v>
          </cell>
          <cell r="H95">
            <v>0.25</v>
          </cell>
          <cell r="J95">
            <v>27000</v>
          </cell>
        </row>
        <row r="96">
          <cell r="B96" t="str">
            <v>Nhãn1220itlvmd</v>
          </cell>
          <cell r="C96" t="str">
            <v>Cây nhãn ít tán ít lá vượt mật độ</v>
          </cell>
          <cell r="D96" t="str">
            <v>12cm ≤ đk gốc &lt; 20cm</v>
          </cell>
          <cell r="E96">
            <v>25</v>
          </cell>
          <cell r="F96" t="str">
            <v>cây</v>
          </cell>
          <cell r="G96">
            <v>3750000</v>
          </cell>
          <cell r="H96">
            <v>0.25</v>
          </cell>
          <cell r="J96">
            <v>37500</v>
          </cell>
        </row>
        <row r="97">
          <cell r="B97" t="str">
            <v>Nhãn2030itlvmd</v>
          </cell>
          <cell r="C97" t="str">
            <v>Cây nhãn ít tán ít lá vượt mật độ</v>
          </cell>
          <cell r="D97" t="str">
            <v>20cm ≤ đk gốc ≤ 30cm</v>
          </cell>
          <cell r="E97">
            <v>25</v>
          </cell>
          <cell r="F97" t="str">
            <v>cây</v>
          </cell>
          <cell r="G97">
            <v>3850000</v>
          </cell>
          <cell r="H97">
            <v>0.25</v>
          </cell>
          <cell r="J97">
            <v>38500</v>
          </cell>
        </row>
        <row r="98">
          <cell r="B98" t="str">
            <v>Nhãn30+itlvmd</v>
          </cell>
          <cell r="C98" t="str">
            <v>Cây nhãn ít tán ít lá vượt mật độ</v>
          </cell>
          <cell r="D98" t="str">
            <v>đk gốc từ 30cm trở lên</v>
          </cell>
          <cell r="E98">
            <v>25</v>
          </cell>
          <cell r="F98" t="str">
            <v>cây</v>
          </cell>
          <cell r="G98">
            <v>4500000</v>
          </cell>
          <cell r="H98">
            <v>0.25</v>
          </cell>
          <cell r="J98">
            <v>45000</v>
          </cell>
        </row>
        <row r="99">
          <cell r="C99" t="str">
            <v>Cây vải</v>
          </cell>
          <cell r="J99" t="e">
            <v>#DIV/0!</v>
          </cell>
          <cell r="M99" t="str">
            <v>0,1 x 0,1x 1.8 m * 20 cột</v>
          </cell>
          <cell r="O99">
            <v>0.36000000000000004</v>
          </cell>
        </row>
        <row r="100">
          <cell r="B100" t="str">
            <v>Vải02</v>
          </cell>
          <cell r="C100" t="str">
            <v>Cây vải</v>
          </cell>
          <cell r="D100" t="str">
            <v>đk gốc &lt; 2cm</v>
          </cell>
          <cell r="E100">
            <v>25</v>
          </cell>
          <cell r="F100" t="str">
            <v>cây</v>
          </cell>
          <cell r="G100">
            <v>180000</v>
          </cell>
          <cell r="H100">
            <v>0.5</v>
          </cell>
          <cell r="J100">
            <v>3600</v>
          </cell>
        </row>
        <row r="101">
          <cell r="B101" t="str">
            <v>Vải25</v>
          </cell>
          <cell r="C101" t="str">
            <v>Cây vải</v>
          </cell>
          <cell r="D101" t="str">
            <v>2cm ≤ đk gốc &lt; 5cm</v>
          </cell>
          <cell r="E101">
            <v>25</v>
          </cell>
          <cell r="F101" t="str">
            <v>cây</v>
          </cell>
          <cell r="G101">
            <v>370000</v>
          </cell>
          <cell r="H101">
            <v>0.5</v>
          </cell>
          <cell r="J101">
            <v>7400</v>
          </cell>
        </row>
        <row r="102">
          <cell r="B102" t="str">
            <v>Vải57</v>
          </cell>
          <cell r="C102" t="str">
            <v>Cây vải</v>
          </cell>
          <cell r="D102" t="str">
            <v>5cm ≤ đk gốc &lt; 7cm</v>
          </cell>
          <cell r="E102">
            <v>25</v>
          </cell>
          <cell r="F102" t="str">
            <v>cây</v>
          </cell>
          <cell r="G102">
            <v>1125000</v>
          </cell>
          <cell r="H102">
            <v>0.5</v>
          </cell>
          <cell r="J102">
            <v>22500</v>
          </cell>
          <cell r="O102" t="e">
            <v>#DIV/0!</v>
          </cell>
          <cell r="Q102">
            <v>0</v>
          </cell>
        </row>
        <row r="103">
          <cell r="B103" t="str">
            <v>Vải712</v>
          </cell>
          <cell r="C103" t="str">
            <v>Cây vải</v>
          </cell>
          <cell r="D103" t="str">
            <v>7cm ≤ đk gốc &lt; 12cm</v>
          </cell>
          <cell r="E103">
            <v>25</v>
          </cell>
          <cell r="F103" t="str">
            <v>cây</v>
          </cell>
          <cell r="G103">
            <v>2700000</v>
          </cell>
          <cell r="H103">
            <v>0.8</v>
          </cell>
          <cell r="J103">
            <v>86400</v>
          </cell>
          <cell r="K103" t="str">
            <v>Bưởi20+vmd</v>
          </cell>
          <cell r="L103" t="str">
            <v>Bưởi vượt mật độ</v>
          </cell>
          <cell r="O103">
            <v>0.2</v>
          </cell>
          <cell r="T103">
            <v>0.25</v>
          </cell>
        </row>
        <row r="104">
          <cell r="B104" t="str">
            <v>Vải1220</v>
          </cell>
          <cell r="C104" t="str">
            <v>Cây vải</v>
          </cell>
          <cell r="D104" t="str">
            <v>12cm ≤ đk gốc &lt; 20cm</v>
          </cell>
          <cell r="E104">
            <v>25</v>
          </cell>
          <cell r="F104" t="str">
            <v>cây</v>
          </cell>
          <cell r="G104">
            <v>3750000</v>
          </cell>
          <cell r="H104">
            <v>0.8</v>
          </cell>
          <cell r="J104">
            <v>120000</v>
          </cell>
        </row>
        <row r="105">
          <cell r="B105" t="str">
            <v>Vải2030</v>
          </cell>
          <cell r="C105" t="str">
            <v>Cây vải</v>
          </cell>
          <cell r="D105" t="str">
            <v>20cm ≤ đk gốc ≤ 30cm</v>
          </cell>
          <cell r="E105">
            <v>25</v>
          </cell>
          <cell r="F105" t="str">
            <v>cây</v>
          </cell>
          <cell r="G105">
            <v>3850000</v>
          </cell>
          <cell r="H105">
            <v>0.8</v>
          </cell>
          <cell r="J105">
            <v>123200</v>
          </cell>
        </row>
        <row r="106">
          <cell r="B106" t="str">
            <v>Vải30+</v>
          </cell>
          <cell r="C106" t="str">
            <v>Cây vải</v>
          </cell>
          <cell r="D106" t="str">
            <v>đk gốc từ 30cm trở lên</v>
          </cell>
          <cell r="E106">
            <v>25</v>
          </cell>
          <cell r="F106" t="str">
            <v>cây</v>
          </cell>
          <cell r="G106">
            <v>4500000</v>
          </cell>
          <cell r="H106">
            <v>0.8</v>
          </cell>
          <cell r="J106">
            <v>144000</v>
          </cell>
        </row>
        <row r="107">
          <cell r="B107" t="str">
            <v>Vải02vmd</v>
          </cell>
          <cell r="C107" t="str">
            <v>Cây vải vượt mật độ</v>
          </cell>
          <cell r="D107" t="str">
            <v>đk gốc &lt; 2cm</v>
          </cell>
          <cell r="E107">
            <v>25</v>
          </cell>
          <cell r="F107" t="str">
            <v>cây</v>
          </cell>
          <cell r="G107">
            <v>180000</v>
          </cell>
          <cell r="H107">
            <v>0.25</v>
          </cell>
          <cell r="J107">
            <v>1800</v>
          </cell>
        </row>
        <row r="108">
          <cell r="B108" t="str">
            <v>Vải25vmd</v>
          </cell>
          <cell r="C108" t="str">
            <v>Cây vải vượt mật độ</v>
          </cell>
          <cell r="D108" t="str">
            <v>2cm ≤ đk gốc &lt; 5cm</v>
          </cell>
          <cell r="E108">
            <v>25</v>
          </cell>
          <cell r="F108" t="str">
            <v>cây</v>
          </cell>
          <cell r="G108">
            <v>370000</v>
          </cell>
          <cell r="H108">
            <v>0.25</v>
          </cell>
          <cell r="J108">
            <v>3700</v>
          </cell>
        </row>
        <row r="109">
          <cell r="B109" t="str">
            <v>Vải57vmd</v>
          </cell>
          <cell r="C109" t="str">
            <v>Cây vải vượt mật độ</v>
          </cell>
          <cell r="D109" t="str">
            <v>5cm ≤ đk gốc &lt; 7cm</v>
          </cell>
          <cell r="E109">
            <v>25</v>
          </cell>
          <cell r="F109" t="str">
            <v>cây</v>
          </cell>
          <cell r="G109">
            <v>1125000</v>
          </cell>
          <cell r="H109">
            <v>0.25</v>
          </cell>
          <cell r="J109">
            <v>11250</v>
          </cell>
        </row>
        <row r="110">
          <cell r="B110" t="str">
            <v>Vải712vmd</v>
          </cell>
          <cell r="C110" t="str">
            <v>Cây vải vượt mật độ</v>
          </cell>
          <cell r="D110" t="str">
            <v>7cm ≤ đk gốc &lt; 12cm</v>
          </cell>
          <cell r="E110">
            <v>25</v>
          </cell>
          <cell r="F110" t="str">
            <v>cây</v>
          </cell>
          <cell r="G110">
            <v>2700000</v>
          </cell>
          <cell r="H110">
            <v>0.4</v>
          </cell>
          <cell r="J110">
            <v>43200</v>
          </cell>
        </row>
        <row r="111">
          <cell r="B111" t="str">
            <v>Vải1220vmd</v>
          </cell>
          <cell r="C111" t="str">
            <v>Cây vải vượt mật độ</v>
          </cell>
          <cell r="D111" t="str">
            <v>12cm ≤ đk gốc &lt; 20cm</v>
          </cell>
          <cell r="E111">
            <v>25</v>
          </cell>
          <cell r="F111" t="str">
            <v>cây</v>
          </cell>
          <cell r="G111">
            <v>3750000</v>
          </cell>
          <cell r="H111">
            <v>0.4</v>
          </cell>
          <cell r="J111">
            <v>60000</v>
          </cell>
        </row>
        <row r="112">
          <cell r="B112" t="str">
            <v>Vải2030vmd</v>
          </cell>
          <cell r="C112" t="str">
            <v>Cây vải vượt mật độ</v>
          </cell>
          <cell r="D112" t="str">
            <v>20cm ≤ đk gốc ≤ 30cm</v>
          </cell>
          <cell r="E112">
            <v>25</v>
          </cell>
          <cell r="F112" t="str">
            <v>cây</v>
          </cell>
          <cell r="G112">
            <v>3850000</v>
          </cell>
          <cell r="H112">
            <v>0.4</v>
          </cell>
          <cell r="J112">
            <v>61600</v>
          </cell>
        </row>
        <row r="113">
          <cell r="B113" t="str">
            <v>Vải30+vmd</v>
          </cell>
          <cell r="C113" t="str">
            <v>Cây vải vượt mật độ</v>
          </cell>
          <cell r="D113" t="str">
            <v>đk gốc từ 30cm trở lên</v>
          </cell>
          <cell r="E113">
            <v>25</v>
          </cell>
          <cell r="F113" t="str">
            <v>cây</v>
          </cell>
          <cell r="G113">
            <v>4500000</v>
          </cell>
          <cell r="H113">
            <v>0.4</v>
          </cell>
          <cell r="J113">
            <v>72000</v>
          </cell>
        </row>
        <row r="114">
          <cell r="C114" t="str">
            <v>Mít</v>
          </cell>
          <cell r="J114" t="e">
            <v>#DIV/0!</v>
          </cell>
        </row>
        <row r="115">
          <cell r="B115" t="str">
            <v>Mít02</v>
          </cell>
          <cell r="C115" t="str">
            <v>Cây mít</v>
          </cell>
          <cell r="D115" t="str">
            <v>đk gốc &lt; 2cm</v>
          </cell>
          <cell r="E115">
            <v>25</v>
          </cell>
          <cell r="F115" t="str">
            <v>cây</v>
          </cell>
          <cell r="G115">
            <v>180000</v>
          </cell>
          <cell r="H115">
            <v>0.5</v>
          </cell>
          <cell r="J115">
            <v>3600</v>
          </cell>
        </row>
        <row r="116">
          <cell r="B116" t="str">
            <v>Mít24</v>
          </cell>
          <cell r="C116" t="str">
            <v>Cây mít</v>
          </cell>
          <cell r="D116" t="str">
            <v>2cm ≤ đk gốc ≤ 4cm</v>
          </cell>
          <cell r="E116">
            <v>25</v>
          </cell>
          <cell r="F116" t="str">
            <v>cây</v>
          </cell>
          <cell r="G116">
            <v>250000</v>
          </cell>
          <cell r="H116">
            <v>0.5</v>
          </cell>
          <cell r="J116">
            <v>5000</v>
          </cell>
        </row>
        <row r="117">
          <cell r="B117" t="str">
            <v>Mít48</v>
          </cell>
          <cell r="C117" t="str">
            <v>Cây mít</v>
          </cell>
          <cell r="D117" t="str">
            <v>4cm &lt; đk gốc ≤ 8cm</v>
          </cell>
          <cell r="E117">
            <v>25</v>
          </cell>
          <cell r="F117" t="str">
            <v>cây</v>
          </cell>
          <cell r="G117">
            <v>500000</v>
          </cell>
          <cell r="H117">
            <v>0.5</v>
          </cell>
          <cell r="J117">
            <v>10000</v>
          </cell>
        </row>
        <row r="118">
          <cell r="B118" t="str">
            <v>Mít815</v>
          </cell>
          <cell r="C118" t="str">
            <v>Cây mít</v>
          </cell>
          <cell r="D118" t="str">
            <v>8cm &lt; đk gốc ≤ 15cm</v>
          </cell>
          <cell r="E118">
            <v>25</v>
          </cell>
          <cell r="F118" t="str">
            <v>cây</v>
          </cell>
          <cell r="G118">
            <v>1000000</v>
          </cell>
          <cell r="H118">
            <v>0.8</v>
          </cell>
          <cell r="J118">
            <v>32000</v>
          </cell>
        </row>
        <row r="119">
          <cell r="B119" t="str">
            <v>Mít1525</v>
          </cell>
          <cell r="C119" t="str">
            <v>Cây mít</v>
          </cell>
          <cell r="D119" t="str">
            <v>15cm &lt; đk gốc ≤ 25cm</v>
          </cell>
          <cell r="E119">
            <v>25</v>
          </cell>
          <cell r="F119" t="str">
            <v>cây</v>
          </cell>
          <cell r="G119">
            <v>1500000</v>
          </cell>
          <cell r="H119">
            <v>0.8</v>
          </cell>
          <cell r="J119">
            <v>48000</v>
          </cell>
        </row>
        <row r="120">
          <cell r="B120" t="str">
            <v>Mít2540</v>
          </cell>
          <cell r="C120" t="str">
            <v>Cây mít</v>
          </cell>
          <cell r="D120" t="str">
            <v>25cm &lt; đk gốc ≤ 40cm</v>
          </cell>
          <cell r="E120">
            <v>25</v>
          </cell>
          <cell r="F120" t="str">
            <v>cây</v>
          </cell>
          <cell r="G120">
            <v>2000000</v>
          </cell>
          <cell r="H120">
            <v>0.8</v>
          </cell>
          <cell r="J120">
            <v>64000</v>
          </cell>
        </row>
        <row r="121">
          <cell r="B121" t="str">
            <v>Mít4060</v>
          </cell>
          <cell r="C121" t="str">
            <v>Cây mít</v>
          </cell>
          <cell r="D121" t="str">
            <v>40cm &lt; đk gốc ≤ 60cm</v>
          </cell>
          <cell r="E121">
            <v>25</v>
          </cell>
          <cell r="F121" t="str">
            <v>cây</v>
          </cell>
          <cell r="G121">
            <v>2800000</v>
          </cell>
          <cell r="H121">
            <v>0.8</v>
          </cell>
          <cell r="J121">
            <v>89600</v>
          </cell>
        </row>
        <row r="122">
          <cell r="B122" t="str">
            <v>Mít60+</v>
          </cell>
          <cell r="C122" t="str">
            <v>Cây mít</v>
          </cell>
          <cell r="D122" t="str">
            <v>đk gốc 60cm trở lên</v>
          </cell>
          <cell r="E122">
            <v>25</v>
          </cell>
          <cell r="F122" t="str">
            <v>cây</v>
          </cell>
          <cell r="G122">
            <v>3500000</v>
          </cell>
          <cell r="H122">
            <v>0.8</v>
          </cell>
          <cell r="J122">
            <v>112000</v>
          </cell>
        </row>
        <row r="123">
          <cell r="B123" t="str">
            <v>Mít02vmd</v>
          </cell>
          <cell r="C123" t="str">
            <v>Cây mít vượt mật độ</v>
          </cell>
          <cell r="D123" t="str">
            <v>đk gốc &lt; 2cm</v>
          </cell>
          <cell r="E123">
            <v>25</v>
          </cell>
          <cell r="F123" t="str">
            <v>cây</v>
          </cell>
          <cell r="G123">
            <v>180000</v>
          </cell>
          <cell r="H123">
            <v>0.25</v>
          </cell>
          <cell r="J123">
            <v>1800</v>
          </cell>
        </row>
        <row r="124">
          <cell r="B124" t="str">
            <v>Mít24vmd</v>
          </cell>
          <cell r="C124" t="str">
            <v>Cây mít vượt mật độ</v>
          </cell>
          <cell r="D124" t="str">
            <v>2cm ≤ đk gốc ≤ 4cm</v>
          </cell>
          <cell r="E124">
            <v>25</v>
          </cell>
          <cell r="F124" t="str">
            <v>cây</v>
          </cell>
          <cell r="G124">
            <v>250000</v>
          </cell>
          <cell r="H124">
            <v>0.25</v>
          </cell>
          <cell r="J124">
            <v>2500</v>
          </cell>
        </row>
        <row r="125">
          <cell r="B125" t="str">
            <v>Mít48vmd</v>
          </cell>
          <cell r="C125" t="str">
            <v>Cây mít vượt mật độ</v>
          </cell>
          <cell r="D125" t="str">
            <v>4cm &lt; đk gốc ≤ 8cm</v>
          </cell>
          <cell r="E125">
            <v>25</v>
          </cell>
          <cell r="F125" t="str">
            <v>cây</v>
          </cell>
          <cell r="G125">
            <v>500000</v>
          </cell>
          <cell r="H125">
            <v>0.25</v>
          </cell>
          <cell r="J125">
            <v>5000</v>
          </cell>
        </row>
        <row r="126">
          <cell r="B126" t="str">
            <v>Mít815vmd</v>
          </cell>
          <cell r="C126" t="str">
            <v>Cây mít vượt mật độ</v>
          </cell>
          <cell r="D126" t="str">
            <v>8cm &lt; đk gốc ≤ 15cm</v>
          </cell>
          <cell r="E126">
            <v>25</v>
          </cell>
          <cell r="F126" t="str">
            <v>cây</v>
          </cell>
          <cell r="G126">
            <v>1000000</v>
          </cell>
          <cell r="H126">
            <v>0.4</v>
          </cell>
          <cell r="J126">
            <v>16000</v>
          </cell>
        </row>
        <row r="127">
          <cell r="B127" t="str">
            <v>Mít1525vmd</v>
          </cell>
          <cell r="C127" t="str">
            <v>Cây mít vượt mật độ</v>
          </cell>
          <cell r="D127" t="str">
            <v>15cm &lt; đk gốc ≤ 25cm</v>
          </cell>
          <cell r="E127">
            <v>25</v>
          </cell>
          <cell r="F127" t="str">
            <v>cây</v>
          </cell>
          <cell r="G127">
            <v>1500000</v>
          </cell>
          <cell r="H127">
            <v>0.4</v>
          </cell>
          <cell r="J127">
            <v>24000</v>
          </cell>
        </row>
        <row r="128">
          <cell r="B128" t="str">
            <v>Mít2540vmd</v>
          </cell>
          <cell r="C128" t="str">
            <v>Cây mít vượt mật độ</v>
          </cell>
          <cell r="D128" t="str">
            <v>25cm &lt; đk gốc ≤ 40cm</v>
          </cell>
          <cell r="E128">
            <v>25</v>
          </cell>
          <cell r="F128" t="str">
            <v>cây</v>
          </cell>
          <cell r="G128">
            <v>2000000</v>
          </cell>
          <cell r="H128">
            <v>0.4</v>
          </cell>
          <cell r="J128">
            <v>32000</v>
          </cell>
        </row>
        <row r="129">
          <cell r="B129" t="str">
            <v>Mít4060vmd</v>
          </cell>
          <cell r="C129" t="str">
            <v>Cây mít vượt mật độ</v>
          </cell>
          <cell r="D129" t="str">
            <v>40cm ≤ đk gốc ≤ 60cm</v>
          </cell>
          <cell r="E129">
            <v>628</v>
          </cell>
          <cell r="F129" t="str">
            <v>cây</v>
          </cell>
          <cell r="G129">
            <v>2800000</v>
          </cell>
          <cell r="H129">
            <v>0.4</v>
          </cell>
          <cell r="J129">
            <v>1783.43949044586</v>
          </cell>
        </row>
        <row r="130">
          <cell r="B130" t="str">
            <v>Mít60+vmd</v>
          </cell>
          <cell r="C130" t="str">
            <v>Cây mít vượt mật độ</v>
          </cell>
          <cell r="D130" t="str">
            <v>đk gốc 60cm trở lên</v>
          </cell>
          <cell r="E130">
            <v>25</v>
          </cell>
          <cell r="F130" t="str">
            <v>cây</v>
          </cell>
          <cell r="G130">
            <v>3500000</v>
          </cell>
          <cell r="H130">
            <v>0.4</v>
          </cell>
          <cell r="J130">
            <v>56000</v>
          </cell>
        </row>
        <row r="131">
          <cell r="C131" t="str">
            <v>Bưởi</v>
          </cell>
          <cell r="J131" t="e">
            <v>#DIV/0!</v>
          </cell>
        </row>
        <row r="132">
          <cell r="B132" t="str">
            <v>Bưởi02</v>
          </cell>
          <cell r="C132" t="str">
            <v>Cây bưởi</v>
          </cell>
          <cell r="D132" t="str">
            <v>đk gốc &lt; 2cm</v>
          </cell>
          <cell r="E132">
            <v>20</v>
          </cell>
          <cell r="F132" t="str">
            <v>cây</v>
          </cell>
          <cell r="G132">
            <v>110000</v>
          </cell>
          <cell r="H132">
            <v>0.5</v>
          </cell>
          <cell r="J132">
            <v>2750</v>
          </cell>
        </row>
        <row r="133">
          <cell r="B133" t="str">
            <v>Bưởi25</v>
          </cell>
          <cell r="C133" t="str">
            <v>Cây bưởi</v>
          </cell>
          <cell r="D133" t="str">
            <v>2cm ≤ đk gốc &lt; 5cm</v>
          </cell>
          <cell r="E133">
            <v>20</v>
          </cell>
          <cell r="F133" t="str">
            <v>cây</v>
          </cell>
          <cell r="G133">
            <v>350000</v>
          </cell>
          <cell r="H133">
            <v>0.5</v>
          </cell>
          <cell r="J133">
            <v>8750</v>
          </cell>
        </row>
        <row r="134">
          <cell r="B134" t="str">
            <v>Bưởi58</v>
          </cell>
          <cell r="C134" t="str">
            <v>Cây bưởi</v>
          </cell>
          <cell r="D134" t="str">
            <v>5cm ≤ đk gốc &lt; 8cm</v>
          </cell>
          <cell r="E134">
            <v>20</v>
          </cell>
          <cell r="F134" t="str">
            <v>cây</v>
          </cell>
          <cell r="G134">
            <v>1100000</v>
          </cell>
          <cell r="H134">
            <v>0.5</v>
          </cell>
          <cell r="J134">
            <v>27500</v>
          </cell>
        </row>
        <row r="135">
          <cell r="B135" t="str">
            <v>Bưởi812</v>
          </cell>
          <cell r="C135" t="str">
            <v>Cây bưởi</v>
          </cell>
          <cell r="D135" t="str">
            <v>8cm ≤ đk gốc &lt; 12cm</v>
          </cell>
          <cell r="E135">
            <v>20</v>
          </cell>
          <cell r="F135" t="str">
            <v>cây</v>
          </cell>
          <cell r="G135">
            <v>1800000</v>
          </cell>
          <cell r="H135">
            <v>0.8</v>
          </cell>
          <cell r="J135">
            <v>72000</v>
          </cell>
        </row>
        <row r="136">
          <cell r="B136" t="str">
            <v>Bưởi1220</v>
          </cell>
          <cell r="C136" t="str">
            <v>Cây bưởi</v>
          </cell>
          <cell r="D136" t="str">
            <v>12cm ≤ đk gốc ≤ 20cm</v>
          </cell>
          <cell r="E136">
            <v>20</v>
          </cell>
          <cell r="F136" t="str">
            <v>cây</v>
          </cell>
          <cell r="G136">
            <v>2500000</v>
          </cell>
          <cell r="H136">
            <v>0.8</v>
          </cell>
          <cell r="J136">
            <v>100000</v>
          </cell>
          <cell r="O136">
            <v>428</v>
          </cell>
        </row>
        <row r="137">
          <cell r="B137" t="str">
            <v>Bưởi20+</v>
          </cell>
          <cell r="C137" t="str">
            <v>Cây bưởi</v>
          </cell>
          <cell r="D137" t="str">
            <v>đk gốc 20cm trở lên</v>
          </cell>
          <cell r="E137">
            <v>20</v>
          </cell>
          <cell r="F137" t="str">
            <v>cây</v>
          </cell>
          <cell r="G137">
            <v>3000000</v>
          </cell>
          <cell r="H137">
            <v>0.8</v>
          </cell>
          <cell r="J137">
            <v>120000</v>
          </cell>
          <cell r="O137">
            <v>872</v>
          </cell>
        </row>
        <row r="138">
          <cell r="B138" t="str">
            <v>Bưởi02vmd</v>
          </cell>
          <cell r="C138" t="str">
            <v>Cây bưởi vượt mật độ</v>
          </cell>
          <cell r="D138" t="str">
            <v>đk gốc &lt; 2cm</v>
          </cell>
          <cell r="E138">
            <v>20</v>
          </cell>
          <cell r="F138" t="str">
            <v>cây</v>
          </cell>
          <cell r="G138">
            <v>110000</v>
          </cell>
          <cell r="H138">
            <v>0.25</v>
          </cell>
          <cell r="J138">
            <v>1375</v>
          </cell>
        </row>
        <row r="139">
          <cell r="B139" t="str">
            <v>Bưởi25vmd</v>
          </cell>
          <cell r="C139" t="str">
            <v>Cây bưởi vượt mật độ</v>
          </cell>
          <cell r="D139" t="str">
            <v>2cm ≤ đk gốc &lt; 5cm</v>
          </cell>
          <cell r="E139">
            <v>20</v>
          </cell>
          <cell r="F139" t="str">
            <v>cây</v>
          </cell>
          <cell r="G139">
            <v>350000</v>
          </cell>
          <cell r="H139">
            <v>0.25</v>
          </cell>
          <cell r="J139">
            <v>4375</v>
          </cell>
        </row>
        <row r="140">
          <cell r="B140" t="str">
            <v>Bưởi58vmd</v>
          </cell>
          <cell r="C140" t="str">
            <v>Cây bưởi vượt mật độ</v>
          </cell>
          <cell r="D140" t="str">
            <v>5cm ≤ đk gốc &lt; 8cm</v>
          </cell>
          <cell r="E140">
            <v>20</v>
          </cell>
          <cell r="F140" t="str">
            <v>cây</v>
          </cell>
          <cell r="G140">
            <v>1100000</v>
          </cell>
          <cell r="H140">
            <v>0.25</v>
          </cell>
          <cell r="J140">
            <v>13750</v>
          </cell>
        </row>
        <row r="141">
          <cell r="B141" t="str">
            <v>Bưởi812vmd</v>
          </cell>
          <cell r="C141" t="str">
            <v>Cây bưởi vượt mật độ</v>
          </cell>
          <cell r="D141" t="str">
            <v>8cm ≤ đk gốc &lt; 12cm</v>
          </cell>
          <cell r="E141">
            <v>20</v>
          </cell>
          <cell r="F141" t="str">
            <v>cây</v>
          </cell>
          <cell r="G141">
            <v>1800000</v>
          </cell>
          <cell r="H141">
            <v>0.4</v>
          </cell>
          <cell r="J141">
            <v>36000</v>
          </cell>
        </row>
        <row r="142">
          <cell r="B142" t="str">
            <v>Bưởi1220vmd</v>
          </cell>
          <cell r="C142" t="str">
            <v>Cây bưởi vượt mật độ</v>
          </cell>
          <cell r="D142" t="str">
            <v>12cm ≤ đk gốc ≤ 20cm</v>
          </cell>
          <cell r="E142">
            <v>20</v>
          </cell>
          <cell r="F142" t="str">
            <v>cây</v>
          </cell>
          <cell r="G142">
            <v>2500000</v>
          </cell>
          <cell r="H142">
            <v>0.4</v>
          </cell>
          <cell r="J142">
            <v>50000</v>
          </cell>
        </row>
        <row r="143">
          <cell r="B143" t="str">
            <v>Bưởi20+vmd</v>
          </cell>
          <cell r="C143" t="str">
            <v>Cây bưởi vượt mật độ</v>
          </cell>
          <cell r="D143" t="str">
            <v>đk gốc 20cm trở lên</v>
          </cell>
          <cell r="E143">
            <v>20</v>
          </cell>
          <cell r="F143" t="str">
            <v>cây</v>
          </cell>
          <cell r="G143">
            <v>3000000</v>
          </cell>
          <cell r="H143">
            <v>0.4</v>
          </cell>
          <cell r="J143">
            <v>60000</v>
          </cell>
        </row>
        <row r="144">
          <cell r="B144" t="str">
            <v>Bưởi02chau</v>
          </cell>
          <cell r="C144" t="str">
            <v>Cây bưởi trồng trên chậu</v>
          </cell>
          <cell r="D144" t="str">
            <v>đk gốc &lt; 2cm</v>
          </cell>
          <cell r="E144">
            <v>20</v>
          </cell>
          <cell r="F144" t="str">
            <v>cây</v>
          </cell>
          <cell r="G144">
            <v>110000</v>
          </cell>
          <cell r="H144">
            <v>0.5</v>
          </cell>
          <cell r="J144">
            <v>2750</v>
          </cell>
        </row>
        <row r="145">
          <cell r="B145" t="str">
            <v>Bưởi25chau</v>
          </cell>
          <cell r="C145" t="str">
            <v>Cây bưởi trồng trên chậu</v>
          </cell>
          <cell r="D145" t="str">
            <v>2cm ≤ đk gốc &lt; 5cm</v>
          </cell>
          <cell r="E145">
            <v>20</v>
          </cell>
          <cell r="F145" t="str">
            <v>cây</v>
          </cell>
          <cell r="G145">
            <v>350000</v>
          </cell>
          <cell r="H145">
            <v>0.5</v>
          </cell>
          <cell r="J145">
            <v>8750</v>
          </cell>
        </row>
        <row r="146">
          <cell r="B146" t="str">
            <v>Bưởi58chau</v>
          </cell>
          <cell r="C146" t="str">
            <v>Cây bưởi trồng trên chậu</v>
          </cell>
          <cell r="D146" t="str">
            <v>5cm ≤ đk gốc &lt; 8cm</v>
          </cell>
          <cell r="E146">
            <v>20</v>
          </cell>
          <cell r="F146" t="str">
            <v>cây</v>
          </cell>
          <cell r="G146">
            <v>1100000</v>
          </cell>
          <cell r="H146">
            <v>0.5</v>
          </cell>
          <cell r="J146">
            <v>27500</v>
          </cell>
        </row>
        <row r="147">
          <cell r="B147" t="str">
            <v>Bưởi812chau</v>
          </cell>
          <cell r="C147" t="str">
            <v>Cây bưởi trồng trên chậu</v>
          </cell>
          <cell r="D147" t="str">
            <v>8cm ≤ đk gốc &lt; 12cm</v>
          </cell>
          <cell r="E147">
            <v>20</v>
          </cell>
          <cell r="F147" t="str">
            <v>cây</v>
          </cell>
          <cell r="G147">
            <v>1800000</v>
          </cell>
          <cell r="H147">
            <v>0.5</v>
          </cell>
          <cell r="J147">
            <v>45000</v>
          </cell>
        </row>
        <row r="148">
          <cell r="B148" t="str">
            <v>Bưởi1220chau</v>
          </cell>
          <cell r="C148" t="str">
            <v>Cây bưởi trồng trên chậu</v>
          </cell>
          <cell r="D148" t="str">
            <v>12cm ≤ đk gốc ≤ 20cm</v>
          </cell>
          <cell r="E148">
            <v>20</v>
          </cell>
          <cell r="F148" t="str">
            <v>cây</v>
          </cell>
          <cell r="G148">
            <v>2500000</v>
          </cell>
          <cell r="H148">
            <v>0.5</v>
          </cell>
          <cell r="J148">
            <v>62500</v>
          </cell>
        </row>
        <row r="149">
          <cell r="B149" t="str">
            <v>Bưởi20+chau</v>
          </cell>
          <cell r="C149" t="str">
            <v>Cây bưởi trồng trên chậu</v>
          </cell>
          <cell r="D149" t="str">
            <v>đk gốc 20cm trở lên</v>
          </cell>
          <cell r="E149">
            <v>20</v>
          </cell>
          <cell r="F149" t="str">
            <v>cây</v>
          </cell>
          <cell r="G149">
            <v>3000000</v>
          </cell>
          <cell r="H149">
            <v>0.5</v>
          </cell>
          <cell r="J149">
            <v>75000</v>
          </cell>
        </row>
        <row r="150">
          <cell r="B150" t="str">
            <v>Bưởi02chauvmd</v>
          </cell>
          <cell r="C150" t="str">
            <v>Cây bưởi trồng trên chậu vượt mật độ</v>
          </cell>
          <cell r="D150" t="str">
            <v>đk gốc &lt; 2cm</v>
          </cell>
          <cell r="E150">
            <v>20</v>
          </cell>
          <cell r="F150" t="str">
            <v>cây</v>
          </cell>
          <cell r="G150">
            <v>110000</v>
          </cell>
          <cell r="H150">
            <v>0.25</v>
          </cell>
          <cell r="J150">
            <v>1375</v>
          </cell>
        </row>
        <row r="151">
          <cell r="B151" t="str">
            <v>Bưởi25chauvmd</v>
          </cell>
          <cell r="C151" t="str">
            <v>Cây bưởi trồng trên chậu vượt mật độ</v>
          </cell>
          <cell r="D151" t="str">
            <v>2cm ≤ đk gốc &lt; 5cm</v>
          </cell>
          <cell r="E151">
            <v>20</v>
          </cell>
          <cell r="F151" t="str">
            <v>cây</v>
          </cell>
          <cell r="G151">
            <v>350000</v>
          </cell>
          <cell r="H151">
            <v>0.25</v>
          </cell>
          <cell r="J151">
            <v>4375</v>
          </cell>
        </row>
        <row r="152">
          <cell r="B152" t="str">
            <v>Bưởi58chauvmd</v>
          </cell>
          <cell r="C152" t="str">
            <v>Cây bưởi trồng trên chậu vượt mật độ</v>
          </cell>
          <cell r="D152" t="str">
            <v>5cm ≤ đk gốc &lt; 8cm</v>
          </cell>
          <cell r="E152">
            <v>20</v>
          </cell>
          <cell r="F152" t="str">
            <v>cây</v>
          </cell>
          <cell r="G152">
            <v>1100000</v>
          </cell>
          <cell r="H152">
            <v>0.25</v>
          </cell>
          <cell r="J152">
            <v>13750</v>
          </cell>
        </row>
        <row r="153">
          <cell r="B153" t="str">
            <v>Bưởi812chauvmd</v>
          </cell>
          <cell r="C153" t="str">
            <v>Cây bưởi trồng trên chậu vượt mật độ</v>
          </cell>
          <cell r="D153" t="str">
            <v>8cm ≤ đk gốc &lt; 12cm</v>
          </cell>
          <cell r="E153">
            <v>20</v>
          </cell>
          <cell r="F153" t="str">
            <v>cây</v>
          </cell>
          <cell r="G153">
            <v>1800000</v>
          </cell>
          <cell r="H153">
            <v>0.25</v>
          </cell>
          <cell r="J153">
            <v>22500</v>
          </cell>
        </row>
        <row r="154">
          <cell r="B154" t="str">
            <v>Bưởi1220chauvmd</v>
          </cell>
          <cell r="C154" t="str">
            <v>Cây bưởi trồng trên chậu vượt mật độ</v>
          </cell>
          <cell r="D154" t="str">
            <v>12cm ≤ đk gốc ≤ 20cm</v>
          </cell>
          <cell r="E154">
            <v>20</v>
          </cell>
          <cell r="F154" t="str">
            <v>cây</v>
          </cell>
          <cell r="G154">
            <v>2500000</v>
          </cell>
          <cell r="H154">
            <v>0.25</v>
          </cell>
          <cell r="J154">
            <v>31250</v>
          </cell>
          <cell r="T154">
            <v>0.15</v>
          </cell>
        </row>
        <row r="155">
          <cell r="B155" t="str">
            <v>Bưởi20+chauvmd</v>
          </cell>
          <cell r="C155" t="str">
            <v>Cây bưởi trồng trên chậu vượt mật độ</v>
          </cell>
          <cell r="D155" t="str">
            <v>đk gốc 20cm trở lên</v>
          </cell>
          <cell r="E155">
            <v>20</v>
          </cell>
          <cell r="F155" t="str">
            <v>cây</v>
          </cell>
          <cell r="G155">
            <v>3000000</v>
          </cell>
          <cell r="H155">
            <v>0.25</v>
          </cell>
          <cell r="J155">
            <v>37500</v>
          </cell>
          <cell r="K155" t="str">
            <v>Ổi27</v>
          </cell>
          <cell r="S155">
            <v>200000</v>
          </cell>
          <cell r="T155">
            <v>0.15</v>
          </cell>
        </row>
        <row r="156">
          <cell r="B156" t="str">
            <v>Bưởi02itl</v>
          </cell>
          <cell r="C156" t="str">
            <v>Cây bưởi ít tán ít lá</v>
          </cell>
          <cell r="D156" t="str">
            <v>đk gốc &lt; 2cm</v>
          </cell>
          <cell r="E156">
            <v>20</v>
          </cell>
          <cell r="F156" t="str">
            <v>cây</v>
          </cell>
          <cell r="G156">
            <v>110000</v>
          </cell>
          <cell r="H156">
            <v>0.5</v>
          </cell>
          <cell r="J156">
            <v>2750</v>
          </cell>
        </row>
        <row r="157">
          <cell r="B157" t="str">
            <v>Bưởi25itl</v>
          </cell>
          <cell r="C157" t="str">
            <v>Cây bưởi ít tán ít lá</v>
          </cell>
          <cell r="D157" t="str">
            <v>2cm ≤ đk gốc &lt; 5cm</v>
          </cell>
          <cell r="E157">
            <v>20</v>
          </cell>
          <cell r="F157" t="str">
            <v>cây</v>
          </cell>
          <cell r="G157">
            <v>350000</v>
          </cell>
          <cell r="H157">
            <v>0.5</v>
          </cell>
          <cell r="J157">
            <v>8750</v>
          </cell>
        </row>
        <row r="158">
          <cell r="B158" t="str">
            <v>Bưởi58itl</v>
          </cell>
          <cell r="C158" t="str">
            <v>Cây bưởi ít tán ít lá</v>
          </cell>
          <cell r="D158" t="str">
            <v>5cm ≤ đk gốc &lt; 8cm</v>
          </cell>
          <cell r="E158">
            <v>20</v>
          </cell>
          <cell r="F158" t="str">
            <v>cây</v>
          </cell>
          <cell r="G158">
            <v>1100000</v>
          </cell>
          <cell r="H158">
            <v>0.5</v>
          </cell>
          <cell r="J158">
            <v>27500</v>
          </cell>
        </row>
        <row r="159">
          <cell r="B159" t="str">
            <v>Bưởi812itl</v>
          </cell>
          <cell r="C159" t="str">
            <v>Cây bưởi ít tán ít lá</v>
          </cell>
          <cell r="D159" t="str">
            <v>8cm ≤ đk gốc &lt; 12cm</v>
          </cell>
          <cell r="E159">
            <v>20</v>
          </cell>
          <cell r="F159" t="str">
            <v>cây</v>
          </cell>
          <cell r="G159">
            <v>1800000</v>
          </cell>
          <cell r="H159">
            <v>0.5</v>
          </cell>
          <cell r="J159">
            <v>45000</v>
          </cell>
        </row>
        <row r="160">
          <cell r="B160" t="str">
            <v>Bưởi1220itl</v>
          </cell>
          <cell r="C160" t="str">
            <v>Cây bưởi ít tán ít lá</v>
          </cell>
          <cell r="D160" t="str">
            <v>12cm ≤ đk gốc ≤ 20cm</v>
          </cell>
          <cell r="E160">
            <v>20</v>
          </cell>
          <cell r="F160" t="str">
            <v>cây</v>
          </cell>
          <cell r="G160">
            <v>2500000</v>
          </cell>
          <cell r="H160">
            <v>0.5</v>
          </cell>
          <cell r="J160">
            <v>62500</v>
          </cell>
        </row>
        <row r="161">
          <cell r="B161" t="str">
            <v>Bưởi20+itl</v>
          </cell>
          <cell r="C161" t="str">
            <v>Cây bưởi ít tán ít lá</v>
          </cell>
          <cell r="D161" t="str">
            <v>đk gốc 20cm trở lên</v>
          </cell>
          <cell r="E161">
            <v>20</v>
          </cell>
          <cell r="F161" t="str">
            <v>cây</v>
          </cell>
          <cell r="G161">
            <v>3000000</v>
          </cell>
          <cell r="H161">
            <v>0.5</v>
          </cell>
          <cell r="J161">
            <v>75000</v>
          </cell>
        </row>
        <row r="162">
          <cell r="B162" t="str">
            <v>Bưởi02itlvmd</v>
          </cell>
          <cell r="C162" t="str">
            <v>Cây bưởi ít tán ít lá vượt mật độ</v>
          </cell>
          <cell r="D162" t="str">
            <v>đk gốc &lt; 2cm</v>
          </cell>
          <cell r="E162">
            <v>20</v>
          </cell>
          <cell r="F162" t="str">
            <v>cây</v>
          </cell>
          <cell r="G162">
            <v>110000</v>
          </cell>
          <cell r="H162">
            <v>0.25</v>
          </cell>
          <cell r="J162">
            <v>1375</v>
          </cell>
        </row>
        <row r="163">
          <cell r="B163" t="str">
            <v>Bưởi25itlvmd</v>
          </cell>
          <cell r="C163" t="str">
            <v>Cây bưởi ít tán ít lá vượt mật độ</v>
          </cell>
          <cell r="D163" t="str">
            <v>2cm ≤ đk gốc &lt; 5cm</v>
          </cell>
          <cell r="E163">
            <v>20</v>
          </cell>
          <cell r="F163" t="str">
            <v>cây</v>
          </cell>
          <cell r="G163">
            <v>350000</v>
          </cell>
          <cell r="H163">
            <v>0.25</v>
          </cell>
          <cell r="J163">
            <v>4375</v>
          </cell>
        </row>
        <row r="164">
          <cell r="B164" t="str">
            <v>Bưởi58itlvmd</v>
          </cell>
          <cell r="C164" t="str">
            <v>Cây bưởi ít tán ít lá vượt mật độ</v>
          </cell>
          <cell r="D164" t="str">
            <v>5cm ≤ đk gốc &lt; 8cm</v>
          </cell>
          <cell r="E164">
            <v>20</v>
          </cell>
          <cell r="F164" t="str">
            <v>cây</v>
          </cell>
          <cell r="G164">
            <v>1100000</v>
          </cell>
          <cell r="H164">
            <v>0.25</v>
          </cell>
          <cell r="J164">
            <v>13750</v>
          </cell>
        </row>
        <row r="165">
          <cell r="B165" t="str">
            <v>Bưởi812itlvmd</v>
          </cell>
          <cell r="C165" t="str">
            <v>Cây bưởi ít tán ít lá vượt mật độ</v>
          </cell>
          <cell r="D165" t="str">
            <v>8cm ≤ đk gốc &lt; 12cm</v>
          </cell>
          <cell r="E165">
            <v>20</v>
          </cell>
          <cell r="F165" t="str">
            <v>cây</v>
          </cell>
          <cell r="G165">
            <v>1800000</v>
          </cell>
          <cell r="H165">
            <v>0.25</v>
          </cell>
          <cell r="J165">
            <v>22500</v>
          </cell>
        </row>
        <row r="166">
          <cell r="B166" t="str">
            <v>Bưởi1220itlvmd</v>
          </cell>
          <cell r="C166" t="str">
            <v>Cây bưởi ít tán ít lá vượt mật độ</v>
          </cell>
          <cell r="D166" t="str">
            <v>12cm ≤ đk gốc ≤ 20cm</v>
          </cell>
          <cell r="E166">
            <v>20</v>
          </cell>
          <cell r="F166" t="str">
            <v>cây</v>
          </cell>
          <cell r="G166">
            <v>2500000</v>
          </cell>
          <cell r="H166">
            <v>0.25</v>
          </cell>
          <cell r="J166">
            <v>31250</v>
          </cell>
        </row>
        <row r="167">
          <cell r="B167" t="str">
            <v>Bưởi20+itlvmd</v>
          </cell>
          <cell r="C167" t="str">
            <v>Cây bưởi ít tán ít lá vượt mật độ</v>
          </cell>
          <cell r="D167" t="str">
            <v>đk gốc 20cm trở lên</v>
          </cell>
          <cell r="E167">
            <v>20</v>
          </cell>
          <cell r="F167" t="str">
            <v>cây</v>
          </cell>
          <cell r="G167">
            <v>3000000</v>
          </cell>
          <cell r="H167">
            <v>0.25</v>
          </cell>
          <cell r="J167">
            <v>37500</v>
          </cell>
        </row>
        <row r="168">
          <cell r="C168" t="str">
            <v xml:space="preserve">Cam </v>
          </cell>
          <cell r="J168" t="e">
            <v>#DIV/0!</v>
          </cell>
        </row>
        <row r="169">
          <cell r="B169" t="str">
            <v>Cam02</v>
          </cell>
          <cell r="C169" t="str">
            <v>Cây cam</v>
          </cell>
          <cell r="D169" t="str">
            <v>đk gốc &lt; 2cm</v>
          </cell>
          <cell r="E169">
            <v>16</v>
          </cell>
          <cell r="F169" t="str">
            <v>cây</v>
          </cell>
          <cell r="G169">
            <v>100000</v>
          </cell>
          <cell r="H169">
            <v>0.5</v>
          </cell>
          <cell r="J169">
            <v>3125</v>
          </cell>
        </row>
        <row r="170">
          <cell r="B170" t="str">
            <v>Cam25</v>
          </cell>
          <cell r="C170" t="str">
            <v>Cây cam</v>
          </cell>
          <cell r="D170" t="str">
            <v>2cm ≤ đk gốc &lt; 5cm</v>
          </cell>
          <cell r="E170">
            <v>16</v>
          </cell>
          <cell r="F170" t="str">
            <v>cây</v>
          </cell>
          <cell r="G170">
            <v>300000</v>
          </cell>
          <cell r="H170">
            <v>0.5</v>
          </cell>
          <cell r="J170">
            <v>9375</v>
          </cell>
        </row>
        <row r="171">
          <cell r="B171" t="str">
            <v>Cam58</v>
          </cell>
          <cell r="C171" t="str">
            <v>Cây cam</v>
          </cell>
          <cell r="D171" t="str">
            <v>5cm ≤ đk gốc &lt; 8cm</v>
          </cell>
          <cell r="E171">
            <v>16</v>
          </cell>
          <cell r="F171" t="str">
            <v>cây</v>
          </cell>
          <cell r="G171">
            <v>900000</v>
          </cell>
          <cell r="H171">
            <v>0.5</v>
          </cell>
          <cell r="J171">
            <v>28125</v>
          </cell>
        </row>
        <row r="172">
          <cell r="B172" t="str">
            <v>Cam812</v>
          </cell>
          <cell r="C172" t="str">
            <v>Cây cam</v>
          </cell>
          <cell r="D172" t="str">
            <v>8cm ≤ đk gốc &lt; 12cm</v>
          </cell>
          <cell r="E172">
            <v>16</v>
          </cell>
          <cell r="F172" t="str">
            <v>cây</v>
          </cell>
          <cell r="G172">
            <v>1500000</v>
          </cell>
          <cell r="H172">
            <v>0.8</v>
          </cell>
          <cell r="J172">
            <v>75000</v>
          </cell>
        </row>
        <row r="173">
          <cell r="B173" t="str">
            <v>Cam1220</v>
          </cell>
          <cell r="C173" t="str">
            <v>Cây cam</v>
          </cell>
          <cell r="D173" t="str">
            <v>12cm ≤ đk gốc ≤ 20cm</v>
          </cell>
          <cell r="E173">
            <v>16</v>
          </cell>
          <cell r="F173" t="str">
            <v>cây</v>
          </cell>
          <cell r="G173">
            <v>2000000</v>
          </cell>
          <cell r="H173">
            <v>0.8</v>
          </cell>
          <cell r="J173">
            <v>100000</v>
          </cell>
        </row>
        <row r="174">
          <cell r="B174" t="str">
            <v>Cam20+</v>
          </cell>
          <cell r="C174" t="str">
            <v>Cây cam</v>
          </cell>
          <cell r="D174" t="str">
            <v>đk gốc 20cm trở lên</v>
          </cell>
          <cell r="E174">
            <v>16</v>
          </cell>
          <cell r="F174" t="str">
            <v>cây</v>
          </cell>
          <cell r="G174">
            <v>2500000</v>
          </cell>
          <cell r="H174">
            <v>0.8</v>
          </cell>
          <cell r="J174">
            <v>125000</v>
          </cell>
        </row>
        <row r="175">
          <cell r="B175" t="str">
            <v>Cam02vmd</v>
          </cell>
          <cell r="C175" t="str">
            <v>Cây cam vượt mật độ</v>
          </cell>
          <cell r="D175" t="str">
            <v>đk gốc &lt; 2cm</v>
          </cell>
          <cell r="E175">
            <v>16</v>
          </cell>
          <cell r="F175" t="str">
            <v>cây</v>
          </cell>
          <cell r="G175">
            <v>100000</v>
          </cell>
          <cell r="H175">
            <v>0.25</v>
          </cell>
          <cell r="J175">
            <v>1562.5</v>
          </cell>
        </row>
        <row r="176">
          <cell r="B176" t="str">
            <v>Cam25vmd</v>
          </cell>
          <cell r="C176" t="str">
            <v>Cây cam vượt mật độ</v>
          </cell>
          <cell r="D176" t="str">
            <v>2cm ≤ đk gốc &lt; 5cm</v>
          </cell>
          <cell r="E176">
            <v>16</v>
          </cell>
          <cell r="F176" t="str">
            <v>cây</v>
          </cell>
          <cell r="G176">
            <v>300000</v>
          </cell>
          <cell r="H176">
            <v>0.25</v>
          </cell>
          <cell r="J176">
            <v>4687.5</v>
          </cell>
        </row>
        <row r="177">
          <cell r="B177" t="str">
            <v>Cam58vmd</v>
          </cell>
          <cell r="C177" t="str">
            <v>Cây cam vượt mật độ</v>
          </cell>
          <cell r="D177" t="str">
            <v>5cm ≤ đk gốc &lt; 8cm</v>
          </cell>
          <cell r="E177">
            <v>16</v>
          </cell>
          <cell r="F177" t="str">
            <v>cây</v>
          </cell>
          <cell r="G177">
            <v>900000</v>
          </cell>
          <cell r="H177">
            <v>0.25</v>
          </cell>
          <cell r="J177">
            <v>14062.5</v>
          </cell>
        </row>
        <row r="178">
          <cell r="B178" t="str">
            <v>Cam812vmd</v>
          </cell>
          <cell r="C178" t="str">
            <v>Cây cam vượt mật độ</v>
          </cell>
          <cell r="D178" t="str">
            <v>8cm ≤ đk gốc &lt; 12cm</v>
          </cell>
          <cell r="E178">
            <v>16</v>
          </cell>
          <cell r="F178" t="str">
            <v>cây</v>
          </cell>
          <cell r="G178">
            <v>1500000</v>
          </cell>
          <cell r="H178">
            <v>0.4</v>
          </cell>
          <cell r="J178">
            <v>37500</v>
          </cell>
        </row>
        <row r="179">
          <cell r="B179" t="str">
            <v>Cam1220vmd</v>
          </cell>
          <cell r="C179" t="str">
            <v>Cây cam vượt mật độ</v>
          </cell>
          <cell r="D179" t="str">
            <v>12cm ≤ đk gốc ≤ 20cm</v>
          </cell>
          <cell r="E179">
            <v>16</v>
          </cell>
          <cell r="F179" t="str">
            <v>cây</v>
          </cell>
          <cell r="G179">
            <v>2000000</v>
          </cell>
          <cell r="H179">
            <v>0.4</v>
          </cell>
          <cell r="J179">
            <v>50000</v>
          </cell>
        </row>
        <row r="180">
          <cell r="B180" t="str">
            <v>Cam20+vmd</v>
          </cell>
          <cell r="C180" t="str">
            <v>Cây cam vượt mật độ</v>
          </cell>
          <cell r="D180" t="str">
            <v>đk gốc 20cm trở lên</v>
          </cell>
          <cell r="E180">
            <v>16</v>
          </cell>
          <cell r="F180" t="str">
            <v>cây</v>
          </cell>
          <cell r="G180">
            <v>2500000</v>
          </cell>
          <cell r="H180">
            <v>0.4</v>
          </cell>
          <cell r="J180">
            <v>62500</v>
          </cell>
        </row>
        <row r="181">
          <cell r="B181" t="str">
            <v>Cam02chau</v>
          </cell>
          <cell r="C181" t="str">
            <v>Cây cam trồng trên chậu</v>
          </cell>
          <cell r="D181" t="str">
            <v>đk gốc &lt; 2cm</v>
          </cell>
          <cell r="E181">
            <v>16</v>
          </cell>
          <cell r="F181" t="str">
            <v>cây</v>
          </cell>
          <cell r="G181">
            <v>100000</v>
          </cell>
          <cell r="H181">
            <v>0.5</v>
          </cell>
          <cell r="J181">
            <v>3125</v>
          </cell>
        </row>
        <row r="182">
          <cell r="B182" t="str">
            <v>Cam25chau</v>
          </cell>
          <cell r="C182" t="str">
            <v>Cây cam trồng trên chậu</v>
          </cell>
          <cell r="D182" t="str">
            <v>2cm ≤ đk gốc &lt; 5cm</v>
          </cell>
          <cell r="E182">
            <v>16</v>
          </cell>
          <cell r="F182" t="str">
            <v>cây</v>
          </cell>
          <cell r="G182">
            <v>300000</v>
          </cell>
          <cell r="H182">
            <v>0.5</v>
          </cell>
          <cell r="J182">
            <v>9375</v>
          </cell>
        </row>
        <row r="183">
          <cell r="B183" t="str">
            <v>Cam58chau</v>
          </cell>
          <cell r="C183" t="str">
            <v>Cây cam trồng trên chậu</v>
          </cell>
          <cell r="D183" t="str">
            <v>5cm ≤ đk gốc &lt; 8cm</v>
          </cell>
          <cell r="E183">
            <v>16</v>
          </cell>
          <cell r="F183" t="str">
            <v>cây</v>
          </cell>
          <cell r="G183">
            <v>900000</v>
          </cell>
          <cell r="H183">
            <v>0.5</v>
          </cell>
          <cell r="J183">
            <v>28125</v>
          </cell>
        </row>
        <row r="184">
          <cell r="B184" t="str">
            <v>Cam812chau</v>
          </cell>
          <cell r="C184" t="str">
            <v>Cây cam trồng trên chậu</v>
          </cell>
          <cell r="D184" t="str">
            <v>8cm ≤ đk gốc &lt; 12cm</v>
          </cell>
          <cell r="E184">
            <v>16</v>
          </cell>
          <cell r="F184" t="str">
            <v>cây</v>
          </cell>
          <cell r="G184">
            <v>1500000</v>
          </cell>
          <cell r="H184">
            <v>0.5</v>
          </cell>
          <cell r="J184">
            <v>46875</v>
          </cell>
        </row>
        <row r="185">
          <cell r="B185" t="str">
            <v>Cam1220chau</v>
          </cell>
          <cell r="C185" t="str">
            <v>Cây cam trồng trên chậu</v>
          </cell>
          <cell r="D185" t="str">
            <v>12cm ≤ đk gốc ≤ 20cm</v>
          </cell>
          <cell r="E185">
            <v>16</v>
          </cell>
          <cell r="F185" t="str">
            <v>cây</v>
          </cell>
          <cell r="G185">
            <v>2000000</v>
          </cell>
          <cell r="H185">
            <v>0.5</v>
          </cell>
          <cell r="J185">
            <v>62500</v>
          </cell>
        </row>
        <row r="186">
          <cell r="B186" t="str">
            <v>Cam20+chau</v>
          </cell>
          <cell r="C186" t="str">
            <v>Cây cam trồng trên chậu</v>
          </cell>
          <cell r="D186" t="str">
            <v>đk gốc 20cm trở lên</v>
          </cell>
          <cell r="E186">
            <v>16</v>
          </cell>
          <cell r="F186" t="str">
            <v>cây</v>
          </cell>
          <cell r="G186">
            <v>2500000</v>
          </cell>
          <cell r="H186">
            <v>0.5</v>
          </cell>
          <cell r="J186">
            <v>78125</v>
          </cell>
        </row>
        <row r="187">
          <cell r="B187" t="str">
            <v>Cam02chauvmd</v>
          </cell>
          <cell r="C187" t="str">
            <v>Cây cam trồng trên chậu vượt mật độ</v>
          </cell>
          <cell r="D187" t="str">
            <v>đk gốc &lt; 2cm</v>
          </cell>
          <cell r="E187">
            <v>16</v>
          </cell>
          <cell r="F187" t="str">
            <v>cây</v>
          </cell>
          <cell r="G187">
            <v>100000</v>
          </cell>
          <cell r="H187">
            <v>0.25</v>
          </cell>
          <cell r="J187">
            <v>1562.5</v>
          </cell>
        </row>
        <row r="188">
          <cell r="B188" t="str">
            <v>Cam25chauvmd</v>
          </cell>
          <cell r="C188" t="str">
            <v>Cây cam trồng trên chậu vượt mật độ</v>
          </cell>
          <cell r="D188" t="str">
            <v>2cm ≤ đk gốc &lt; 5cm</v>
          </cell>
          <cell r="E188">
            <v>16</v>
          </cell>
          <cell r="F188" t="str">
            <v>cây</v>
          </cell>
          <cell r="G188">
            <v>300000</v>
          </cell>
          <cell r="H188">
            <v>0.25</v>
          </cell>
          <cell r="J188">
            <v>4687.5</v>
          </cell>
        </row>
        <row r="189">
          <cell r="B189" t="str">
            <v>Cam58chauvmd</v>
          </cell>
          <cell r="C189" t="str">
            <v>Cây cam trồng trên chậu vượt mật độ</v>
          </cell>
          <cell r="D189" t="str">
            <v>5cm ≤ đk gốc &lt; 8cm</v>
          </cell>
          <cell r="E189">
            <v>16</v>
          </cell>
          <cell r="F189" t="str">
            <v>cây</v>
          </cell>
          <cell r="G189">
            <v>900000</v>
          </cell>
          <cell r="H189">
            <v>0.25</v>
          </cell>
          <cell r="J189">
            <v>14062.5</v>
          </cell>
        </row>
        <row r="190">
          <cell r="B190" t="str">
            <v>Cam812chauvmd</v>
          </cell>
          <cell r="C190" t="str">
            <v>Cây cam trồng trên chậu vượt mật độ</v>
          </cell>
          <cell r="D190" t="str">
            <v>8cm ≤ đk gốc &lt; 12cm</v>
          </cell>
          <cell r="E190">
            <v>16</v>
          </cell>
          <cell r="F190" t="str">
            <v>cây</v>
          </cell>
          <cell r="G190">
            <v>1500000</v>
          </cell>
          <cell r="H190">
            <v>0.25</v>
          </cell>
          <cell r="J190">
            <v>23437.5</v>
          </cell>
        </row>
        <row r="191">
          <cell r="B191" t="str">
            <v>Cam1220chauvmd</v>
          </cell>
          <cell r="C191" t="str">
            <v>Cây cam trồng trên chậu vượt mật độ</v>
          </cell>
          <cell r="D191" t="str">
            <v>12cm ≤ đk gốc ≤ 20cm</v>
          </cell>
          <cell r="E191">
            <v>16</v>
          </cell>
          <cell r="F191" t="str">
            <v>cây</v>
          </cell>
          <cell r="G191">
            <v>2000000</v>
          </cell>
          <cell r="H191">
            <v>0.25</v>
          </cell>
          <cell r="J191">
            <v>31250</v>
          </cell>
        </row>
        <row r="192">
          <cell r="B192" t="str">
            <v>Cam20+chauvmd</v>
          </cell>
          <cell r="C192" t="str">
            <v>Cây cam trồng trên chậu vượt mật độ</v>
          </cell>
          <cell r="D192" t="str">
            <v>đk gốc 20cm trở lên</v>
          </cell>
          <cell r="E192">
            <v>16</v>
          </cell>
          <cell r="F192" t="str">
            <v>cây</v>
          </cell>
          <cell r="G192">
            <v>2500000</v>
          </cell>
          <cell r="H192">
            <v>0.25</v>
          </cell>
          <cell r="J192">
            <v>39062.5</v>
          </cell>
        </row>
        <row r="193">
          <cell r="B193" t="str">
            <v>Cam02itl</v>
          </cell>
          <cell r="C193" t="str">
            <v>Cây cam ít tán ít lá</v>
          </cell>
          <cell r="D193" t="str">
            <v>đk gốc &lt; 2cm</v>
          </cell>
          <cell r="E193">
            <v>16</v>
          </cell>
          <cell r="F193" t="str">
            <v>cây</v>
          </cell>
          <cell r="G193">
            <v>100000</v>
          </cell>
          <cell r="H193">
            <v>0.5</v>
          </cell>
          <cell r="J193">
            <v>3125</v>
          </cell>
        </row>
        <row r="194">
          <cell r="B194" t="str">
            <v>Cam25itl</v>
          </cell>
          <cell r="C194" t="str">
            <v>Cây cam ít tán ít lá</v>
          </cell>
          <cell r="D194" t="str">
            <v>2cm ≤ đk gốc &lt; 5cm</v>
          </cell>
          <cell r="E194">
            <v>16</v>
          </cell>
          <cell r="F194" t="str">
            <v>cây</v>
          </cell>
          <cell r="G194">
            <v>300000</v>
          </cell>
          <cell r="H194">
            <v>0.5</v>
          </cell>
          <cell r="J194">
            <v>9375</v>
          </cell>
        </row>
        <row r="195">
          <cell r="B195" t="str">
            <v>Cam58itl</v>
          </cell>
          <cell r="C195" t="str">
            <v>Cây cam ít tán ít lá</v>
          </cell>
          <cell r="D195" t="str">
            <v>5cm ≤ đk gốc &lt; 8cm</v>
          </cell>
          <cell r="E195">
            <v>16</v>
          </cell>
          <cell r="F195" t="str">
            <v>cây</v>
          </cell>
          <cell r="G195">
            <v>900000</v>
          </cell>
          <cell r="H195">
            <v>0.5</v>
          </cell>
          <cell r="J195">
            <v>28125</v>
          </cell>
        </row>
        <row r="196">
          <cell r="B196" t="str">
            <v>Cam812itl</v>
          </cell>
          <cell r="C196" t="str">
            <v>Cây cam ít tán ít lá</v>
          </cell>
          <cell r="D196" t="str">
            <v>8cm ≤ đk gốc &lt; 12cm</v>
          </cell>
          <cell r="E196">
            <v>16</v>
          </cell>
          <cell r="F196" t="str">
            <v>cây</v>
          </cell>
          <cell r="G196">
            <v>1500000</v>
          </cell>
          <cell r="H196">
            <v>0.5</v>
          </cell>
          <cell r="J196">
            <v>46875</v>
          </cell>
        </row>
        <row r="197">
          <cell r="B197" t="str">
            <v>Cam1220itl</v>
          </cell>
          <cell r="C197" t="str">
            <v>Cây cam ít tán ít lá</v>
          </cell>
          <cell r="D197" t="str">
            <v>12cm ≤ đk gốc ≤ 20cm</v>
          </cell>
          <cell r="E197">
            <v>16</v>
          </cell>
          <cell r="F197" t="str">
            <v>cây</v>
          </cell>
          <cell r="G197">
            <v>2000000</v>
          </cell>
          <cell r="H197">
            <v>0.5</v>
          </cell>
          <cell r="J197">
            <v>62500</v>
          </cell>
        </row>
        <row r="198">
          <cell r="B198" t="str">
            <v>Cam20+itl</v>
          </cell>
          <cell r="C198" t="str">
            <v>Cây cam ít tán ít lá</v>
          </cell>
          <cell r="D198" t="str">
            <v>đk gốc 20cm trở lên</v>
          </cell>
          <cell r="E198">
            <v>16</v>
          </cell>
          <cell r="F198" t="str">
            <v>cây</v>
          </cell>
          <cell r="G198">
            <v>2500000</v>
          </cell>
          <cell r="H198">
            <v>0.5</v>
          </cell>
          <cell r="J198">
            <v>78125</v>
          </cell>
        </row>
        <row r="199">
          <cell r="B199" t="str">
            <v>Cam02itlvmd</v>
          </cell>
          <cell r="C199" t="str">
            <v>Cây cam ít tán ít lá vượt mật độ</v>
          </cell>
          <cell r="D199" t="str">
            <v>đk gốc &lt; 2cm</v>
          </cell>
          <cell r="E199">
            <v>16</v>
          </cell>
          <cell r="F199" t="str">
            <v>cây</v>
          </cell>
          <cell r="G199">
            <v>100000</v>
          </cell>
          <cell r="H199">
            <v>0.25</v>
          </cell>
          <cell r="J199">
            <v>1562.5</v>
          </cell>
        </row>
        <row r="200">
          <cell r="B200" t="str">
            <v>Cam25itlvmd</v>
          </cell>
          <cell r="C200" t="str">
            <v>Cây cam ít tán ít lá vượt mật độ</v>
          </cell>
          <cell r="D200" t="str">
            <v>2cm ≤ đk gốc &lt; 5cm</v>
          </cell>
          <cell r="E200">
            <v>16</v>
          </cell>
          <cell r="F200" t="str">
            <v>cây</v>
          </cell>
          <cell r="G200">
            <v>300000</v>
          </cell>
          <cell r="H200">
            <v>0.25</v>
          </cell>
          <cell r="J200">
            <v>4687.5</v>
          </cell>
        </row>
        <row r="201">
          <cell r="B201" t="str">
            <v>Cam58itlvmd</v>
          </cell>
          <cell r="C201" t="str">
            <v>Cây cam ít tán ít lá vượt mật độ</v>
          </cell>
          <cell r="D201" t="str">
            <v>5cm ≤ đk gốc &lt; 8cm</v>
          </cell>
          <cell r="E201">
            <v>16</v>
          </cell>
          <cell r="F201" t="str">
            <v>cây</v>
          </cell>
          <cell r="G201">
            <v>900000</v>
          </cell>
          <cell r="H201">
            <v>0.25</v>
          </cell>
          <cell r="J201">
            <v>14062.5</v>
          </cell>
        </row>
        <row r="202">
          <cell r="B202" t="str">
            <v>Cam812itlvmd</v>
          </cell>
          <cell r="C202" t="str">
            <v>Cây cam ít tán ít lá vượt mật độ</v>
          </cell>
          <cell r="D202" t="str">
            <v>8cm ≤ đk gốc &lt; 12cm</v>
          </cell>
          <cell r="E202">
            <v>16</v>
          </cell>
          <cell r="F202" t="str">
            <v>cây</v>
          </cell>
          <cell r="G202">
            <v>1500000</v>
          </cell>
          <cell r="H202">
            <v>0.25</v>
          </cell>
          <cell r="J202">
            <v>23437.5</v>
          </cell>
        </row>
        <row r="203">
          <cell r="B203" t="str">
            <v>Cam1220itlvmd</v>
          </cell>
          <cell r="C203" t="str">
            <v>Cây cam ít tán ít lá vượt mật độ</v>
          </cell>
          <cell r="D203" t="str">
            <v>12cm ≤ đk gốc ≤ 20cm</v>
          </cell>
          <cell r="E203">
            <v>16</v>
          </cell>
          <cell r="F203" t="str">
            <v>cây</v>
          </cell>
          <cell r="G203">
            <v>2000000</v>
          </cell>
          <cell r="H203">
            <v>0.25</v>
          </cell>
          <cell r="J203">
            <v>31250</v>
          </cell>
        </row>
        <row r="204">
          <cell r="B204" t="str">
            <v>Cam20+itlvmd</v>
          </cell>
          <cell r="C204" t="str">
            <v>Cây cam ít tán ít lá vượt mật độ</v>
          </cell>
          <cell r="D204" t="str">
            <v>đk gốc 20cm trở lên</v>
          </cell>
          <cell r="E204">
            <v>16</v>
          </cell>
          <cell r="F204" t="str">
            <v>cây</v>
          </cell>
          <cell r="G204">
            <v>2500000</v>
          </cell>
          <cell r="H204">
            <v>0.25</v>
          </cell>
          <cell r="J204">
            <v>39062.5</v>
          </cell>
        </row>
        <row r="205">
          <cell r="C205" t="str">
            <v>Quýt</v>
          </cell>
          <cell r="J205" t="e">
            <v>#DIV/0!</v>
          </cell>
        </row>
        <row r="206">
          <cell r="B206" t="str">
            <v>quýt02</v>
          </cell>
          <cell r="C206" t="str">
            <v>Cây quýt</v>
          </cell>
          <cell r="D206" t="str">
            <v>đk gốc &lt; 2cm</v>
          </cell>
          <cell r="E206">
            <v>16</v>
          </cell>
          <cell r="F206" t="str">
            <v>cây</v>
          </cell>
          <cell r="G206">
            <v>100000</v>
          </cell>
          <cell r="H206">
            <v>0.5</v>
          </cell>
          <cell r="J206">
            <v>3125</v>
          </cell>
        </row>
        <row r="207">
          <cell r="B207" t="str">
            <v>quýt25</v>
          </cell>
          <cell r="C207" t="str">
            <v>Cây quýt</v>
          </cell>
          <cell r="D207" t="str">
            <v>2cm ≤ đk gốc &lt; 5cm</v>
          </cell>
          <cell r="E207">
            <v>16</v>
          </cell>
          <cell r="F207" t="str">
            <v>cây</v>
          </cell>
          <cell r="G207">
            <v>300000</v>
          </cell>
          <cell r="H207">
            <v>0.5</v>
          </cell>
          <cell r="J207">
            <v>9375</v>
          </cell>
        </row>
        <row r="208">
          <cell r="B208" t="str">
            <v>quýt58</v>
          </cell>
          <cell r="C208" t="str">
            <v>Cây quýt</v>
          </cell>
          <cell r="D208" t="str">
            <v>5cm ≤ đk gốc &lt; 8cm</v>
          </cell>
          <cell r="E208">
            <v>16</v>
          </cell>
          <cell r="F208" t="str">
            <v>cây</v>
          </cell>
          <cell r="G208">
            <v>900000</v>
          </cell>
          <cell r="H208">
            <v>0.5</v>
          </cell>
          <cell r="J208">
            <v>28125</v>
          </cell>
        </row>
        <row r="209">
          <cell r="B209" t="str">
            <v>quýt812</v>
          </cell>
          <cell r="C209" t="str">
            <v>Cây quýt</v>
          </cell>
          <cell r="D209" t="str">
            <v>8cm ≤ đk gốc &lt; 12cm</v>
          </cell>
          <cell r="E209">
            <v>16</v>
          </cell>
          <cell r="F209" t="str">
            <v>cây</v>
          </cell>
          <cell r="G209">
            <v>1500000</v>
          </cell>
          <cell r="H209">
            <v>0.8</v>
          </cell>
          <cell r="J209">
            <v>75000</v>
          </cell>
        </row>
        <row r="210">
          <cell r="B210" t="str">
            <v>quýt1220</v>
          </cell>
          <cell r="C210" t="str">
            <v>Cây quýt</v>
          </cell>
          <cell r="D210" t="str">
            <v>12cm ≤ đk gốc ≤ 20cm</v>
          </cell>
          <cell r="E210">
            <v>16</v>
          </cell>
          <cell r="F210" t="str">
            <v>cây</v>
          </cell>
          <cell r="G210">
            <v>2000000</v>
          </cell>
          <cell r="H210">
            <v>0.8</v>
          </cell>
          <cell r="J210">
            <v>100000</v>
          </cell>
        </row>
        <row r="211">
          <cell r="B211" t="str">
            <v>quýt20+</v>
          </cell>
          <cell r="C211" t="str">
            <v>Cây quýt</v>
          </cell>
          <cell r="D211" t="str">
            <v>đk gốc 20cm trở lên</v>
          </cell>
          <cell r="E211">
            <v>16</v>
          </cell>
          <cell r="F211" t="str">
            <v>cây</v>
          </cell>
          <cell r="G211">
            <v>2500000</v>
          </cell>
          <cell r="H211">
            <v>0.8</v>
          </cell>
          <cell r="J211">
            <v>125000</v>
          </cell>
        </row>
        <row r="212">
          <cell r="B212" t="str">
            <v>quýt02vmd</v>
          </cell>
          <cell r="C212" t="str">
            <v>Cây quýt vượt mật độ</v>
          </cell>
          <cell r="D212" t="str">
            <v>đk gốc &lt; 2cm</v>
          </cell>
          <cell r="E212">
            <v>16</v>
          </cell>
          <cell r="F212" t="str">
            <v>cây</v>
          </cell>
          <cell r="G212">
            <v>100000</v>
          </cell>
          <cell r="H212">
            <v>0.25</v>
          </cell>
          <cell r="J212">
            <v>1562.5</v>
          </cell>
        </row>
        <row r="213">
          <cell r="B213" t="str">
            <v>quýt25vmd</v>
          </cell>
          <cell r="C213" t="str">
            <v>Cây quýt vượt mật độ</v>
          </cell>
          <cell r="D213" t="str">
            <v>2cm ≤ đk gốc &lt; 5cm</v>
          </cell>
          <cell r="E213">
            <v>16</v>
          </cell>
          <cell r="F213" t="str">
            <v>cây</v>
          </cell>
          <cell r="G213">
            <v>300000</v>
          </cell>
          <cell r="H213">
            <v>0.25</v>
          </cell>
          <cell r="J213">
            <v>4687.5</v>
          </cell>
        </row>
        <row r="214">
          <cell r="B214" t="str">
            <v>quýt58vmd</v>
          </cell>
          <cell r="C214" t="str">
            <v>Cây quýt vượt mật độ</v>
          </cell>
          <cell r="D214" t="str">
            <v>5cm ≤ đk gốc &lt; 8cm</v>
          </cell>
          <cell r="E214">
            <v>16</v>
          </cell>
          <cell r="F214" t="str">
            <v>cây</v>
          </cell>
          <cell r="G214">
            <v>900000</v>
          </cell>
          <cell r="H214">
            <v>0.25</v>
          </cell>
          <cell r="J214">
            <v>14062.5</v>
          </cell>
        </row>
        <row r="215">
          <cell r="B215" t="str">
            <v>quýt812vmd</v>
          </cell>
          <cell r="C215" t="str">
            <v>Cây quýt vượt mật độ</v>
          </cell>
          <cell r="D215" t="str">
            <v>8cm ≤ đk gốc &lt; 12cm</v>
          </cell>
          <cell r="E215">
            <v>16</v>
          </cell>
          <cell r="F215" t="str">
            <v>cây</v>
          </cell>
          <cell r="G215">
            <v>1500000</v>
          </cell>
          <cell r="H215">
            <v>0.4</v>
          </cell>
          <cell r="J215">
            <v>37500</v>
          </cell>
        </row>
        <row r="216">
          <cell r="B216" t="str">
            <v>quýt1220vmd</v>
          </cell>
          <cell r="C216" t="str">
            <v>Cây quýt vượt mật độ</v>
          </cell>
          <cell r="D216" t="str">
            <v>12cm ≤ đk gốc ≤ 20cm</v>
          </cell>
          <cell r="E216">
            <v>16</v>
          </cell>
          <cell r="F216" t="str">
            <v>cây</v>
          </cell>
          <cell r="G216">
            <v>2000000</v>
          </cell>
          <cell r="H216">
            <v>0.4</v>
          </cell>
          <cell r="J216">
            <v>50000</v>
          </cell>
        </row>
        <row r="217">
          <cell r="B217" t="str">
            <v>quýt20+vmd</v>
          </cell>
          <cell r="C217" t="str">
            <v>Cây quýt vượt mật độ</v>
          </cell>
          <cell r="D217" t="str">
            <v>đk gốc 20cm trở lên</v>
          </cell>
          <cell r="E217">
            <v>16</v>
          </cell>
          <cell r="F217" t="str">
            <v>cây</v>
          </cell>
          <cell r="G217">
            <v>2500000</v>
          </cell>
          <cell r="H217">
            <v>0.4</v>
          </cell>
          <cell r="J217">
            <v>62500</v>
          </cell>
        </row>
        <row r="218">
          <cell r="C218" t="str">
            <v>Chuối</v>
          </cell>
          <cell r="J218" t="e">
            <v>#DIV/0!</v>
          </cell>
        </row>
        <row r="219">
          <cell r="B219" t="str">
            <v>Chuốikb</v>
          </cell>
          <cell r="C219" t="str">
            <v>Cây chuối</v>
          </cell>
          <cell r="D219" t="str">
            <v>Khóm không có buồng</v>
          </cell>
          <cell r="E219">
            <v>8</v>
          </cell>
          <cell r="F219" t="str">
            <v>khóm</v>
          </cell>
          <cell r="G219">
            <v>150000</v>
          </cell>
          <cell r="H219">
            <v>0.5</v>
          </cell>
          <cell r="J219">
            <v>9375</v>
          </cell>
        </row>
        <row r="220">
          <cell r="B220" t="str">
            <v>Chuốicb</v>
          </cell>
          <cell r="C220" t="str">
            <v>Cây chuối</v>
          </cell>
          <cell r="D220" t="str">
            <v>Khóm có cây có buồng</v>
          </cell>
          <cell r="E220">
            <v>8</v>
          </cell>
          <cell r="F220" t="str">
            <v>khóm</v>
          </cell>
          <cell r="G220">
            <v>200000</v>
          </cell>
          <cell r="H220">
            <v>0.5</v>
          </cell>
          <cell r="J220">
            <v>12500</v>
          </cell>
        </row>
        <row r="221">
          <cell r="B221" t="str">
            <v>Chuốikbvmd</v>
          </cell>
          <cell r="C221" t="str">
            <v>Cây chuối vượt mật độ</v>
          </cell>
          <cell r="D221" t="str">
            <v>Khóm không có buồng</v>
          </cell>
          <cell r="E221">
            <v>8</v>
          </cell>
          <cell r="F221" t="str">
            <v>khóm</v>
          </cell>
          <cell r="G221">
            <v>150000</v>
          </cell>
          <cell r="H221">
            <v>0.25</v>
          </cell>
          <cell r="J221">
            <v>4687.5</v>
          </cell>
        </row>
        <row r="222">
          <cell r="B222" t="str">
            <v>Chuốicbvmd</v>
          </cell>
          <cell r="C222" t="str">
            <v>Cây chuối vượt mật độ</v>
          </cell>
          <cell r="D222" t="str">
            <v>Khóm có cây có buồng</v>
          </cell>
          <cell r="E222">
            <v>8</v>
          </cell>
          <cell r="F222" t="str">
            <v>khóm</v>
          </cell>
          <cell r="G222">
            <v>200000</v>
          </cell>
          <cell r="H222">
            <v>0.25</v>
          </cell>
          <cell r="J222">
            <v>6250</v>
          </cell>
        </row>
        <row r="223">
          <cell r="C223" t="str">
            <v>Ổi</v>
          </cell>
          <cell r="J223" t="e">
            <v>#DIV/0!</v>
          </cell>
        </row>
        <row r="224">
          <cell r="B224" t="str">
            <v>Ổi02</v>
          </cell>
          <cell r="C224" t="str">
            <v>Cây ổi</v>
          </cell>
          <cell r="D224" t="str">
            <v>đk gốc &lt; 2cm</v>
          </cell>
          <cell r="E224">
            <v>10</v>
          </cell>
          <cell r="F224" t="str">
            <v>cây</v>
          </cell>
          <cell r="G224">
            <v>70000</v>
          </cell>
          <cell r="H224">
            <v>0.5</v>
          </cell>
          <cell r="J224">
            <v>3500</v>
          </cell>
        </row>
        <row r="225">
          <cell r="B225" t="str">
            <v>Ổi27</v>
          </cell>
          <cell r="C225" t="str">
            <v>Cây ổi</v>
          </cell>
          <cell r="D225" t="str">
            <v>2cm ≤ đk gốc &lt; 7cm</v>
          </cell>
          <cell r="E225">
            <v>10</v>
          </cell>
          <cell r="F225" t="str">
            <v>cây</v>
          </cell>
          <cell r="G225">
            <v>200000</v>
          </cell>
          <cell r="H225">
            <v>0.5</v>
          </cell>
          <cell r="J225">
            <v>10000</v>
          </cell>
        </row>
        <row r="226">
          <cell r="B226" t="str">
            <v>Ổi712</v>
          </cell>
          <cell r="C226" t="str">
            <v>Cây ổi</v>
          </cell>
          <cell r="D226" t="str">
            <v>7cm ≤ đk gốc &lt; 12cm</v>
          </cell>
          <cell r="E226">
            <v>10</v>
          </cell>
          <cell r="F226" t="str">
            <v>cây</v>
          </cell>
          <cell r="G226">
            <v>500000</v>
          </cell>
          <cell r="H226">
            <v>0.8</v>
          </cell>
          <cell r="J226">
            <v>40000</v>
          </cell>
        </row>
        <row r="227">
          <cell r="B227" t="str">
            <v>Ổi1220</v>
          </cell>
          <cell r="C227" t="str">
            <v>Cây ổi</v>
          </cell>
          <cell r="D227" t="str">
            <v>12cm ≤ đk gốc &lt; 20cm</v>
          </cell>
          <cell r="E227">
            <v>10</v>
          </cell>
          <cell r="F227" t="str">
            <v>cây</v>
          </cell>
          <cell r="G227">
            <v>600000</v>
          </cell>
          <cell r="H227">
            <v>0.8</v>
          </cell>
          <cell r="J227">
            <v>48000</v>
          </cell>
        </row>
        <row r="228">
          <cell r="B228" t="str">
            <v>Ổi2030</v>
          </cell>
          <cell r="C228" t="str">
            <v>Cây ổi</v>
          </cell>
          <cell r="D228" t="str">
            <v>20cm ≤ đk gốc ≤ 30cm</v>
          </cell>
          <cell r="E228">
            <v>10</v>
          </cell>
          <cell r="F228" t="str">
            <v>cây</v>
          </cell>
          <cell r="G228">
            <v>800000</v>
          </cell>
          <cell r="H228">
            <v>0.8</v>
          </cell>
          <cell r="J228">
            <v>64000</v>
          </cell>
        </row>
        <row r="229">
          <cell r="B229" t="str">
            <v>Ổi30+</v>
          </cell>
          <cell r="C229" t="str">
            <v>Cây ổi</v>
          </cell>
          <cell r="D229" t="str">
            <v>đk gốc 30cm trở lên</v>
          </cell>
          <cell r="E229">
            <v>10</v>
          </cell>
          <cell r="F229" t="str">
            <v>cây</v>
          </cell>
          <cell r="G229">
            <v>1000000</v>
          </cell>
          <cell r="H229">
            <v>0.8</v>
          </cell>
          <cell r="J229">
            <v>80000</v>
          </cell>
        </row>
        <row r="230">
          <cell r="B230" t="str">
            <v>Ổi01vmd</v>
          </cell>
          <cell r="C230" t="str">
            <v>Cây ổi vượt mật độ</v>
          </cell>
          <cell r="D230" t="str">
            <v>đk gốc &lt; 2cm</v>
          </cell>
          <cell r="E230">
            <v>10</v>
          </cell>
          <cell r="F230" t="str">
            <v>cây</v>
          </cell>
          <cell r="G230">
            <v>70000</v>
          </cell>
          <cell r="H230">
            <v>0.25</v>
          </cell>
          <cell r="J230">
            <v>1750</v>
          </cell>
        </row>
        <row r="231">
          <cell r="B231" t="str">
            <v>Ổi27vmd</v>
          </cell>
          <cell r="C231" t="str">
            <v>Cây ổi vượt mật độ</v>
          </cell>
          <cell r="D231" t="str">
            <v>2cm ≤ đk gốc &lt; 7cm</v>
          </cell>
          <cell r="E231">
            <v>10</v>
          </cell>
          <cell r="F231" t="str">
            <v>cây</v>
          </cell>
          <cell r="G231">
            <v>200000</v>
          </cell>
          <cell r="H231">
            <v>0.25</v>
          </cell>
          <cell r="J231">
            <v>5000</v>
          </cell>
        </row>
        <row r="232">
          <cell r="B232" t="str">
            <v>Ổi712vmd</v>
          </cell>
          <cell r="C232" t="str">
            <v>Cây ổi vượt mật độ</v>
          </cell>
          <cell r="D232" t="str">
            <v>7cm ≤ đk gốc &lt; 12cm</v>
          </cell>
          <cell r="E232">
            <v>10</v>
          </cell>
          <cell r="F232" t="str">
            <v>cây</v>
          </cell>
          <cell r="G232">
            <v>500000</v>
          </cell>
          <cell r="H232">
            <v>0.4</v>
          </cell>
          <cell r="J232">
            <v>20000</v>
          </cell>
        </row>
        <row r="233">
          <cell r="B233" t="str">
            <v>Ổi1220vmd</v>
          </cell>
          <cell r="C233" t="str">
            <v>Cây ổi vượt mật độ</v>
          </cell>
          <cell r="D233" t="str">
            <v>12cm ≤ đk gốc &lt; 20cm</v>
          </cell>
          <cell r="E233">
            <v>10</v>
          </cell>
          <cell r="F233" t="str">
            <v>cây</v>
          </cell>
          <cell r="G233">
            <v>600000</v>
          </cell>
          <cell r="H233">
            <v>0.4</v>
          </cell>
          <cell r="J233">
            <v>24000</v>
          </cell>
        </row>
        <row r="234">
          <cell r="B234" t="str">
            <v>Ổi2030vmd</v>
          </cell>
          <cell r="C234" t="str">
            <v>Cây ổi vượt mật độ</v>
          </cell>
          <cell r="D234" t="str">
            <v>20cm ≤ đk gốc ≤ 30cm</v>
          </cell>
          <cell r="E234">
            <v>10</v>
          </cell>
          <cell r="F234" t="str">
            <v>cây</v>
          </cell>
          <cell r="G234">
            <v>800000</v>
          </cell>
          <cell r="H234">
            <v>0.4</v>
          </cell>
          <cell r="J234">
            <v>32000</v>
          </cell>
        </row>
        <row r="235">
          <cell r="B235" t="str">
            <v>Ổi30+vmd</v>
          </cell>
          <cell r="C235" t="str">
            <v>Cây ổi vượt mật độ</v>
          </cell>
          <cell r="D235" t="str">
            <v>đk gốc 30cm trở lên</v>
          </cell>
          <cell r="E235">
            <v>10</v>
          </cell>
          <cell r="F235" t="str">
            <v>cây</v>
          </cell>
          <cell r="G235">
            <v>1000000</v>
          </cell>
          <cell r="H235">
            <v>0.4</v>
          </cell>
          <cell r="J235">
            <v>40000</v>
          </cell>
        </row>
        <row r="236">
          <cell r="C236" t="str">
            <v>Cây Na</v>
          </cell>
          <cell r="J236" t="e">
            <v>#DIV/0!</v>
          </cell>
        </row>
        <row r="237">
          <cell r="B237" t="str">
            <v>Na02</v>
          </cell>
          <cell r="C237" t="str">
            <v>Cây Na</v>
          </cell>
          <cell r="D237" t="str">
            <v>đk gốc &lt; 2cm</v>
          </cell>
          <cell r="E237">
            <v>9.0909090909090917</v>
          </cell>
          <cell r="F237" t="str">
            <v>cây</v>
          </cell>
          <cell r="G237">
            <v>70000</v>
          </cell>
          <cell r="H237">
            <v>0.5</v>
          </cell>
          <cell r="J237">
            <v>3849.9999999999995</v>
          </cell>
        </row>
        <row r="238">
          <cell r="B238" t="str">
            <v>Na27</v>
          </cell>
          <cell r="C238" t="str">
            <v>Cây Na</v>
          </cell>
          <cell r="D238" t="str">
            <v>2cm ≤ đk gốc &lt; 7cm</v>
          </cell>
          <cell r="E238">
            <v>9.0909090909090917</v>
          </cell>
          <cell r="F238" t="str">
            <v>cây</v>
          </cell>
          <cell r="G238">
            <v>200000</v>
          </cell>
          <cell r="H238">
            <v>0.5</v>
          </cell>
          <cell r="J238">
            <v>10999.999999999998</v>
          </cell>
        </row>
        <row r="239">
          <cell r="B239" t="str">
            <v>Na712</v>
          </cell>
          <cell r="C239" t="str">
            <v>Cây Na</v>
          </cell>
          <cell r="D239" t="str">
            <v>7cm ≤ đk gốc &lt; 12cm</v>
          </cell>
          <cell r="E239">
            <v>9.0909090909090917</v>
          </cell>
          <cell r="F239" t="str">
            <v>cây</v>
          </cell>
          <cell r="G239">
            <v>500000</v>
          </cell>
          <cell r="H239">
            <v>0.8</v>
          </cell>
          <cell r="J239">
            <v>43999.999999999993</v>
          </cell>
        </row>
        <row r="240">
          <cell r="B240" t="str">
            <v>Na1220</v>
          </cell>
          <cell r="C240" t="str">
            <v>Cây Na</v>
          </cell>
          <cell r="D240" t="str">
            <v>12cm ≤ đk gốc &lt; 20cm</v>
          </cell>
          <cell r="E240">
            <v>9.0909090909090917</v>
          </cell>
          <cell r="F240" t="str">
            <v>cây</v>
          </cell>
          <cell r="G240">
            <v>600000</v>
          </cell>
          <cell r="H240">
            <v>0.8</v>
          </cell>
          <cell r="J240">
            <v>52799.999999999993</v>
          </cell>
        </row>
        <row r="241">
          <cell r="B241" t="str">
            <v>Na2030</v>
          </cell>
          <cell r="C241" t="str">
            <v>Cây Na</v>
          </cell>
          <cell r="D241" t="str">
            <v>20cm ≤ đk gốc ≤ 30cm</v>
          </cell>
          <cell r="E241">
            <v>9.0909090909090917</v>
          </cell>
          <cell r="F241" t="str">
            <v>cây</v>
          </cell>
          <cell r="G241">
            <v>800000</v>
          </cell>
          <cell r="H241">
            <v>0.8</v>
          </cell>
          <cell r="J241">
            <v>70400</v>
          </cell>
        </row>
        <row r="242">
          <cell r="B242" t="str">
            <v>Na30+</v>
          </cell>
          <cell r="C242" t="str">
            <v>Cây Na</v>
          </cell>
          <cell r="D242" t="str">
            <v>đk gốc 30cm trở lên</v>
          </cell>
          <cell r="E242">
            <v>9.0909090909090917</v>
          </cell>
          <cell r="F242" t="str">
            <v>cây</v>
          </cell>
          <cell r="G242">
            <v>1000000</v>
          </cell>
          <cell r="H242">
            <v>0.8</v>
          </cell>
          <cell r="J242">
            <v>87999.999999999985</v>
          </cell>
        </row>
        <row r="243">
          <cell r="B243" t="str">
            <v>Na02</v>
          </cell>
          <cell r="C243" t="str">
            <v>Cây Na vượt mật độ</v>
          </cell>
          <cell r="D243" t="str">
            <v>đk gốc &lt; 2cm</v>
          </cell>
          <cell r="E243">
            <v>9.0909090909090917</v>
          </cell>
          <cell r="F243" t="str">
            <v>cây</v>
          </cell>
          <cell r="G243">
            <v>70000</v>
          </cell>
          <cell r="H243">
            <v>0.25</v>
          </cell>
          <cell r="J243">
            <v>1924.9999999999998</v>
          </cell>
        </row>
        <row r="244">
          <cell r="B244" t="str">
            <v>Na27vmd</v>
          </cell>
          <cell r="C244" t="str">
            <v>Cây Na vượt mật độ</v>
          </cell>
          <cell r="D244" t="str">
            <v>2cm ≤ đk gốc &lt; 7cm</v>
          </cell>
          <cell r="E244">
            <v>9.0909090909090917</v>
          </cell>
          <cell r="F244" t="str">
            <v>cây</v>
          </cell>
          <cell r="G244">
            <v>200000</v>
          </cell>
          <cell r="H244">
            <v>0.25</v>
          </cell>
          <cell r="J244">
            <v>5499.9999999999991</v>
          </cell>
        </row>
        <row r="245">
          <cell r="B245" t="str">
            <v>Na712vmd</v>
          </cell>
          <cell r="C245" t="str">
            <v>Cây Na vượt mật độ</v>
          </cell>
          <cell r="D245" t="str">
            <v>7cm ≤ đk gốc &lt; 12cm</v>
          </cell>
          <cell r="E245">
            <v>9.0909090909090917</v>
          </cell>
          <cell r="F245" t="str">
            <v>cây</v>
          </cell>
          <cell r="G245">
            <v>500000</v>
          </cell>
          <cell r="H245">
            <v>0.4</v>
          </cell>
          <cell r="J245">
            <v>21999.999999999996</v>
          </cell>
        </row>
        <row r="246">
          <cell r="B246" t="str">
            <v>Na1220vmd</v>
          </cell>
          <cell r="C246" t="str">
            <v>Cây Na vượt mật độ</v>
          </cell>
          <cell r="D246" t="str">
            <v>12cm ≤ đk gốc &lt; 20cm</v>
          </cell>
          <cell r="E246">
            <v>9.0909090909090917</v>
          </cell>
          <cell r="F246" t="str">
            <v>cây</v>
          </cell>
          <cell r="G246">
            <v>600000</v>
          </cell>
          <cell r="H246">
            <v>0.4</v>
          </cell>
          <cell r="J246">
            <v>26399.999999999996</v>
          </cell>
        </row>
        <row r="247">
          <cell r="B247" t="str">
            <v>Na2030vmd</v>
          </cell>
          <cell r="C247" t="str">
            <v>Cây Na vượt mật độ</v>
          </cell>
          <cell r="D247" t="str">
            <v>20cm ≤ đk gốc ≤ 30cm</v>
          </cell>
          <cell r="E247">
            <v>9.0909090909090917</v>
          </cell>
          <cell r="F247" t="str">
            <v>cây</v>
          </cell>
          <cell r="G247">
            <v>800000</v>
          </cell>
          <cell r="H247">
            <v>0.4</v>
          </cell>
          <cell r="J247">
            <v>35200</v>
          </cell>
        </row>
        <row r="248">
          <cell r="B248" t="str">
            <v>Na30+vmd</v>
          </cell>
          <cell r="C248" t="str">
            <v>Cây Na vượt mật độ</v>
          </cell>
          <cell r="D248" t="str">
            <v>đk gốc 30cm trở lên</v>
          </cell>
          <cell r="E248">
            <v>9.0909090909090917</v>
          </cell>
          <cell r="F248" t="str">
            <v>cây</v>
          </cell>
          <cell r="G248">
            <v>1000000</v>
          </cell>
          <cell r="H248">
            <v>0.4</v>
          </cell>
          <cell r="J248">
            <v>43999.999999999993</v>
          </cell>
        </row>
        <row r="249">
          <cell r="C249" t="str">
            <v>Cây Táo</v>
          </cell>
          <cell r="J249" t="e">
            <v>#DIV/0!</v>
          </cell>
        </row>
        <row r="250">
          <cell r="B250" t="str">
            <v>Táo02</v>
          </cell>
          <cell r="C250" t="str">
            <v>Cây táo</v>
          </cell>
          <cell r="D250" t="str">
            <v>đk gốc &lt; 2cm</v>
          </cell>
          <cell r="E250">
            <v>25</v>
          </cell>
          <cell r="F250" t="str">
            <v>cây</v>
          </cell>
          <cell r="G250">
            <v>70000</v>
          </cell>
          <cell r="H250">
            <v>0.5</v>
          </cell>
          <cell r="J250">
            <v>1400</v>
          </cell>
        </row>
        <row r="251">
          <cell r="B251" t="str">
            <v>Táo27</v>
          </cell>
          <cell r="C251" t="str">
            <v>Cây táo</v>
          </cell>
          <cell r="D251" t="str">
            <v>2cm ≤ đk gốc &lt; 7cm</v>
          </cell>
          <cell r="E251">
            <v>25</v>
          </cell>
          <cell r="F251" t="str">
            <v>cây</v>
          </cell>
          <cell r="G251">
            <v>200000</v>
          </cell>
          <cell r="H251">
            <v>0.5</v>
          </cell>
          <cell r="J251">
            <v>4000</v>
          </cell>
        </row>
        <row r="252">
          <cell r="B252" t="str">
            <v>Táo712</v>
          </cell>
          <cell r="C252" t="str">
            <v>Cây táo</v>
          </cell>
          <cell r="D252" t="str">
            <v>7cm ≤ đk gốc &lt; 12cm</v>
          </cell>
          <cell r="E252">
            <v>25</v>
          </cell>
          <cell r="F252" t="str">
            <v>cây</v>
          </cell>
          <cell r="G252">
            <v>500000</v>
          </cell>
          <cell r="H252">
            <v>0.8</v>
          </cell>
          <cell r="J252">
            <v>16000</v>
          </cell>
        </row>
        <row r="253">
          <cell r="B253" t="str">
            <v>Táo1220</v>
          </cell>
          <cell r="C253" t="str">
            <v>Cây táo</v>
          </cell>
          <cell r="D253" t="str">
            <v>12cm ≤ đk gốc &lt; 20cm</v>
          </cell>
          <cell r="E253">
            <v>25</v>
          </cell>
          <cell r="F253" t="str">
            <v>cây</v>
          </cell>
          <cell r="G253">
            <v>600000</v>
          </cell>
          <cell r="H253">
            <v>0.8</v>
          </cell>
          <cell r="J253">
            <v>19200</v>
          </cell>
        </row>
        <row r="254">
          <cell r="B254" t="str">
            <v>Táo2030</v>
          </cell>
          <cell r="C254" t="str">
            <v>Cây táo</v>
          </cell>
          <cell r="D254" t="str">
            <v>20cm ≤ đk gốc ≤ 30cm</v>
          </cell>
          <cell r="E254">
            <v>25</v>
          </cell>
          <cell r="F254" t="str">
            <v>cây</v>
          </cell>
          <cell r="G254">
            <v>800000</v>
          </cell>
          <cell r="H254">
            <v>0.8</v>
          </cell>
          <cell r="J254">
            <v>25600</v>
          </cell>
        </row>
        <row r="255">
          <cell r="B255" t="str">
            <v>Táo30+</v>
          </cell>
          <cell r="C255" t="str">
            <v>Cây táo</v>
          </cell>
          <cell r="D255" t="str">
            <v>đk gốc 30cm trở lên</v>
          </cell>
          <cell r="E255">
            <v>25</v>
          </cell>
          <cell r="F255" t="str">
            <v>cây</v>
          </cell>
          <cell r="G255">
            <v>1000000</v>
          </cell>
          <cell r="H255">
            <v>0.8</v>
          </cell>
          <cell r="J255">
            <v>32000</v>
          </cell>
        </row>
        <row r="256">
          <cell r="B256" t="str">
            <v>Táo02vmd</v>
          </cell>
          <cell r="C256" t="str">
            <v>Cây táo vượt mật độ</v>
          </cell>
          <cell r="D256" t="str">
            <v>đk gốc &lt; 2cm</v>
          </cell>
          <cell r="E256">
            <v>25</v>
          </cell>
          <cell r="F256" t="str">
            <v>cây</v>
          </cell>
          <cell r="G256">
            <v>70000</v>
          </cell>
          <cell r="H256">
            <v>0.25</v>
          </cell>
          <cell r="J256">
            <v>700</v>
          </cell>
        </row>
        <row r="257">
          <cell r="B257" t="str">
            <v>Táo27vmd</v>
          </cell>
          <cell r="C257" t="str">
            <v>Cây táo vượt mật độ</v>
          </cell>
          <cell r="D257" t="str">
            <v>2cm ≤ đk gốc &lt; 7cm</v>
          </cell>
          <cell r="E257">
            <v>25</v>
          </cell>
          <cell r="F257" t="str">
            <v>cây</v>
          </cell>
          <cell r="G257">
            <v>200000</v>
          </cell>
          <cell r="H257">
            <v>0.25</v>
          </cell>
          <cell r="J257">
            <v>2000</v>
          </cell>
        </row>
        <row r="258">
          <cell r="B258" t="str">
            <v>Táo712vmd</v>
          </cell>
          <cell r="C258" t="str">
            <v>Cây táo vượt mật độ</v>
          </cell>
          <cell r="D258" t="str">
            <v>7cm ≤ đk gốc &lt; 12cm</v>
          </cell>
          <cell r="E258">
            <v>25</v>
          </cell>
          <cell r="F258" t="str">
            <v>cây</v>
          </cell>
          <cell r="G258">
            <v>500000</v>
          </cell>
          <cell r="H258">
            <v>0.4</v>
          </cell>
          <cell r="J258">
            <v>8000</v>
          </cell>
        </row>
        <row r="259">
          <cell r="B259" t="str">
            <v>Táo1220vmd</v>
          </cell>
          <cell r="C259" t="str">
            <v>Cây táo vượt mật độ</v>
          </cell>
          <cell r="D259" t="str">
            <v>12cm ≤ đk gốc &lt; 20cm</v>
          </cell>
          <cell r="E259">
            <v>25</v>
          </cell>
          <cell r="F259" t="str">
            <v>cây</v>
          </cell>
          <cell r="G259">
            <v>600000</v>
          </cell>
          <cell r="H259">
            <v>0.4</v>
          </cell>
          <cell r="J259">
            <v>9600</v>
          </cell>
        </row>
        <row r="260">
          <cell r="B260" t="str">
            <v>Táo2030vmd</v>
          </cell>
          <cell r="C260" t="str">
            <v>Cây táo vượt mật độ</v>
          </cell>
          <cell r="D260" t="str">
            <v>20cm ≤ đk gốc ≤ 30cm</v>
          </cell>
          <cell r="E260">
            <v>25</v>
          </cell>
          <cell r="F260" t="str">
            <v>cây</v>
          </cell>
          <cell r="G260">
            <v>800000</v>
          </cell>
          <cell r="H260">
            <v>0.4</v>
          </cell>
          <cell r="J260">
            <v>12800</v>
          </cell>
        </row>
        <row r="261">
          <cell r="B261" t="str">
            <v>Táo30+vmd</v>
          </cell>
          <cell r="C261" t="str">
            <v>Cây táo vượt mật độ</v>
          </cell>
          <cell r="D261" t="str">
            <v>đk gốc 30cm trở lên</v>
          </cell>
          <cell r="E261">
            <v>25</v>
          </cell>
          <cell r="F261" t="str">
            <v>cây</v>
          </cell>
          <cell r="G261">
            <v>1000000</v>
          </cell>
          <cell r="H261">
            <v>0.4</v>
          </cell>
          <cell r="J261">
            <v>16000</v>
          </cell>
        </row>
        <row r="262">
          <cell r="C262" t="str">
            <v>Hồng xiêm</v>
          </cell>
          <cell r="J262" t="e">
            <v>#DIV/0!</v>
          </cell>
        </row>
        <row r="263">
          <cell r="B263" t="str">
            <v>Hx02</v>
          </cell>
          <cell r="C263" t="str">
            <v>Hồng xiêm</v>
          </cell>
          <cell r="D263" t="str">
            <v>đk gốc &lt; 2cm</v>
          </cell>
          <cell r="E263">
            <v>25</v>
          </cell>
          <cell r="F263" t="str">
            <v>cây</v>
          </cell>
          <cell r="G263">
            <v>100000</v>
          </cell>
          <cell r="H263">
            <v>0.5</v>
          </cell>
          <cell r="J263">
            <v>2000</v>
          </cell>
        </row>
        <row r="264">
          <cell r="B264" t="str">
            <v>Hx27</v>
          </cell>
          <cell r="C264" t="str">
            <v>Hồng xiêm</v>
          </cell>
          <cell r="D264" t="str">
            <v>2cm ≤ đk gốc &lt; 7cm</v>
          </cell>
          <cell r="E264">
            <v>25</v>
          </cell>
          <cell r="F264" t="str">
            <v>cây</v>
          </cell>
          <cell r="G264">
            <v>230000</v>
          </cell>
          <cell r="H264">
            <v>0.5</v>
          </cell>
          <cell r="J264">
            <v>4600</v>
          </cell>
        </row>
        <row r="265">
          <cell r="B265" t="str">
            <v>Hx712</v>
          </cell>
          <cell r="C265" t="str">
            <v>Hồng xiêm</v>
          </cell>
          <cell r="D265" t="str">
            <v>7cm ≤ đk gốc &lt; 12cm</v>
          </cell>
          <cell r="E265">
            <v>25</v>
          </cell>
          <cell r="F265" t="str">
            <v>cây</v>
          </cell>
          <cell r="G265">
            <v>500000</v>
          </cell>
          <cell r="H265">
            <v>0.8</v>
          </cell>
          <cell r="J265">
            <v>16000</v>
          </cell>
        </row>
        <row r="266">
          <cell r="B266" t="str">
            <v>Hx1220</v>
          </cell>
          <cell r="C266" t="str">
            <v>Hồng xiêm</v>
          </cell>
          <cell r="D266" t="str">
            <v>12cm ≤ đk gốc &lt; 20cm</v>
          </cell>
          <cell r="E266">
            <v>25</v>
          </cell>
          <cell r="F266" t="str">
            <v>cây</v>
          </cell>
          <cell r="G266">
            <v>850000</v>
          </cell>
          <cell r="H266">
            <v>0.8</v>
          </cell>
          <cell r="J266">
            <v>27200</v>
          </cell>
        </row>
        <row r="267">
          <cell r="B267" t="str">
            <v>Hx2030</v>
          </cell>
          <cell r="C267" t="str">
            <v>Hồng xiêm</v>
          </cell>
          <cell r="D267" t="str">
            <v>20cm ≤ đk gốc ≤ 30cm</v>
          </cell>
          <cell r="E267">
            <v>25</v>
          </cell>
          <cell r="F267" t="str">
            <v>cây</v>
          </cell>
          <cell r="G267">
            <v>1000000</v>
          </cell>
          <cell r="H267">
            <v>0.8</v>
          </cell>
          <cell r="J267">
            <v>32000</v>
          </cell>
        </row>
        <row r="268">
          <cell r="B268" t="str">
            <v>Hx30+</v>
          </cell>
          <cell r="C268" t="str">
            <v>Hồng xiêm</v>
          </cell>
          <cell r="D268" t="str">
            <v>đk gốc 30cm trở lên</v>
          </cell>
          <cell r="E268">
            <v>25</v>
          </cell>
          <cell r="F268" t="str">
            <v>cây</v>
          </cell>
          <cell r="G268">
            <v>1300000</v>
          </cell>
          <cell r="H268">
            <v>0.8</v>
          </cell>
          <cell r="J268">
            <v>41600</v>
          </cell>
        </row>
        <row r="269">
          <cell r="B269" t="str">
            <v>Hx02</v>
          </cell>
          <cell r="C269" t="str">
            <v>Hồng xiêm vượt mật độ</v>
          </cell>
          <cell r="D269" t="str">
            <v>đk gốc &lt; 2cm</v>
          </cell>
          <cell r="E269">
            <v>25</v>
          </cell>
          <cell r="F269" t="str">
            <v>cây</v>
          </cell>
          <cell r="G269">
            <v>100000</v>
          </cell>
          <cell r="H269">
            <v>0.25</v>
          </cell>
          <cell r="J269">
            <v>1000</v>
          </cell>
        </row>
        <row r="270">
          <cell r="B270" t="str">
            <v>Hx27vmd</v>
          </cell>
          <cell r="C270" t="str">
            <v>Hồng xiêm vượt mật độ</v>
          </cell>
          <cell r="D270" t="str">
            <v>2cm ≤ đk gốc &lt; 7cm</v>
          </cell>
          <cell r="E270">
            <v>25</v>
          </cell>
          <cell r="F270" t="str">
            <v>cây</v>
          </cell>
          <cell r="G270">
            <v>230000</v>
          </cell>
          <cell r="H270">
            <v>0.25</v>
          </cell>
          <cell r="J270">
            <v>2300</v>
          </cell>
        </row>
        <row r="271">
          <cell r="B271" t="str">
            <v>Hx712vmd</v>
          </cell>
          <cell r="C271" t="str">
            <v>Hồng xiêm vượt mật độ</v>
          </cell>
          <cell r="D271" t="str">
            <v>7cm ≤ đk gốc &lt; 12cm</v>
          </cell>
          <cell r="E271">
            <v>25</v>
          </cell>
          <cell r="F271" t="str">
            <v>cây</v>
          </cell>
          <cell r="G271">
            <v>500000</v>
          </cell>
          <cell r="H271">
            <v>0.4</v>
          </cell>
          <cell r="J271">
            <v>8000</v>
          </cell>
        </row>
        <row r="272">
          <cell r="B272" t="str">
            <v>Hx1220vmd</v>
          </cell>
          <cell r="C272" t="str">
            <v>Hồng xiêm vượt mật độ</v>
          </cell>
          <cell r="D272" t="str">
            <v>12cm ≤ đk gốc &lt; 20cm</v>
          </cell>
          <cell r="E272">
            <v>25</v>
          </cell>
          <cell r="F272" t="str">
            <v>cây</v>
          </cell>
          <cell r="G272">
            <v>850000</v>
          </cell>
          <cell r="H272">
            <v>0.4</v>
          </cell>
          <cell r="J272">
            <v>13600</v>
          </cell>
        </row>
        <row r="273">
          <cell r="B273" t="str">
            <v>Hx2030vmd</v>
          </cell>
          <cell r="C273" t="str">
            <v>Hồng xiêm vượt mật độ</v>
          </cell>
          <cell r="D273" t="str">
            <v>20cm ≤ đk gốc ≤ 30cm</v>
          </cell>
          <cell r="E273">
            <v>25</v>
          </cell>
          <cell r="F273" t="str">
            <v>cây</v>
          </cell>
          <cell r="G273">
            <v>1000000</v>
          </cell>
          <cell r="H273">
            <v>0.4</v>
          </cell>
          <cell r="J273">
            <v>16000</v>
          </cell>
        </row>
        <row r="274">
          <cell r="B274" t="str">
            <v>Hx30+vmd</v>
          </cell>
          <cell r="C274" t="str">
            <v>Hồng xiêm vượt mật độ</v>
          </cell>
          <cell r="D274" t="str">
            <v>đk gốc 30cm trở lên</v>
          </cell>
          <cell r="E274">
            <v>25</v>
          </cell>
          <cell r="F274" t="str">
            <v>cây</v>
          </cell>
          <cell r="G274">
            <v>1300000</v>
          </cell>
          <cell r="H274">
            <v>0.4</v>
          </cell>
          <cell r="J274">
            <v>20800</v>
          </cell>
        </row>
        <row r="275">
          <cell r="C275" t="str">
            <v>Quất</v>
          </cell>
          <cell r="J275" t="e">
            <v>#DIV/0!</v>
          </cell>
        </row>
        <row r="276">
          <cell r="B276" t="str">
            <v>Quất01</v>
          </cell>
          <cell r="C276" t="str">
            <v>Cây quất</v>
          </cell>
          <cell r="D276" t="str">
            <v>đk gốc &lt; 2cm</v>
          </cell>
          <cell r="E276">
            <v>3.8461538461538463</v>
          </cell>
          <cell r="F276" t="str">
            <v>cây</v>
          </cell>
          <cell r="G276">
            <v>70000</v>
          </cell>
          <cell r="H276">
            <v>0.5</v>
          </cell>
          <cell r="J276">
            <v>9100</v>
          </cell>
        </row>
        <row r="277">
          <cell r="B277" t="str">
            <v>Quất27</v>
          </cell>
          <cell r="C277" t="str">
            <v>Cây quất</v>
          </cell>
          <cell r="D277" t="str">
            <v>2cm ≤ đk gốc &lt; 7cm</v>
          </cell>
          <cell r="E277">
            <v>3.8461538461538463</v>
          </cell>
          <cell r="F277" t="str">
            <v>cây</v>
          </cell>
          <cell r="G277">
            <v>200000</v>
          </cell>
          <cell r="H277">
            <v>0.5</v>
          </cell>
          <cell r="J277">
            <v>26000</v>
          </cell>
        </row>
        <row r="278">
          <cell r="B278" t="str">
            <v>Quất712</v>
          </cell>
          <cell r="C278" t="str">
            <v>Cây quất</v>
          </cell>
          <cell r="D278" t="str">
            <v>7cm ≤ đk gốc &lt; 12cm</v>
          </cell>
          <cell r="E278">
            <v>3.8461538461538463</v>
          </cell>
          <cell r="F278" t="str">
            <v>cây</v>
          </cell>
          <cell r="G278">
            <v>500000</v>
          </cell>
          <cell r="H278">
            <v>0.8</v>
          </cell>
          <cell r="J278">
            <v>104000</v>
          </cell>
        </row>
        <row r="279">
          <cell r="B279" t="str">
            <v>Quất1220</v>
          </cell>
          <cell r="C279" t="str">
            <v>Cây quất</v>
          </cell>
          <cell r="D279" t="str">
            <v>12cm ≤ đk gốc ≤ 20cm</v>
          </cell>
          <cell r="E279">
            <v>3.8461538461538463</v>
          </cell>
          <cell r="F279" t="str">
            <v>cây</v>
          </cell>
          <cell r="G279">
            <v>700000</v>
          </cell>
          <cell r="H279">
            <v>0.8</v>
          </cell>
          <cell r="J279">
            <v>145600</v>
          </cell>
        </row>
        <row r="280">
          <cell r="B280" t="str">
            <v>Quất20+</v>
          </cell>
          <cell r="C280" t="str">
            <v>Cây quất</v>
          </cell>
          <cell r="D280" t="str">
            <v>đk gốc 20cm trở lên</v>
          </cell>
          <cell r="E280">
            <v>3.8461538461538463</v>
          </cell>
          <cell r="F280" t="str">
            <v>cây</v>
          </cell>
          <cell r="G280">
            <v>1000000</v>
          </cell>
          <cell r="H280">
            <v>0.8</v>
          </cell>
          <cell r="J280">
            <v>208000</v>
          </cell>
        </row>
        <row r="281">
          <cell r="B281" t="str">
            <v>Quất02vmd</v>
          </cell>
          <cell r="C281" t="str">
            <v>Cây quất vượt mật độ</v>
          </cell>
          <cell r="D281" t="str">
            <v>đk gốc &lt; 2cm</v>
          </cell>
          <cell r="E281">
            <v>3.8461538461538463</v>
          </cell>
          <cell r="F281" t="str">
            <v>cây</v>
          </cell>
          <cell r="G281">
            <v>70000</v>
          </cell>
          <cell r="H281">
            <v>0.25</v>
          </cell>
          <cell r="J281">
            <v>4550</v>
          </cell>
        </row>
        <row r="282">
          <cell r="B282" t="str">
            <v>Quất27vmd</v>
          </cell>
          <cell r="C282" t="str">
            <v>Cây quất vượt mật độ</v>
          </cell>
          <cell r="D282" t="str">
            <v>2cm ≤ đk gốc &lt; 7cm</v>
          </cell>
          <cell r="E282">
            <v>3.8461538461538463</v>
          </cell>
          <cell r="F282" t="str">
            <v>cây</v>
          </cell>
          <cell r="G282">
            <v>200000</v>
          </cell>
          <cell r="H282">
            <v>0.25</v>
          </cell>
          <cell r="J282">
            <v>13000</v>
          </cell>
        </row>
        <row r="283">
          <cell r="B283" t="str">
            <v>Quất712vmd</v>
          </cell>
          <cell r="C283" t="str">
            <v>Cây quất vượt mật độ</v>
          </cell>
          <cell r="D283" t="str">
            <v>7cm ≤ đk gốc &lt; 12cm</v>
          </cell>
          <cell r="E283">
            <v>3.8461538461538463</v>
          </cell>
          <cell r="F283" t="str">
            <v>cây</v>
          </cell>
          <cell r="G283">
            <v>500000</v>
          </cell>
          <cell r="H283">
            <v>0.4</v>
          </cell>
          <cell r="J283">
            <v>52000</v>
          </cell>
        </row>
        <row r="284">
          <cell r="B284" t="str">
            <v>Quất1220vmd</v>
          </cell>
          <cell r="C284" t="str">
            <v>Cây quất vượt mật độ</v>
          </cell>
          <cell r="D284" t="str">
            <v>12cm ≤ đk gốc ≤ 20cm</v>
          </cell>
          <cell r="E284">
            <v>3.8461538461538463</v>
          </cell>
          <cell r="F284" t="str">
            <v>cây</v>
          </cell>
          <cell r="G284">
            <v>700000</v>
          </cell>
          <cell r="H284">
            <v>0.4</v>
          </cell>
          <cell r="J284">
            <v>72800</v>
          </cell>
        </row>
        <row r="285">
          <cell r="B285" t="str">
            <v>Quất20+vmd</v>
          </cell>
          <cell r="C285" t="str">
            <v>Cây quất vượt mật độ</v>
          </cell>
          <cell r="D285" t="str">
            <v>đk gốc 20cm trở lên</v>
          </cell>
          <cell r="E285">
            <v>3.8461538461538463</v>
          </cell>
          <cell r="F285" t="str">
            <v>cây</v>
          </cell>
          <cell r="G285">
            <v>1000000</v>
          </cell>
          <cell r="H285">
            <v>0.4</v>
          </cell>
          <cell r="J285">
            <v>104000</v>
          </cell>
        </row>
        <row r="286">
          <cell r="B286" t="str">
            <v>Quất01chau</v>
          </cell>
          <cell r="C286" t="str">
            <v>Cây quất trồng trên chậu</v>
          </cell>
          <cell r="D286" t="str">
            <v>đk gốc &lt; 2cm</v>
          </cell>
          <cell r="E286">
            <v>3.8461538461538463</v>
          </cell>
          <cell r="F286" t="str">
            <v>cây</v>
          </cell>
          <cell r="G286">
            <v>70000</v>
          </cell>
          <cell r="H286">
            <v>0.5</v>
          </cell>
          <cell r="J286">
            <v>9100</v>
          </cell>
        </row>
        <row r="287">
          <cell r="B287" t="str">
            <v>Quất27chau</v>
          </cell>
          <cell r="C287" t="str">
            <v>Cây quất trồng trên chậu</v>
          </cell>
          <cell r="D287" t="str">
            <v>2cm ≤ đk gốc &lt; 7cm</v>
          </cell>
          <cell r="E287">
            <v>3.8461538461538463</v>
          </cell>
          <cell r="F287" t="str">
            <v>cây</v>
          </cell>
          <cell r="G287">
            <v>200000</v>
          </cell>
          <cell r="H287">
            <v>0.5</v>
          </cell>
          <cell r="J287">
            <v>26000</v>
          </cell>
        </row>
        <row r="288">
          <cell r="B288" t="str">
            <v>Quất712chau</v>
          </cell>
          <cell r="C288" t="str">
            <v>Cây quất trồng trên chậu</v>
          </cell>
          <cell r="D288" t="str">
            <v>7cm ≤ đk gốc &lt; 12cm</v>
          </cell>
          <cell r="E288">
            <v>3.8461538461538463</v>
          </cell>
          <cell r="F288" t="str">
            <v>cây</v>
          </cell>
          <cell r="G288">
            <v>500000</v>
          </cell>
          <cell r="H288">
            <v>0.5</v>
          </cell>
          <cell r="J288">
            <v>65000</v>
          </cell>
        </row>
        <row r="289">
          <cell r="B289" t="str">
            <v>Quất1220chau</v>
          </cell>
          <cell r="C289" t="str">
            <v>Cây quất trồng trên chậu</v>
          </cell>
          <cell r="D289" t="str">
            <v>12cm ≤ đk gốc ≤ 20cm</v>
          </cell>
          <cell r="E289">
            <v>3.8461538461538463</v>
          </cell>
          <cell r="F289" t="str">
            <v>cây</v>
          </cell>
          <cell r="G289">
            <v>700000</v>
          </cell>
          <cell r="H289">
            <v>0.5</v>
          </cell>
          <cell r="J289">
            <v>91000</v>
          </cell>
        </row>
        <row r="290">
          <cell r="B290" t="str">
            <v>Quất20+chau</v>
          </cell>
          <cell r="C290" t="str">
            <v>Cây quất trồng trên chậu</v>
          </cell>
          <cell r="D290" t="str">
            <v>đk gốc 20cm trở lên</v>
          </cell>
          <cell r="E290">
            <v>3.8461538461538463</v>
          </cell>
          <cell r="F290" t="str">
            <v>cây</v>
          </cell>
          <cell r="G290">
            <v>1000000</v>
          </cell>
          <cell r="H290">
            <v>0.5</v>
          </cell>
          <cell r="J290">
            <v>130000</v>
          </cell>
        </row>
        <row r="291">
          <cell r="B291" t="str">
            <v>Quất01chauvmd</v>
          </cell>
          <cell r="C291" t="str">
            <v>Cây quất trồng trên chậu</v>
          </cell>
          <cell r="D291" t="str">
            <v>đk gốc &lt; 2cm</v>
          </cell>
          <cell r="E291">
            <v>3.8461538461538463</v>
          </cell>
          <cell r="F291" t="str">
            <v>cây</v>
          </cell>
          <cell r="G291">
            <v>70000</v>
          </cell>
          <cell r="H291">
            <v>0.25</v>
          </cell>
          <cell r="J291">
            <v>4550</v>
          </cell>
        </row>
        <row r="292">
          <cell r="B292" t="str">
            <v>Quất27chauvmd</v>
          </cell>
          <cell r="C292" t="str">
            <v>Cây quất trồng trên chậu</v>
          </cell>
          <cell r="D292" t="str">
            <v>2cm ≤ đk gốc &lt; 7cm</v>
          </cell>
          <cell r="E292">
            <v>3.8461538461538463</v>
          </cell>
          <cell r="F292" t="str">
            <v>cây</v>
          </cell>
          <cell r="G292">
            <v>200000</v>
          </cell>
          <cell r="H292">
            <v>0.25</v>
          </cell>
          <cell r="J292">
            <v>13000</v>
          </cell>
        </row>
        <row r="293">
          <cell r="B293" t="str">
            <v>Quất712chauvmd</v>
          </cell>
          <cell r="C293" t="str">
            <v>Cây quất trồng trên chậu</v>
          </cell>
          <cell r="D293" t="str">
            <v>7cm ≤ đk gốc &lt; 12cm</v>
          </cell>
          <cell r="E293">
            <v>3.8461538461538463</v>
          </cell>
          <cell r="F293" t="str">
            <v>cây</v>
          </cell>
          <cell r="G293">
            <v>500000</v>
          </cell>
          <cell r="H293">
            <v>0.25</v>
          </cell>
          <cell r="J293">
            <v>32500</v>
          </cell>
        </row>
        <row r="294">
          <cell r="B294" t="str">
            <v>Quất1220chauvmd</v>
          </cell>
          <cell r="C294" t="str">
            <v>Cây quất trồng trên chậu</v>
          </cell>
          <cell r="D294" t="str">
            <v>12cm ≤ đk gốc ≤ 20cm</v>
          </cell>
          <cell r="E294">
            <v>3.8461538461538463</v>
          </cell>
          <cell r="F294" t="str">
            <v>cây</v>
          </cell>
          <cell r="G294">
            <v>700000</v>
          </cell>
          <cell r="H294">
            <v>0.25</v>
          </cell>
          <cell r="J294">
            <v>45500</v>
          </cell>
        </row>
        <row r="295">
          <cell r="B295" t="str">
            <v>Quất20+chauvmd</v>
          </cell>
          <cell r="C295" t="str">
            <v>Cây quất trồng trên chậu</v>
          </cell>
          <cell r="D295" t="str">
            <v>đk gốc 20cm trở lên</v>
          </cell>
          <cell r="E295">
            <v>3.8461538461538463</v>
          </cell>
          <cell r="F295" t="str">
            <v>cây</v>
          </cell>
          <cell r="G295">
            <v>1000000</v>
          </cell>
          <cell r="H295">
            <v>0.25</v>
          </cell>
          <cell r="J295">
            <v>65000</v>
          </cell>
        </row>
        <row r="296">
          <cell r="C296" t="str">
            <v>Chanh</v>
          </cell>
          <cell r="J296" t="e">
            <v>#DIV/0!</v>
          </cell>
        </row>
        <row r="297">
          <cell r="B297" t="str">
            <v>Chanh02</v>
          </cell>
          <cell r="C297" t="str">
            <v>Cây chanh</v>
          </cell>
          <cell r="D297" t="str">
            <v>đk gốc &lt; 2cm</v>
          </cell>
          <cell r="E297">
            <v>6.25</v>
          </cell>
          <cell r="F297" t="str">
            <v>cây</v>
          </cell>
          <cell r="G297">
            <v>70000</v>
          </cell>
          <cell r="H297">
            <v>0.5</v>
          </cell>
          <cell r="J297">
            <v>5600</v>
          </cell>
        </row>
        <row r="298">
          <cell r="B298" t="str">
            <v>Chanh27</v>
          </cell>
          <cell r="C298" t="str">
            <v>Cây chanh</v>
          </cell>
          <cell r="D298" t="str">
            <v>2cm ≤ đk gốc &lt; 7cm</v>
          </cell>
          <cell r="E298">
            <v>6.25</v>
          </cell>
          <cell r="F298" t="str">
            <v>cây</v>
          </cell>
          <cell r="G298">
            <v>200000</v>
          </cell>
          <cell r="H298">
            <v>0.5</v>
          </cell>
          <cell r="J298">
            <v>16000</v>
          </cell>
        </row>
        <row r="299">
          <cell r="B299" t="str">
            <v>Chanh712</v>
          </cell>
          <cell r="C299" t="str">
            <v>Cây chanh</v>
          </cell>
          <cell r="D299" t="str">
            <v>7cm ≤ đk gốc &lt; 12cm</v>
          </cell>
          <cell r="E299">
            <v>6.25</v>
          </cell>
          <cell r="F299" t="str">
            <v>cây</v>
          </cell>
          <cell r="G299">
            <v>500000</v>
          </cell>
          <cell r="H299">
            <v>0.8</v>
          </cell>
          <cell r="J299">
            <v>64000</v>
          </cell>
        </row>
        <row r="300">
          <cell r="B300" t="str">
            <v>Chanh1220</v>
          </cell>
          <cell r="C300" t="str">
            <v>Cây chanh</v>
          </cell>
          <cell r="D300" t="str">
            <v>12cm ≤ đk gốc ≤ 20cm</v>
          </cell>
          <cell r="E300">
            <v>6.25</v>
          </cell>
          <cell r="F300" t="str">
            <v>cây</v>
          </cell>
          <cell r="G300">
            <v>700000</v>
          </cell>
          <cell r="H300">
            <v>0.8</v>
          </cell>
          <cell r="J300">
            <v>89600</v>
          </cell>
        </row>
        <row r="301">
          <cell r="B301" t="str">
            <v>Chanh20+</v>
          </cell>
          <cell r="C301" t="str">
            <v>Cây chanh</v>
          </cell>
          <cell r="D301" t="str">
            <v>đk gốc 20cm trở lên</v>
          </cell>
          <cell r="E301">
            <v>6.25</v>
          </cell>
          <cell r="F301" t="str">
            <v>cây</v>
          </cell>
          <cell r="G301">
            <v>1000000</v>
          </cell>
          <cell r="H301">
            <v>0.8</v>
          </cell>
          <cell r="J301">
            <v>128000</v>
          </cell>
        </row>
        <row r="302">
          <cell r="B302" t="str">
            <v>Chanh02vmd</v>
          </cell>
          <cell r="C302" t="str">
            <v>Cây chanh vượt mật độ</v>
          </cell>
          <cell r="D302" t="str">
            <v>đk gốc &lt; 2cm</v>
          </cell>
          <cell r="E302">
            <v>6.25</v>
          </cell>
          <cell r="F302" t="str">
            <v>cây</v>
          </cell>
          <cell r="G302">
            <v>70000</v>
          </cell>
          <cell r="H302">
            <v>0.25</v>
          </cell>
          <cell r="J302">
            <v>2800</v>
          </cell>
        </row>
        <row r="303">
          <cell r="B303" t="str">
            <v>Chanh27vmd</v>
          </cell>
          <cell r="C303" t="str">
            <v>Cây chanh vượt mật độ</v>
          </cell>
          <cell r="D303" t="str">
            <v>2cm ≤ đk gốc &lt; 7cm</v>
          </cell>
          <cell r="E303">
            <v>6.25</v>
          </cell>
          <cell r="F303" t="str">
            <v>cây</v>
          </cell>
          <cell r="G303">
            <v>200000</v>
          </cell>
          <cell r="H303">
            <v>0.25</v>
          </cell>
          <cell r="J303">
            <v>8000</v>
          </cell>
        </row>
        <row r="304">
          <cell r="B304" t="str">
            <v>Chanh712vmd</v>
          </cell>
          <cell r="C304" t="str">
            <v>Cây chanh vượt mật độ</v>
          </cell>
          <cell r="D304" t="str">
            <v>7cm ≤ đk gốc &lt; 12cm</v>
          </cell>
          <cell r="E304">
            <v>6.25</v>
          </cell>
          <cell r="F304" t="str">
            <v>cây</v>
          </cell>
          <cell r="G304">
            <v>500000</v>
          </cell>
          <cell r="H304">
            <v>0.4</v>
          </cell>
          <cell r="J304">
            <v>32000</v>
          </cell>
        </row>
        <row r="305">
          <cell r="B305" t="str">
            <v>Chanh1220vmd</v>
          </cell>
          <cell r="C305" t="str">
            <v>Cây chanh vượt mật độ</v>
          </cell>
          <cell r="D305" t="str">
            <v>12cm ≤ đk gốc ≤ 20cm</v>
          </cell>
          <cell r="E305">
            <v>6.25</v>
          </cell>
          <cell r="F305" t="str">
            <v>cây</v>
          </cell>
          <cell r="G305">
            <v>700000</v>
          </cell>
          <cell r="H305">
            <v>0.4</v>
          </cell>
          <cell r="J305">
            <v>44800</v>
          </cell>
        </row>
        <row r="306">
          <cell r="B306" t="str">
            <v>Chanh20+vmd</v>
          </cell>
          <cell r="C306" t="str">
            <v>Cây chanh vượt mật độ</v>
          </cell>
          <cell r="D306" t="str">
            <v>đk gốc 20cm trở lên</v>
          </cell>
          <cell r="E306">
            <v>6.25</v>
          </cell>
          <cell r="F306" t="str">
            <v>cây</v>
          </cell>
          <cell r="G306">
            <v>1000000</v>
          </cell>
          <cell r="H306">
            <v>0.4</v>
          </cell>
          <cell r="J306">
            <v>64000</v>
          </cell>
        </row>
        <row r="307">
          <cell r="C307" t="str">
            <v>Cây Xoài</v>
          </cell>
          <cell r="J307" t="e">
            <v>#DIV/0!</v>
          </cell>
        </row>
        <row r="308">
          <cell r="B308" t="str">
            <v>Xoài02</v>
          </cell>
          <cell r="C308" t="str">
            <v>Cây xoài</v>
          </cell>
          <cell r="D308" t="str">
            <v>đk gốc &lt; 2cm</v>
          </cell>
          <cell r="E308">
            <v>28.571428571428573</v>
          </cell>
          <cell r="F308" t="str">
            <v>cây</v>
          </cell>
          <cell r="G308">
            <v>70000</v>
          </cell>
          <cell r="H308">
            <v>0.5</v>
          </cell>
          <cell r="J308">
            <v>1225</v>
          </cell>
        </row>
        <row r="309">
          <cell r="B309" t="str">
            <v>Xoài25</v>
          </cell>
          <cell r="C309" t="str">
            <v>Cây xoài</v>
          </cell>
          <cell r="D309" t="str">
            <v>2cm ≤ đk gốc &lt; 5cm</v>
          </cell>
          <cell r="E309">
            <v>28.571428571428573</v>
          </cell>
          <cell r="F309" t="str">
            <v>cây</v>
          </cell>
          <cell r="G309">
            <v>250000</v>
          </cell>
          <cell r="H309">
            <v>0.5</v>
          </cell>
          <cell r="J309">
            <v>4375</v>
          </cell>
        </row>
        <row r="310">
          <cell r="B310" t="str">
            <v>Xoài58</v>
          </cell>
          <cell r="C310" t="str">
            <v>Cây xoài</v>
          </cell>
          <cell r="D310" t="str">
            <v>5cm ≤ đk gốc &lt; 8cm</v>
          </cell>
          <cell r="E310">
            <v>28.571428571428573</v>
          </cell>
          <cell r="F310" t="str">
            <v>cây</v>
          </cell>
          <cell r="G310">
            <v>550000</v>
          </cell>
          <cell r="H310">
            <v>0.5</v>
          </cell>
          <cell r="J310">
            <v>9625</v>
          </cell>
        </row>
        <row r="311">
          <cell r="B311" t="str">
            <v>Xoài812</v>
          </cell>
          <cell r="C311" t="str">
            <v>Cây xoài</v>
          </cell>
          <cell r="D311" t="str">
            <v>8cm ≤ đk gốc &lt; 12cm</v>
          </cell>
          <cell r="E311">
            <v>28.571428571428573</v>
          </cell>
          <cell r="F311" t="str">
            <v>cây</v>
          </cell>
          <cell r="G311">
            <v>850000</v>
          </cell>
          <cell r="H311">
            <v>0.8</v>
          </cell>
          <cell r="J311">
            <v>23800</v>
          </cell>
        </row>
        <row r="312">
          <cell r="B312" t="str">
            <v>Xoài1220</v>
          </cell>
          <cell r="C312" t="str">
            <v>Cây xoài</v>
          </cell>
          <cell r="D312" t="str">
            <v>12cm ≤ đk gốc &lt; 20cm</v>
          </cell>
          <cell r="E312">
            <v>28.571428571428573</v>
          </cell>
          <cell r="F312" t="str">
            <v>cây</v>
          </cell>
          <cell r="G312">
            <v>1200000</v>
          </cell>
          <cell r="H312">
            <v>0.8</v>
          </cell>
          <cell r="J312">
            <v>33600</v>
          </cell>
        </row>
        <row r="313">
          <cell r="B313" t="str">
            <v>Xoài2030</v>
          </cell>
          <cell r="C313" t="str">
            <v>Cây xoài</v>
          </cell>
          <cell r="D313" t="str">
            <v>20cm ≤ đk gốc &lt; 30cm</v>
          </cell>
          <cell r="E313">
            <v>28.571428571428573</v>
          </cell>
          <cell r="F313" t="str">
            <v>cây</v>
          </cell>
          <cell r="G313">
            <v>1400000</v>
          </cell>
          <cell r="H313">
            <v>0.8</v>
          </cell>
          <cell r="J313">
            <v>39200</v>
          </cell>
        </row>
        <row r="314">
          <cell r="B314" t="str">
            <v>Xoài3060</v>
          </cell>
          <cell r="C314" t="str">
            <v>Cây xoài</v>
          </cell>
          <cell r="D314" t="str">
            <v>30cm ≤ đk gốc ≤ 60cm</v>
          </cell>
          <cell r="E314">
            <v>28.571428571428573</v>
          </cell>
          <cell r="F314" t="str">
            <v>cây</v>
          </cell>
          <cell r="G314">
            <v>1600000</v>
          </cell>
          <cell r="H314">
            <v>0.8</v>
          </cell>
          <cell r="J314">
            <v>44800</v>
          </cell>
        </row>
        <row r="315">
          <cell r="B315" t="str">
            <v>Xoài60+</v>
          </cell>
          <cell r="C315" t="str">
            <v>Cây xoài</v>
          </cell>
          <cell r="D315" t="str">
            <v>đk gốc 60cm trở lên</v>
          </cell>
          <cell r="E315">
            <v>28.571428571428573</v>
          </cell>
          <cell r="F315" t="str">
            <v>cây</v>
          </cell>
          <cell r="G315">
            <v>1800000</v>
          </cell>
          <cell r="H315">
            <v>0.8</v>
          </cell>
          <cell r="J315">
            <v>50400</v>
          </cell>
        </row>
        <row r="316">
          <cell r="B316" t="str">
            <v>Xoài02vmd</v>
          </cell>
          <cell r="C316" t="str">
            <v>Cây xoài vượt mật độ</v>
          </cell>
          <cell r="D316" t="str">
            <v>đk gốc &lt; 2cm</v>
          </cell>
          <cell r="E316">
            <v>28.571428571428573</v>
          </cell>
          <cell r="F316" t="str">
            <v>cây</v>
          </cell>
          <cell r="G316">
            <v>70000</v>
          </cell>
          <cell r="H316">
            <v>0.25</v>
          </cell>
          <cell r="J316">
            <v>612.5</v>
          </cell>
        </row>
        <row r="317">
          <cell r="B317" t="str">
            <v>Xoài25vmd</v>
          </cell>
          <cell r="C317" t="str">
            <v>Cây xoài vượt mật độ</v>
          </cell>
          <cell r="D317" t="str">
            <v>2cm ≤ đk gốc &lt; 5cm</v>
          </cell>
          <cell r="E317">
            <v>28.571428571428573</v>
          </cell>
          <cell r="F317" t="str">
            <v>cây</v>
          </cell>
          <cell r="G317">
            <v>250000</v>
          </cell>
          <cell r="H317">
            <v>0.25</v>
          </cell>
          <cell r="J317">
            <v>2187.5</v>
          </cell>
        </row>
        <row r="318">
          <cell r="B318" t="str">
            <v>Xoài58vmd</v>
          </cell>
          <cell r="C318" t="str">
            <v>Cây xoài vượt mật độ</v>
          </cell>
          <cell r="D318" t="str">
            <v>5cm ≤ đk gốc &lt; 8cm</v>
          </cell>
          <cell r="E318">
            <v>28.571428571428573</v>
          </cell>
          <cell r="F318" t="str">
            <v>cây</v>
          </cell>
          <cell r="G318">
            <v>550000</v>
          </cell>
          <cell r="H318">
            <v>0.25</v>
          </cell>
          <cell r="J318">
            <v>4812.5</v>
          </cell>
        </row>
        <row r="319">
          <cell r="B319" t="str">
            <v>Xoài812vmd</v>
          </cell>
          <cell r="C319" t="str">
            <v>Cây xoài vượt mật độ</v>
          </cell>
          <cell r="D319" t="str">
            <v>8cm ≤ đk gốc &lt; 12cm</v>
          </cell>
          <cell r="E319">
            <v>28.571428571428573</v>
          </cell>
          <cell r="F319" t="str">
            <v>cây</v>
          </cell>
          <cell r="G319">
            <v>850000</v>
          </cell>
          <cell r="H319">
            <v>0.4</v>
          </cell>
          <cell r="J319">
            <v>11900</v>
          </cell>
        </row>
        <row r="320">
          <cell r="B320" t="str">
            <v>Xoài1220vmd</v>
          </cell>
          <cell r="C320" t="str">
            <v>Cây xoài vượt mật độ</v>
          </cell>
          <cell r="D320" t="str">
            <v>12cm ≤ đk gốc &lt; 20cm</v>
          </cell>
          <cell r="E320">
            <v>28.571428571428573</v>
          </cell>
          <cell r="F320" t="str">
            <v>cây</v>
          </cell>
          <cell r="G320">
            <v>1200000</v>
          </cell>
          <cell r="H320">
            <v>0.4</v>
          </cell>
          <cell r="J320">
            <v>16800</v>
          </cell>
        </row>
        <row r="321">
          <cell r="B321" t="str">
            <v>Xoài2030vmd</v>
          </cell>
          <cell r="C321" t="str">
            <v>Cây xoài vượt mật độ</v>
          </cell>
          <cell r="D321" t="str">
            <v>20cm ≤ đk gốc &lt; 30cm</v>
          </cell>
          <cell r="E321">
            <v>28.571428571428573</v>
          </cell>
          <cell r="F321" t="str">
            <v>cây</v>
          </cell>
          <cell r="G321">
            <v>1400000</v>
          </cell>
          <cell r="H321">
            <v>0.4</v>
          </cell>
          <cell r="J321">
            <v>19600</v>
          </cell>
        </row>
        <row r="322">
          <cell r="B322" t="str">
            <v>Xoài3060vmd</v>
          </cell>
          <cell r="C322" t="str">
            <v>Cây xoài vượt mật độ</v>
          </cell>
          <cell r="D322" t="str">
            <v>30cm ≤ đk gốc ≤ 60cm</v>
          </cell>
          <cell r="E322">
            <v>28.571428571428573</v>
          </cell>
          <cell r="F322" t="str">
            <v>cây</v>
          </cell>
          <cell r="G322">
            <v>1600000</v>
          </cell>
          <cell r="H322">
            <v>0.4</v>
          </cell>
          <cell r="J322">
            <v>22400</v>
          </cell>
        </row>
        <row r="323">
          <cell r="B323" t="str">
            <v>Xoài60+vmd</v>
          </cell>
          <cell r="C323" t="str">
            <v>Cây xoài vượt mật độ</v>
          </cell>
          <cell r="D323" t="str">
            <v>đk gốc 60cm trở lên</v>
          </cell>
          <cell r="E323">
            <v>28.571428571428573</v>
          </cell>
          <cell r="F323" t="str">
            <v>cây</v>
          </cell>
          <cell r="G323">
            <v>1800000</v>
          </cell>
          <cell r="H323">
            <v>0.4</v>
          </cell>
          <cell r="J323">
            <v>25200</v>
          </cell>
        </row>
        <row r="324">
          <cell r="C324" t="str">
            <v>Cây bơ</v>
          </cell>
          <cell r="J324" t="e">
            <v>#DIV/0!</v>
          </cell>
        </row>
        <row r="325">
          <cell r="B325" t="str">
            <v>bơ02</v>
          </cell>
          <cell r="C325" t="str">
            <v>Cây bơ</v>
          </cell>
          <cell r="D325" t="str">
            <v>đk gốc &lt; 2cm</v>
          </cell>
          <cell r="E325">
            <v>50</v>
          </cell>
          <cell r="F325" t="str">
            <v>cây</v>
          </cell>
          <cell r="G325">
            <v>70000</v>
          </cell>
          <cell r="H325">
            <v>0.5</v>
          </cell>
          <cell r="J325">
            <v>700</v>
          </cell>
        </row>
        <row r="326">
          <cell r="B326" t="str">
            <v>bơ25</v>
          </cell>
          <cell r="C326" t="str">
            <v>Cây bơ</v>
          </cell>
          <cell r="D326" t="str">
            <v>2cm ≤ đk gốc &lt; 5cm</v>
          </cell>
          <cell r="E326">
            <v>50</v>
          </cell>
          <cell r="F326" t="str">
            <v>cây</v>
          </cell>
          <cell r="G326">
            <v>250000</v>
          </cell>
          <cell r="H326">
            <v>0.5</v>
          </cell>
          <cell r="J326">
            <v>2500</v>
          </cell>
        </row>
        <row r="327">
          <cell r="B327" t="str">
            <v>bơ58</v>
          </cell>
          <cell r="C327" t="str">
            <v>Cây bơ</v>
          </cell>
          <cell r="D327" t="str">
            <v>5cm ≤ đk gốc &lt; 8cm</v>
          </cell>
          <cell r="E327">
            <v>50</v>
          </cell>
          <cell r="F327" t="str">
            <v>cây</v>
          </cell>
          <cell r="G327">
            <v>550000</v>
          </cell>
          <cell r="H327">
            <v>0.5</v>
          </cell>
          <cell r="J327">
            <v>5500</v>
          </cell>
        </row>
        <row r="328">
          <cell r="B328" t="str">
            <v>bơ812</v>
          </cell>
          <cell r="C328" t="str">
            <v>Cây bơ</v>
          </cell>
          <cell r="D328" t="str">
            <v>8cm ≤ đk gốc &lt; 12cm</v>
          </cell>
          <cell r="E328">
            <v>50</v>
          </cell>
          <cell r="F328" t="str">
            <v>cây</v>
          </cell>
          <cell r="G328">
            <v>850000</v>
          </cell>
          <cell r="H328">
            <v>0.8</v>
          </cell>
          <cell r="J328">
            <v>13600</v>
          </cell>
        </row>
        <row r="329">
          <cell r="B329" t="str">
            <v>bơ1220</v>
          </cell>
          <cell r="C329" t="str">
            <v>Cây bơ</v>
          </cell>
          <cell r="D329" t="str">
            <v>12cm ≤ đk gốc &lt; 20cm</v>
          </cell>
          <cell r="E329">
            <v>50</v>
          </cell>
          <cell r="F329" t="str">
            <v>cây</v>
          </cell>
          <cell r="G329">
            <v>1200000</v>
          </cell>
          <cell r="H329">
            <v>0.8</v>
          </cell>
          <cell r="J329">
            <v>19200</v>
          </cell>
        </row>
        <row r="330">
          <cell r="B330" t="str">
            <v>bơ2030</v>
          </cell>
          <cell r="C330" t="str">
            <v>Cây bơ</v>
          </cell>
          <cell r="D330" t="str">
            <v>20cm ≤ đk gốc &lt; 30cm</v>
          </cell>
          <cell r="E330">
            <v>50</v>
          </cell>
          <cell r="F330" t="str">
            <v>cây</v>
          </cell>
          <cell r="G330">
            <v>1400000</v>
          </cell>
          <cell r="H330">
            <v>0.8</v>
          </cell>
          <cell r="J330">
            <v>22400</v>
          </cell>
        </row>
        <row r="331">
          <cell r="B331" t="str">
            <v>bơ3060</v>
          </cell>
          <cell r="C331" t="str">
            <v>Cây bơ</v>
          </cell>
          <cell r="D331" t="str">
            <v>30cm ≤ đk gốc ≤ 60cm</v>
          </cell>
          <cell r="E331">
            <v>50</v>
          </cell>
          <cell r="F331" t="str">
            <v>cây</v>
          </cell>
          <cell r="G331">
            <v>1600000</v>
          </cell>
          <cell r="H331">
            <v>0.8</v>
          </cell>
          <cell r="J331">
            <v>25600</v>
          </cell>
        </row>
        <row r="332">
          <cell r="B332" t="str">
            <v>bơ60+</v>
          </cell>
          <cell r="C332" t="str">
            <v>Cây bơ</v>
          </cell>
          <cell r="D332" t="str">
            <v>đk gốc 60cm trở lên</v>
          </cell>
          <cell r="E332">
            <v>50</v>
          </cell>
          <cell r="F332" t="str">
            <v>cây</v>
          </cell>
          <cell r="G332">
            <v>1800000</v>
          </cell>
          <cell r="H332">
            <v>0.8</v>
          </cell>
          <cell r="J332">
            <v>28800</v>
          </cell>
        </row>
        <row r="333">
          <cell r="B333" t="str">
            <v>bơ02vmd</v>
          </cell>
          <cell r="C333" t="str">
            <v>Cây bơ vượt mật độ</v>
          </cell>
          <cell r="D333" t="str">
            <v>đk gốc &lt; 2cm</v>
          </cell>
          <cell r="E333">
            <v>50</v>
          </cell>
          <cell r="F333" t="str">
            <v>cây</v>
          </cell>
          <cell r="G333">
            <v>70000</v>
          </cell>
          <cell r="H333">
            <v>0.25</v>
          </cell>
          <cell r="J333">
            <v>350</v>
          </cell>
        </row>
        <row r="334">
          <cell r="B334" t="str">
            <v>bơ25vmd</v>
          </cell>
          <cell r="C334" t="str">
            <v>Cây bơ vượt mật độ</v>
          </cell>
          <cell r="D334" t="str">
            <v>2cm ≤ đk gốc &lt; 5cm</v>
          </cell>
          <cell r="E334">
            <v>50</v>
          </cell>
          <cell r="F334" t="str">
            <v>cây</v>
          </cell>
          <cell r="G334">
            <v>250000</v>
          </cell>
          <cell r="H334">
            <v>0.25</v>
          </cell>
          <cell r="J334">
            <v>1250</v>
          </cell>
        </row>
        <row r="335">
          <cell r="B335" t="str">
            <v>bơ58vmd</v>
          </cell>
          <cell r="C335" t="str">
            <v>Cây bơ vượt mật độ</v>
          </cell>
          <cell r="D335" t="str">
            <v>5cm ≤ đk gốc &lt; 8cm</v>
          </cell>
          <cell r="E335">
            <v>50</v>
          </cell>
          <cell r="F335" t="str">
            <v>cây</v>
          </cell>
          <cell r="G335">
            <v>550000</v>
          </cell>
          <cell r="H335">
            <v>0.25</v>
          </cell>
          <cell r="J335">
            <v>2750</v>
          </cell>
        </row>
        <row r="336">
          <cell r="B336" t="str">
            <v>bơ812vmd</v>
          </cell>
          <cell r="C336" t="str">
            <v>Cây bơ vượt mật độ</v>
          </cell>
          <cell r="D336" t="str">
            <v>8cm ≤ đk gốc &lt; 12cm</v>
          </cell>
          <cell r="E336">
            <v>50</v>
          </cell>
          <cell r="F336" t="str">
            <v>cây</v>
          </cell>
          <cell r="G336">
            <v>850000</v>
          </cell>
          <cell r="H336">
            <v>0.4</v>
          </cell>
          <cell r="J336">
            <v>6800</v>
          </cell>
        </row>
        <row r="337">
          <cell r="B337" t="str">
            <v>bơ1220vmd</v>
          </cell>
          <cell r="C337" t="str">
            <v>Cây bơ vượt mật độ</v>
          </cell>
          <cell r="D337" t="str">
            <v>12cm ≤ đk gốc &lt; 20cm</v>
          </cell>
          <cell r="E337">
            <v>50</v>
          </cell>
          <cell r="F337" t="str">
            <v>cây</v>
          </cell>
          <cell r="G337">
            <v>1200000</v>
          </cell>
          <cell r="H337">
            <v>0.4</v>
          </cell>
          <cell r="J337">
            <v>9600</v>
          </cell>
        </row>
        <row r="338">
          <cell r="B338" t="str">
            <v>bơ2030vmd</v>
          </cell>
          <cell r="C338" t="str">
            <v>Cây bơ vượt mật độ</v>
          </cell>
          <cell r="D338" t="str">
            <v>20cm ≤ đk gốc &lt; 30cm</v>
          </cell>
          <cell r="E338">
            <v>50</v>
          </cell>
          <cell r="F338" t="str">
            <v>cây</v>
          </cell>
          <cell r="G338">
            <v>1400000</v>
          </cell>
          <cell r="H338">
            <v>0.4</v>
          </cell>
          <cell r="J338">
            <v>11200</v>
          </cell>
        </row>
        <row r="339">
          <cell r="B339" t="str">
            <v>bơ3060vmd</v>
          </cell>
          <cell r="C339" t="str">
            <v>Cây bơ vượt mật độ</v>
          </cell>
          <cell r="D339" t="str">
            <v>30cm ≤ đk gốc ≤ 60cm</v>
          </cell>
          <cell r="E339">
            <v>50</v>
          </cell>
          <cell r="F339" t="str">
            <v>cây</v>
          </cell>
          <cell r="G339">
            <v>1600000</v>
          </cell>
          <cell r="H339">
            <v>0.4</v>
          </cell>
          <cell r="J339">
            <v>12800</v>
          </cell>
        </row>
        <row r="340">
          <cell r="B340" t="str">
            <v>bơ60+vmd</v>
          </cell>
          <cell r="C340" t="str">
            <v>Cây bơ vượt mật độ</v>
          </cell>
          <cell r="D340" t="str">
            <v>đk gốc 60cm trở lên</v>
          </cell>
          <cell r="E340">
            <v>50</v>
          </cell>
          <cell r="F340" t="str">
            <v>cây</v>
          </cell>
          <cell r="G340">
            <v>1800000</v>
          </cell>
          <cell r="H340">
            <v>0.4</v>
          </cell>
          <cell r="J340">
            <v>14400</v>
          </cell>
        </row>
        <row r="341">
          <cell r="C341" t="str">
            <v>Cây chay</v>
          </cell>
          <cell r="J341" t="e">
            <v>#DIV/0!</v>
          </cell>
        </row>
        <row r="342">
          <cell r="B342" t="str">
            <v>Chay02</v>
          </cell>
          <cell r="C342" t="str">
            <v>Cây chay</v>
          </cell>
          <cell r="D342" t="str">
            <v>đk gốc &lt; 2cm</v>
          </cell>
          <cell r="E342">
            <v>50</v>
          </cell>
          <cell r="F342" t="str">
            <v>cây</v>
          </cell>
          <cell r="G342">
            <v>70000</v>
          </cell>
          <cell r="H342">
            <v>0.5</v>
          </cell>
          <cell r="J342">
            <v>700</v>
          </cell>
        </row>
        <row r="343">
          <cell r="B343" t="str">
            <v>Chay25</v>
          </cell>
          <cell r="C343" t="str">
            <v>Cây chay</v>
          </cell>
          <cell r="D343" t="str">
            <v>2cm ≤ đk gốc &lt; 5cm</v>
          </cell>
          <cell r="E343">
            <v>50</v>
          </cell>
          <cell r="F343" t="str">
            <v>cây</v>
          </cell>
          <cell r="G343">
            <v>250000</v>
          </cell>
          <cell r="H343">
            <v>0.5</v>
          </cell>
          <cell r="J343">
            <v>2500</v>
          </cell>
        </row>
        <row r="344">
          <cell r="B344" t="str">
            <v>Chay58</v>
          </cell>
          <cell r="C344" t="str">
            <v>Cây chay</v>
          </cell>
          <cell r="D344" t="str">
            <v>5cm ≤ đk gốc &lt; 8cm</v>
          </cell>
          <cell r="E344">
            <v>50</v>
          </cell>
          <cell r="F344" t="str">
            <v>cây</v>
          </cell>
          <cell r="G344">
            <v>550000</v>
          </cell>
          <cell r="H344">
            <v>0.5</v>
          </cell>
          <cell r="J344">
            <v>5500</v>
          </cell>
        </row>
        <row r="345">
          <cell r="B345" t="str">
            <v>Chay812</v>
          </cell>
          <cell r="C345" t="str">
            <v>Cây chay</v>
          </cell>
          <cell r="D345" t="str">
            <v>8cm ≤ đk gốc &lt; 12cm</v>
          </cell>
          <cell r="E345">
            <v>50</v>
          </cell>
          <cell r="F345" t="str">
            <v>cây</v>
          </cell>
          <cell r="G345">
            <v>850000</v>
          </cell>
          <cell r="H345">
            <v>0.8</v>
          </cell>
          <cell r="J345">
            <v>13600</v>
          </cell>
        </row>
        <row r="346">
          <cell r="B346" t="str">
            <v>Chay1220</v>
          </cell>
          <cell r="C346" t="str">
            <v>Cây chay</v>
          </cell>
          <cell r="D346" t="str">
            <v>12cm ≤ đk gốc &lt; 20cm</v>
          </cell>
          <cell r="E346">
            <v>50</v>
          </cell>
          <cell r="F346" t="str">
            <v>cây</v>
          </cell>
          <cell r="G346">
            <v>1200000</v>
          </cell>
          <cell r="H346">
            <v>0.8</v>
          </cell>
          <cell r="J346">
            <v>19200</v>
          </cell>
        </row>
        <row r="347">
          <cell r="B347" t="str">
            <v>Chay2030</v>
          </cell>
          <cell r="C347" t="str">
            <v>Cây chay</v>
          </cell>
          <cell r="D347" t="str">
            <v>20cm ≤ đk gốc &lt; 30cm</v>
          </cell>
          <cell r="E347">
            <v>50</v>
          </cell>
          <cell r="F347" t="str">
            <v>cây</v>
          </cell>
          <cell r="G347">
            <v>1400000</v>
          </cell>
          <cell r="H347">
            <v>0.8</v>
          </cell>
          <cell r="J347">
            <v>22400</v>
          </cell>
        </row>
        <row r="348">
          <cell r="B348" t="str">
            <v>Chay3060</v>
          </cell>
          <cell r="C348" t="str">
            <v>Cây chay</v>
          </cell>
          <cell r="D348" t="str">
            <v>30cm ≤ đk gốc ≤ 60cm</v>
          </cell>
          <cell r="E348">
            <v>50</v>
          </cell>
          <cell r="F348" t="str">
            <v>cây</v>
          </cell>
          <cell r="G348">
            <v>1600000</v>
          </cell>
          <cell r="H348">
            <v>0.8</v>
          </cell>
          <cell r="J348">
            <v>25600</v>
          </cell>
        </row>
        <row r="349">
          <cell r="B349" t="str">
            <v>Chay60+</v>
          </cell>
          <cell r="C349" t="str">
            <v>Cây chay</v>
          </cell>
          <cell r="D349" t="str">
            <v>đk gốc 60cm trở lên</v>
          </cell>
          <cell r="E349">
            <v>50</v>
          </cell>
          <cell r="F349" t="str">
            <v>cây</v>
          </cell>
          <cell r="G349">
            <v>1800000</v>
          </cell>
          <cell r="H349">
            <v>0.8</v>
          </cell>
          <cell r="J349">
            <v>28800</v>
          </cell>
        </row>
        <row r="350">
          <cell r="B350" t="str">
            <v>Chay02vmd</v>
          </cell>
          <cell r="C350" t="str">
            <v>Cây chay vượt mật độ</v>
          </cell>
          <cell r="D350" t="str">
            <v>đk gốc &lt; 2cm</v>
          </cell>
          <cell r="E350">
            <v>50</v>
          </cell>
          <cell r="F350" t="str">
            <v>cây</v>
          </cell>
          <cell r="G350">
            <v>70000</v>
          </cell>
          <cell r="H350">
            <v>0.25</v>
          </cell>
          <cell r="J350">
            <v>350</v>
          </cell>
        </row>
        <row r="351">
          <cell r="B351" t="str">
            <v>Chay25vmd</v>
          </cell>
          <cell r="C351" t="str">
            <v>Cây chay vượt mật độ</v>
          </cell>
          <cell r="D351" t="str">
            <v>2cm ≤ đk gốc &lt; 5cm</v>
          </cell>
          <cell r="E351">
            <v>50</v>
          </cell>
          <cell r="F351" t="str">
            <v>cây</v>
          </cell>
          <cell r="G351">
            <v>250000</v>
          </cell>
          <cell r="H351">
            <v>0.25</v>
          </cell>
          <cell r="J351">
            <v>1250</v>
          </cell>
        </row>
        <row r="352">
          <cell r="B352" t="str">
            <v>Chay58vmd</v>
          </cell>
          <cell r="C352" t="str">
            <v>Cây chay vượt mật độ</v>
          </cell>
          <cell r="D352" t="str">
            <v>5cm ≤ đk gốc &lt; 8cm</v>
          </cell>
          <cell r="E352">
            <v>50</v>
          </cell>
          <cell r="F352" t="str">
            <v>cây</v>
          </cell>
          <cell r="G352">
            <v>550000</v>
          </cell>
          <cell r="H352">
            <v>0.25</v>
          </cell>
          <cell r="J352">
            <v>2750</v>
          </cell>
        </row>
        <row r="353">
          <cell r="B353" t="str">
            <v>Chay812vmd</v>
          </cell>
          <cell r="C353" t="str">
            <v>Cây chay vượt mật độ</v>
          </cell>
          <cell r="D353" t="str">
            <v>8cm ≤ đk gốc &lt; 12cm</v>
          </cell>
          <cell r="E353">
            <v>50</v>
          </cell>
          <cell r="F353" t="str">
            <v>cây</v>
          </cell>
          <cell r="G353">
            <v>850000</v>
          </cell>
          <cell r="H353">
            <v>0.4</v>
          </cell>
          <cell r="J353">
            <v>6800</v>
          </cell>
        </row>
        <row r="354">
          <cell r="B354" t="str">
            <v>Chay1220vmd</v>
          </cell>
          <cell r="C354" t="str">
            <v>Cây chay vượt mật độ</v>
          </cell>
          <cell r="D354" t="str">
            <v>12cm ≤ đk gốc &lt; 20cm</v>
          </cell>
          <cell r="E354">
            <v>50</v>
          </cell>
          <cell r="F354" t="str">
            <v>cây</v>
          </cell>
          <cell r="G354">
            <v>1200000</v>
          </cell>
          <cell r="H354">
            <v>0.4</v>
          </cell>
          <cell r="J354">
            <v>9600</v>
          </cell>
        </row>
        <row r="355">
          <cell r="B355" t="str">
            <v>Chay2030vmd</v>
          </cell>
          <cell r="C355" t="str">
            <v>Cây chay vượt mật độ</v>
          </cell>
          <cell r="D355" t="str">
            <v>20cm ≤ đk gốc &lt; 30cm</v>
          </cell>
          <cell r="E355">
            <v>50</v>
          </cell>
          <cell r="F355" t="str">
            <v>cây</v>
          </cell>
          <cell r="G355">
            <v>1400000</v>
          </cell>
          <cell r="H355">
            <v>0.4</v>
          </cell>
          <cell r="J355">
            <v>11200</v>
          </cell>
        </row>
        <row r="356">
          <cell r="B356" t="str">
            <v>Chay3060vmd</v>
          </cell>
          <cell r="C356" t="str">
            <v>Cây chay vượt mật độ</v>
          </cell>
          <cell r="D356" t="str">
            <v>30cm ≤ đk gốc ≤ 60cm</v>
          </cell>
          <cell r="E356">
            <v>50</v>
          </cell>
          <cell r="F356" t="str">
            <v>cây</v>
          </cell>
          <cell r="G356">
            <v>1600000</v>
          </cell>
          <cell r="H356">
            <v>0.4</v>
          </cell>
          <cell r="J356">
            <v>12800</v>
          </cell>
        </row>
        <row r="357">
          <cell r="B357" t="str">
            <v>Chay60+vmd</v>
          </cell>
          <cell r="C357" t="str">
            <v>Cây chay vượt mật độ</v>
          </cell>
          <cell r="D357" t="str">
            <v>đk gốc 60cm trở lên</v>
          </cell>
          <cell r="E357">
            <v>50</v>
          </cell>
          <cell r="F357" t="str">
            <v>cây</v>
          </cell>
          <cell r="G357">
            <v>1800000</v>
          </cell>
          <cell r="H357">
            <v>0.4</v>
          </cell>
          <cell r="J357">
            <v>14400</v>
          </cell>
        </row>
        <row r="358">
          <cell r="C358" t="str">
            <v>Cây vú sữa</v>
          </cell>
          <cell r="J358" t="e">
            <v>#DIV/0!</v>
          </cell>
        </row>
        <row r="359">
          <cell r="B359" t="str">
            <v>Vs02</v>
          </cell>
          <cell r="C359" t="str">
            <v>Cây vú sữa</v>
          </cell>
          <cell r="D359" t="str">
            <v>đk gốc &lt; 2cm</v>
          </cell>
          <cell r="E359">
            <v>66.666666666666671</v>
          </cell>
          <cell r="F359" t="str">
            <v>cây</v>
          </cell>
          <cell r="G359">
            <v>70000</v>
          </cell>
          <cell r="H359">
            <v>0.5</v>
          </cell>
          <cell r="J359">
            <v>525</v>
          </cell>
        </row>
        <row r="360">
          <cell r="B360" t="str">
            <v>Vs25</v>
          </cell>
          <cell r="C360" t="str">
            <v>Cây vú sữa</v>
          </cell>
          <cell r="D360" t="str">
            <v>2cm ≤ đk gốc &lt; 5cm</v>
          </cell>
          <cell r="E360">
            <v>66.666666666666671</v>
          </cell>
          <cell r="F360" t="str">
            <v>cây</v>
          </cell>
          <cell r="G360">
            <v>250000</v>
          </cell>
          <cell r="H360">
            <v>0.5</v>
          </cell>
          <cell r="J360">
            <v>1874.9999999999998</v>
          </cell>
        </row>
        <row r="361">
          <cell r="B361" t="str">
            <v>Vs58</v>
          </cell>
          <cell r="C361" t="str">
            <v>Cây vú sữa</v>
          </cell>
          <cell r="D361" t="str">
            <v>5cm ≤ đk gốc &lt; 8cm</v>
          </cell>
          <cell r="E361">
            <v>66.666666666666671</v>
          </cell>
          <cell r="F361" t="str">
            <v>cây</v>
          </cell>
          <cell r="G361">
            <v>550000</v>
          </cell>
          <cell r="H361">
            <v>0.5</v>
          </cell>
          <cell r="J361">
            <v>4125</v>
          </cell>
        </row>
        <row r="362">
          <cell r="B362" t="str">
            <v>Vs812</v>
          </cell>
          <cell r="C362" t="str">
            <v>Cây vú sữa</v>
          </cell>
          <cell r="D362" t="str">
            <v>8cm ≤ đk gốc &lt; 12cm</v>
          </cell>
          <cell r="E362">
            <v>66.666666666666671</v>
          </cell>
          <cell r="F362" t="str">
            <v>cây</v>
          </cell>
          <cell r="G362">
            <v>850000</v>
          </cell>
          <cell r="H362">
            <v>0.8</v>
          </cell>
          <cell r="J362">
            <v>10200</v>
          </cell>
        </row>
        <row r="363">
          <cell r="B363" t="str">
            <v>Vs1220</v>
          </cell>
          <cell r="C363" t="str">
            <v>Cây vú sữa</v>
          </cell>
          <cell r="D363" t="str">
            <v>12cm ≤ đk gốc &lt; 20cm</v>
          </cell>
          <cell r="E363">
            <v>66.666666666666671</v>
          </cell>
          <cell r="F363" t="str">
            <v>cây</v>
          </cell>
          <cell r="G363">
            <v>1200000</v>
          </cell>
          <cell r="H363">
            <v>0.8</v>
          </cell>
          <cell r="J363">
            <v>14399.999999999998</v>
          </cell>
        </row>
        <row r="364">
          <cell r="B364" t="str">
            <v>Vs2030</v>
          </cell>
          <cell r="C364" t="str">
            <v>Cây vú sữa</v>
          </cell>
          <cell r="D364" t="str">
            <v>20cm ≤ đk gốc &lt; 30cm</v>
          </cell>
          <cell r="E364">
            <v>66.666666666666671</v>
          </cell>
          <cell r="F364" t="str">
            <v>cây</v>
          </cell>
          <cell r="G364">
            <v>1400000</v>
          </cell>
          <cell r="H364">
            <v>0.8</v>
          </cell>
          <cell r="J364">
            <v>16800</v>
          </cell>
        </row>
        <row r="365">
          <cell r="B365" t="str">
            <v>Vs3060</v>
          </cell>
          <cell r="C365" t="str">
            <v>Cây vú sữa</v>
          </cell>
          <cell r="D365" t="str">
            <v>30cm ≤ đk gốc ≤ 60cm</v>
          </cell>
          <cell r="E365">
            <v>66.666666666666671</v>
          </cell>
          <cell r="F365" t="str">
            <v>cây</v>
          </cell>
          <cell r="G365">
            <v>1600000</v>
          </cell>
          <cell r="H365">
            <v>0.8</v>
          </cell>
          <cell r="J365">
            <v>19200</v>
          </cell>
        </row>
        <row r="366">
          <cell r="B366" t="str">
            <v>Vs60+</v>
          </cell>
          <cell r="C366" t="str">
            <v>Cây vú sữa</v>
          </cell>
          <cell r="D366" t="str">
            <v>đk gốc 60cm trở lên</v>
          </cell>
          <cell r="E366">
            <v>66.666666666666671</v>
          </cell>
          <cell r="F366" t="str">
            <v>cây</v>
          </cell>
          <cell r="G366">
            <v>1800000</v>
          </cell>
          <cell r="H366">
            <v>0.8</v>
          </cell>
          <cell r="J366">
            <v>21600</v>
          </cell>
        </row>
        <row r="367">
          <cell r="B367" t="str">
            <v>Vs02vmd</v>
          </cell>
          <cell r="C367" t="str">
            <v>Cây vú sữa vượt mật độ</v>
          </cell>
          <cell r="D367" t="str">
            <v>đk gốc &lt; 2cm</v>
          </cell>
          <cell r="E367">
            <v>66.666666666666671</v>
          </cell>
          <cell r="F367" t="str">
            <v>cây</v>
          </cell>
          <cell r="G367">
            <v>70000</v>
          </cell>
          <cell r="H367">
            <v>0.25</v>
          </cell>
          <cell r="J367">
            <v>262.5</v>
          </cell>
        </row>
        <row r="368">
          <cell r="B368" t="str">
            <v>Vs25vmd</v>
          </cell>
          <cell r="C368" t="str">
            <v>Cây vú sữa vượt mật độ</v>
          </cell>
          <cell r="D368" t="str">
            <v>2cm ≤ đk gốc &lt; 5cm</v>
          </cell>
          <cell r="E368">
            <v>66.666666666666671</v>
          </cell>
          <cell r="F368" t="str">
            <v>cây</v>
          </cell>
          <cell r="G368">
            <v>250000</v>
          </cell>
          <cell r="H368">
            <v>0.25</v>
          </cell>
          <cell r="J368">
            <v>937.49999999999989</v>
          </cell>
        </row>
        <row r="369">
          <cell r="B369" t="str">
            <v>Vs58vmd</v>
          </cell>
          <cell r="C369" t="str">
            <v>Cây vú sữa vượt mật độ</v>
          </cell>
          <cell r="D369" t="str">
            <v>5cm ≤ đk gốc &lt; 8cm</v>
          </cell>
          <cell r="E369">
            <v>66.666666666666671</v>
          </cell>
          <cell r="F369" t="str">
            <v>cây</v>
          </cell>
          <cell r="G369">
            <v>550000</v>
          </cell>
          <cell r="H369">
            <v>0.25</v>
          </cell>
          <cell r="J369">
            <v>2062.5</v>
          </cell>
        </row>
        <row r="370">
          <cell r="B370" t="str">
            <v>Vs812vmd</v>
          </cell>
          <cell r="C370" t="str">
            <v>Cây vú sữa vượt mật độ</v>
          </cell>
          <cell r="D370" t="str">
            <v>8cm ≤ đk gốc &lt; 12cm</v>
          </cell>
          <cell r="E370">
            <v>66.666666666666671</v>
          </cell>
          <cell r="F370" t="str">
            <v>cây</v>
          </cell>
          <cell r="G370">
            <v>850000</v>
          </cell>
          <cell r="H370">
            <v>0.4</v>
          </cell>
          <cell r="J370">
            <v>5100</v>
          </cell>
        </row>
        <row r="371">
          <cell r="B371" t="str">
            <v>Vs1220vmd</v>
          </cell>
          <cell r="C371" t="str">
            <v>Cây vú sữa vượt mật độ</v>
          </cell>
          <cell r="D371" t="str">
            <v>12cm ≤ đk gốc &lt; 20cm</v>
          </cell>
          <cell r="E371">
            <v>66.666666666666671</v>
          </cell>
          <cell r="F371" t="str">
            <v>cây</v>
          </cell>
          <cell r="G371">
            <v>1200000</v>
          </cell>
          <cell r="H371">
            <v>0.4</v>
          </cell>
          <cell r="J371">
            <v>7199.9999999999991</v>
          </cell>
        </row>
        <row r="372">
          <cell r="B372" t="str">
            <v>Vs2030vmd</v>
          </cell>
          <cell r="C372" t="str">
            <v>Cây vú sữa vượt mật độ</v>
          </cell>
          <cell r="D372" t="str">
            <v>20cm ≤ đk gốc &lt; 30cm</v>
          </cell>
          <cell r="E372">
            <v>66.666666666666671</v>
          </cell>
          <cell r="F372" t="str">
            <v>cây</v>
          </cell>
          <cell r="G372">
            <v>1400000</v>
          </cell>
          <cell r="H372">
            <v>0.4</v>
          </cell>
          <cell r="J372">
            <v>8400</v>
          </cell>
        </row>
        <row r="373">
          <cell r="B373" t="str">
            <v>Vs3060vmd</v>
          </cell>
          <cell r="C373" t="str">
            <v>Cây vú sữa vượt mật độ</v>
          </cell>
          <cell r="D373" t="str">
            <v>30cm ≤ đk gốc ≤ 60cm</v>
          </cell>
          <cell r="E373">
            <v>66.666666666666671</v>
          </cell>
          <cell r="F373" t="str">
            <v>cây</v>
          </cell>
          <cell r="G373">
            <v>1600000</v>
          </cell>
          <cell r="H373">
            <v>0.4</v>
          </cell>
          <cell r="J373">
            <v>9600</v>
          </cell>
        </row>
        <row r="374">
          <cell r="B374" t="str">
            <v>Vs60+vmd</v>
          </cell>
          <cell r="C374" t="str">
            <v>Cây vú sữa vượt mật độ</v>
          </cell>
          <cell r="D374" t="str">
            <v>đk gốc 60cm trở lên</v>
          </cell>
          <cell r="E374">
            <v>66.666666666666671</v>
          </cell>
          <cell r="F374" t="str">
            <v>cây</v>
          </cell>
          <cell r="G374">
            <v>1800000</v>
          </cell>
          <cell r="H374">
            <v>0.4</v>
          </cell>
          <cell r="J374">
            <v>10800</v>
          </cell>
        </row>
        <row r="375">
          <cell r="C375" t="str">
            <v>Cây khế</v>
          </cell>
          <cell r="J375" t="e">
            <v>#DIV/0!</v>
          </cell>
        </row>
        <row r="376">
          <cell r="B376" t="str">
            <v>Khế02</v>
          </cell>
          <cell r="C376" t="str">
            <v>Cây khế</v>
          </cell>
          <cell r="D376" t="str">
            <v>đk gốc &lt; 2cm</v>
          </cell>
          <cell r="E376">
            <v>30.303030303030305</v>
          </cell>
          <cell r="F376" t="str">
            <v>cây</v>
          </cell>
          <cell r="G376">
            <v>70000</v>
          </cell>
          <cell r="H376">
            <v>0.5</v>
          </cell>
          <cell r="J376">
            <v>1155</v>
          </cell>
        </row>
        <row r="377">
          <cell r="B377" t="str">
            <v>Khế25</v>
          </cell>
          <cell r="C377" t="str">
            <v>Cây khế</v>
          </cell>
          <cell r="D377" t="str">
            <v>2cm ≤ đk gốc &lt; 5cm</v>
          </cell>
          <cell r="E377">
            <v>30.303030303030305</v>
          </cell>
          <cell r="F377" t="str">
            <v>cây</v>
          </cell>
          <cell r="G377">
            <v>250000</v>
          </cell>
          <cell r="H377">
            <v>0.5</v>
          </cell>
          <cell r="J377">
            <v>4125</v>
          </cell>
        </row>
        <row r="378">
          <cell r="B378" t="str">
            <v>Khế58</v>
          </cell>
          <cell r="C378" t="str">
            <v>Cây khế</v>
          </cell>
          <cell r="D378" t="str">
            <v>5cm ≤ đk gốc &lt; 8cm</v>
          </cell>
          <cell r="E378">
            <v>30.303030303030305</v>
          </cell>
          <cell r="F378" t="str">
            <v>cây</v>
          </cell>
          <cell r="G378">
            <v>550000</v>
          </cell>
          <cell r="H378">
            <v>0.5</v>
          </cell>
          <cell r="J378">
            <v>9075</v>
          </cell>
        </row>
        <row r="379">
          <cell r="B379" t="str">
            <v>Khế812</v>
          </cell>
          <cell r="C379" t="str">
            <v>Cây khế</v>
          </cell>
          <cell r="D379" t="str">
            <v>8cm ≤ đk gốc &lt; 12cm</v>
          </cell>
          <cell r="E379">
            <v>30.303030303030305</v>
          </cell>
          <cell r="F379" t="str">
            <v>cây</v>
          </cell>
          <cell r="G379">
            <v>850000</v>
          </cell>
          <cell r="H379">
            <v>0.8</v>
          </cell>
          <cell r="J379">
            <v>22440</v>
          </cell>
        </row>
        <row r="380">
          <cell r="B380" t="str">
            <v>Khế1220</v>
          </cell>
          <cell r="C380" t="str">
            <v>Cây khế</v>
          </cell>
          <cell r="D380" t="str">
            <v>12cm ≤ đk gốc &lt; 20cm</v>
          </cell>
          <cell r="E380">
            <v>30.303030303030305</v>
          </cell>
          <cell r="F380" t="str">
            <v>cây</v>
          </cell>
          <cell r="G380">
            <v>1200000</v>
          </cell>
          <cell r="H380">
            <v>0.8</v>
          </cell>
          <cell r="J380">
            <v>31680</v>
          </cell>
        </row>
        <row r="381">
          <cell r="B381" t="str">
            <v>Khế2030</v>
          </cell>
          <cell r="C381" t="str">
            <v>Cây khế</v>
          </cell>
          <cell r="D381" t="str">
            <v>20cm ≤ đk gốc &lt; 30cm</v>
          </cell>
          <cell r="E381">
            <v>30.303030303030305</v>
          </cell>
          <cell r="F381" t="str">
            <v>cây</v>
          </cell>
          <cell r="G381">
            <v>1400000</v>
          </cell>
          <cell r="H381">
            <v>0.8</v>
          </cell>
          <cell r="J381">
            <v>36960</v>
          </cell>
        </row>
        <row r="382">
          <cell r="B382" t="str">
            <v>Khế3060</v>
          </cell>
          <cell r="C382" t="str">
            <v>Cây khế</v>
          </cell>
          <cell r="D382" t="str">
            <v>30cm ≤ đk gốc ≤ 60cm</v>
          </cell>
          <cell r="E382">
            <v>30.303030303030305</v>
          </cell>
          <cell r="F382" t="str">
            <v>cây</v>
          </cell>
          <cell r="G382">
            <v>1600000</v>
          </cell>
          <cell r="H382">
            <v>0.8</v>
          </cell>
          <cell r="J382">
            <v>42240</v>
          </cell>
        </row>
        <row r="383">
          <cell r="B383" t="str">
            <v>Khế60+</v>
          </cell>
          <cell r="C383" t="str">
            <v>Cây khế</v>
          </cell>
          <cell r="D383" t="str">
            <v>đk gốc 60cm trở lên</v>
          </cell>
          <cell r="E383">
            <v>30.303030303030305</v>
          </cell>
          <cell r="F383" t="str">
            <v>cây</v>
          </cell>
          <cell r="G383">
            <v>1800000</v>
          </cell>
          <cell r="H383">
            <v>0.8</v>
          </cell>
          <cell r="J383">
            <v>47520</v>
          </cell>
        </row>
        <row r="384">
          <cell r="B384" t="str">
            <v>Khế02vmd</v>
          </cell>
          <cell r="C384" t="str">
            <v>Cây khế vượt mật độ</v>
          </cell>
          <cell r="D384" t="str">
            <v>đk gốc &lt; 2cm</v>
          </cell>
          <cell r="E384">
            <v>30.303030303030305</v>
          </cell>
          <cell r="F384" t="str">
            <v>cây</v>
          </cell>
          <cell r="G384">
            <v>70000</v>
          </cell>
          <cell r="H384">
            <v>0.25</v>
          </cell>
          <cell r="J384">
            <v>577.5</v>
          </cell>
        </row>
        <row r="385">
          <cell r="B385" t="str">
            <v>Khế25vmd</v>
          </cell>
          <cell r="C385" t="str">
            <v>Cây khế vượt mật độ</v>
          </cell>
          <cell r="D385" t="str">
            <v>2cm ≤ đk gốc &lt; 5cm</v>
          </cell>
          <cell r="E385">
            <v>30.303030303030305</v>
          </cell>
          <cell r="F385" t="str">
            <v>cây</v>
          </cell>
          <cell r="G385">
            <v>250000</v>
          </cell>
          <cell r="H385">
            <v>0.25</v>
          </cell>
          <cell r="J385">
            <v>2062.5</v>
          </cell>
        </row>
        <row r="386">
          <cell r="B386" t="str">
            <v>Khế58vmd</v>
          </cell>
          <cell r="C386" t="str">
            <v>Cây khế vượt mật độ</v>
          </cell>
          <cell r="D386" t="str">
            <v>5cm ≤ đk gốc &lt; 8cm</v>
          </cell>
          <cell r="E386">
            <v>30.303030303030305</v>
          </cell>
          <cell r="F386" t="str">
            <v>cây</v>
          </cell>
          <cell r="G386">
            <v>550000</v>
          </cell>
          <cell r="H386">
            <v>0.25</v>
          </cell>
          <cell r="J386">
            <v>4537.5</v>
          </cell>
        </row>
        <row r="387">
          <cell r="B387" t="str">
            <v>Khế812vmd</v>
          </cell>
          <cell r="C387" t="str">
            <v>Cây khế vượt mật độ</v>
          </cell>
          <cell r="D387" t="str">
            <v>8cm ≤ đk gốc &lt; 12cm</v>
          </cell>
          <cell r="E387">
            <v>30.303030303030305</v>
          </cell>
          <cell r="F387" t="str">
            <v>cây</v>
          </cell>
          <cell r="G387">
            <v>850000</v>
          </cell>
          <cell r="H387">
            <v>0.4</v>
          </cell>
          <cell r="J387">
            <v>11220</v>
          </cell>
        </row>
        <row r="388">
          <cell r="B388" t="str">
            <v>Khế1220vmd</v>
          </cell>
          <cell r="C388" t="str">
            <v>Cây khế vượt mật độ</v>
          </cell>
          <cell r="D388" t="str">
            <v>12cm ≤ đk gốc &lt; 20cm</v>
          </cell>
          <cell r="E388">
            <v>30.303030303030305</v>
          </cell>
          <cell r="F388" t="str">
            <v>cây</v>
          </cell>
          <cell r="G388">
            <v>1200000</v>
          </cell>
          <cell r="H388">
            <v>0.4</v>
          </cell>
          <cell r="J388">
            <v>15840</v>
          </cell>
        </row>
        <row r="389">
          <cell r="B389" t="str">
            <v>Khế2030vmd</v>
          </cell>
          <cell r="C389" t="str">
            <v>Cây khế vượt mật độ</v>
          </cell>
          <cell r="D389" t="str">
            <v>20cm ≤ đk gốc &lt; 30cm</v>
          </cell>
          <cell r="E389">
            <v>30.303030303030305</v>
          </cell>
          <cell r="F389" t="str">
            <v>cây</v>
          </cell>
          <cell r="G389">
            <v>1400000</v>
          </cell>
          <cell r="H389">
            <v>0.4</v>
          </cell>
          <cell r="J389">
            <v>18480</v>
          </cell>
        </row>
        <row r="390">
          <cell r="B390" t="str">
            <v>Khế3060vmd</v>
          </cell>
          <cell r="C390" t="str">
            <v>Cây khế vượt mật độ</v>
          </cell>
          <cell r="D390" t="str">
            <v>30cm ≤ đk gốc ≤ 60cm</v>
          </cell>
          <cell r="E390">
            <v>30.303030303030305</v>
          </cell>
          <cell r="F390" t="str">
            <v>cây</v>
          </cell>
          <cell r="G390">
            <v>1600000</v>
          </cell>
          <cell r="H390">
            <v>0.4</v>
          </cell>
          <cell r="J390">
            <v>21120</v>
          </cell>
        </row>
        <row r="391">
          <cell r="B391" t="str">
            <v>Khế60+vmd</v>
          </cell>
          <cell r="C391" t="str">
            <v>Cây khế vượt mật độ</v>
          </cell>
          <cell r="D391" t="str">
            <v>đk gốc 60cm trở lên</v>
          </cell>
          <cell r="E391">
            <v>30.303030303030305</v>
          </cell>
          <cell r="F391" t="str">
            <v>cây</v>
          </cell>
          <cell r="G391">
            <v>1800000</v>
          </cell>
          <cell r="H391">
            <v>0.4</v>
          </cell>
          <cell r="J391">
            <v>23760</v>
          </cell>
        </row>
        <row r="392">
          <cell r="C392" t="str">
            <v>Đu đủ</v>
          </cell>
          <cell r="J392" t="e">
            <v>#DIV/0!</v>
          </cell>
        </row>
        <row r="393">
          <cell r="B393" t="str">
            <v>Đủ02</v>
          </cell>
          <cell r="C393" t="str">
            <v>Cây đu đủ</v>
          </cell>
          <cell r="D393" t="str">
            <v>đk gốc &lt; 2cm</v>
          </cell>
          <cell r="E393">
            <v>4.5454545454545459</v>
          </cell>
          <cell r="F393" t="str">
            <v>cây</v>
          </cell>
          <cell r="G393">
            <v>35000</v>
          </cell>
          <cell r="H393">
            <v>0.5</v>
          </cell>
          <cell r="J393">
            <v>3849.9999999999995</v>
          </cell>
        </row>
        <row r="394">
          <cell r="B394" t="str">
            <v>Đủ24</v>
          </cell>
          <cell r="C394" t="str">
            <v>Cây đu đủ</v>
          </cell>
          <cell r="D394" t="str">
            <v>2cm ≤ đk gốc ≤ 4cm</v>
          </cell>
          <cell r="E394">
            <v>4.5454545454545459</v>
          </cell>
          <cell r="F394" t="str">
            <v>cây</v>
          </cell>
          <cell r="G394">
            <v>50000</v>
          </cell>
          <cell r="H394">
            <v>0.5</v>
          </cell>
          <cell r="J394">
            <v>5499.9999999999991</v>
          </cell>
        </row>
        <row r="395">
          <cell r="B395" t="str">
            <v>Đủ48</v>
          </cell>
          <cell r="C395" t="str">
            <v>Cây đu đủ</v>
          </cell>
          <cell r="D395" t="str">
            <v>4cm &lt; đk gốc ≤ 8cm</v>
          </cell>
          <cell r="E395">
            <v>4.5454545454545459</v>
          </cell>
          <cell r="F395" t="str">
            <v>cây</v>
          </cell>
          <cell r="G395">
            <v>100000</v>
          </cell>
          <cell r="H395">
            <v>0.5</v>
          </cell>
          <cell r="J395">
            <v>10999.999999999998</v>
          </cell>
        </row>
        <row r="396">
          <cell r="B396" t="str">
            <v>Đủ815</v>
          </cell>
          <cell r="C396" t="str">
            <v>Cây đu đủ</v>
          </cell>
          <cell r="D396" t="str">
            <v>8cm &lt; đk gốc ≤ 15cm</v>
          </cell>
          <cell r="E396">
            <v>4.5454545454545459</v>
          </cell>
          <cell r="F396" t="str">
            <v>cây</v>
          </cell>
          <cell r="G396">
            <v>160000</v>
          </cell>
          <cell r="H396">
            <v>0.8</v>
          </cell>
          <cell r="J396">
            <v>28159.999999999996</v>
          </cell>
        </row>
        <row r="397">
          <cell r="B397" t="str">
            <v>Đủ1525</v>
          </cell>
          <cell r="C397" t="str">
            <v>Cây đu đủ</v>
          </cell>
          <cell r="D397" t="str">
            <v>15cm &lt; đk gốc ≤ 25cm</v>
          </cell>
          <cell r="E397">
            <v>4.5454545454545459</v>
          </cell>
          <cell r="F397" t="str">
            <v>cây</v>
          </cell>
          <cell r="G397">
            <v>250000</v>
          </cell>
          <cell r="H397">
            <v>0.8</v>
          </cell>
          <cell r="J397">
            <v>43999.999999999993</v>
          </cell>
        </row>
        <row r="398">
          <cell r="B398" t="str">
            <v>Đủ25+</v>
          </cell>
          <cell r="C398" t="str">
            <v>Cây đu đủ</v>
          </cell>
          <cell r="D398" t="str">
            <v>đk gốc 25cm trở lên</v>
          </cell>
          <cell r="E398">
            <v>4.5454545454545459</v>
          </cell>
          <cell r="F398" t="str">
            <v>cây</v>
          </cell>
          <cell r="G398">
            <v>300000</v>
          </cell>
          <cell r="H398">
            <v>0.8</v>
          </cell>
          <cell r="J398">
            <v>52799.999999999993</v>
          </cell>
        </row>
        <row r="399">
          <cell r="B399" t="str">
            <v>Đủ02vmd</v>
          </cell>
          <cell r="C399" t="str">
            <v>Cây đu đủ vượt mật độ</v>
          </cell>
          <cell r="D399" t="str">
            <v>đk gốc &lt; 2cm</v>
          </cell>
          <cell r="E399">
            <v>4.5454545454545459</v>
          </cell>
          <cell r="F399" t="str">
            <v>cây</v>
          </cell>
          <cell r="G399">
            <v>35000</v>
          </cell>
          <cell r="H399">
            <v>0.25</v>
          </cell>
          <cell r="J399">
            <v>1924.9999999999998</v>
          </cell>
        </row>
        <row r="400">
          <cell r="B400" t="str">
            <v>Đủ24vmd</v>
          </cell>
          <cell r="C400" t="str">
            <v>Cây đu đủ vượt mật độ</v>
          </cell>
          <cell r="D400" t="str">
            <v>2cm ≤ đk gốc ≤ 4cm</v>
          </cell>
          <cell r="E400">
            <v>4.5454545454545459</v>
          </cell>
          <cell r="F400" t="str">
            <v>cây</v>
          </cell>
          <cell r="G400">
            <v>50000</v>
          </cell>
          <cell r="H400">
            <v>0.25</v>
          </cell>
          <cell r="J400">
            <v>2749.9999999999995</v>
          </cell>
        </row>
        <row r="401">
          <cell r="B401" t="str">
            <v>Đủ48vmd</v>
          </cell>
          <cell r="C401" t="str">
            <v>Cây đu đủ vượt mật độ</v>
          </cell>
          <cell r="D401" t="str">
            <v>4cm &lt; đk gốc ≤ 8cm</v>
          </cell>
          <cell r="E401">
            <v>4.5454545454545459</v>
          </cell>
          <cell r="F401" t="str">
            <v>cây</v>
          </cell>
          <cell r="G401">
            <v>100000</v>
          </cell>
          <cell r="H401">
            <v>0.25</v>
          </cell>
          <cell r="J401">
            <v>5499.9999999999991</v>
          </cell>
        </row>
        <row r="402">
          <cell r="B402" t="str">
            <v>Đủ815vmd</v>
          </cell>
          <cell r="C402" t="str">
            <v>Cây đu đủ vượt mật độ</v>
          </cell>
          <cell r="D402" t="str">
            <v>8cm &lt; đk gốc ≤ 15cm</v>
          </cell>
          <cell r="E402">
            <v>4.5454545454545459</v>
          </cell>
          <cell r="F402" t="str">
            <v>cây</v>
          </cell>
          <cell r="G402">
            <v>160000</v>
          </cell>
          <cell r="H402">
            <v>0.4</v>
          </cell>
          <cell r="J402">
            <v>14079.999999999998</v>
          </cell>
        </row>
        <row r="403">
          <cell r="B403" t="str">
            <v>Đủ1525vmd</v>
          </cell>
          <cell r="C403" t="str">
            <v>Cây đu đủ vượt mật độ</v>
          </cell>
          <cell r="D403" t="str">
            <v>15cm &lt; đk gốc ≤ 25cm</v>
          </cell>
          <cell r="E403">
            <v>4.5454545454545459</v>
          </cell>
          <cell r="F403" t="str">
            <v>cây</v>
          </cell>
          <cell r="G403">
            <v>250000</v>
          </cell>
          <cell r="H403">
            <v>0.4</v>
          </cell>
          <cell r="J403">
            <v>21999.999999999996</v>
          </cell>
        </row>
        <row r="404">
          <cell r="B404" t="str">
            <v>Đủ25+vmd</v>
          </cell>
          <cell r="C404" t="str">
            <v>Cây đu đủ vượt mật độ</v>
          </cell>
          <cell r="D404" t="str">
            <v>đk gốc 25cm trở lên</v>
          </cell>
          <cell r="E404">
            <v>4.5454545454545459</v>
          </cell>
          <cell r="F404" t="str">
            <v>cây</v>
          </cell>
          <cell r="G404">
            <v>300000</v>
          </cell>
          <cell r="H404">
            <v>0.4</v>
          </cell>
          <cell r="J404">
            <v>26399.999999999996</v>
          </cell>
        </row>
        <row r="405">
          <cell r="B405" t="str">
            <v>cau#02vmd</v>
          </cell>
          <cell r="C405" t="str">
            <v>Cây cau khác vượt mật độ</v>
          </cell>
          <cell r="D405" t="str">
            <v>đk gốc ≤ 2cm; H &gt; 50cm</v>
          </cell>
          <cell r="E405">
            <v>6.666666666666667</v>
          </cell>
          <cell r="F405" t="str">
            <v>cây</v>
          </cell>
          <cell r="G405">
            <v>25000</v>
          </cell>
          <cell r="H405">
            <v>0.25</v>
          </cell>
          <cell r="J405">
            <v>937.5</v>
          </cell>
        </row>
        <row r="406">
          <cell r="B406" t="str">
            <v>cau#24vmd</v>
          </cell>
          <cell r="C406" t="str">
            <v>Cây cau khác vượt mật độ</v>
          </cell>
          <cell r="D406" t="str">
            <v>2cm &lt; đk gốc ≤ 4cm</v>
          </cell>
          <cell r="E406">
            <v>6.666666666666667</v>
          </cell>
          <cell r="F406" t="str">
            <v>cây</v>
          </cell>
          <cell r="G406">
            <v>54000</v>
          </cell>
          <cell r="H406">
            <v>0.25</v>
          </cell>
          <cell r="J406">
            <v>2025</v>
          </cell>
        </row>
        <row r="407">
          <cell r="B407" t="str">
            <v>cau#48vmd</v>
          </cell>
          <cell r="C407" t="str">
            <v>Cây cau khác vượt mật độ</v>
          </cell>
          <cell r="D407" t="str">
            <v>4cm &lt; đk gốc ≤ 8cm</v>
          </cell>
          <cell r="E407">
            <v>6.666666666666667</v>
          </cell>
          <cell r="F407" t="str">
            <v>cây</v>
          </cell>
          <cell r="G407">
            <v>112000</v>
          </cell>
          <cell r="H407">
            <v>0.25</v>
          </cell>
          <cell r="J407">
            <v>4200</v>
          </cell>
        </row>
        <row r="408">
          <cell r="B408" t="str">
            <v>cau#815vmd</v>
          </cell>
          <cell r="C408" t="str">
            <v>Cây cau khác vượt mật độ</v>
          </cell>
          <cell r="D408" t="str">
            <v>8cm &lt; đk gốc ≤ 15cm</v>
          </cell>
          <cell r="E408">
            <v>6.666666666666667</v>
          </cell>
          <cell r="F408" t="str">
            <v>cây</v>
          </cell>
          <cell r="G408">
            <v>228000</v>
          </cell>
          <cell r="H408">
            <v>0.4</v>
          </cell>
          <cell r="J408">
            <v>13680</v>
          </cell>
        </row>
        <row r="409">
          <cell r="B409" t="str">
            <v>cau#1525vmd</v>
          </cell>
          <cell r="C409" t="str">
            <v>Cây cau khác vượt mật độ</v>
          </cell>
          <cell r="D409" t="str">
            <v>15cm &lt; đk gốc ≤ 25cm</v>
          </cell>
          <cell r="E409">
            <v>6.666666666666667</v>
          </cell>
          <cell r="F409" t="str">
            <v>cây</v>
          </cell>
          <cell r="G409">
            <v>378000</v>
          </cell>
          <cell r="H409">
            <v>0.4</v>
          </cell>
          <cell r="J409">
            <v>22680</v>
          </cell>
        </row>
        <row r="410">
          <cell r="B410" t="str">
            <v>cau#2540vmd</v>
          </cell>
          <cell r="C410" t="str">
            <v>Cây cau khác vượt mật độ</v>
          </cell>
          <cell r="D410" t="str">
            <v>25cm &lt; đk gốc ≤ 40cm</v>
          </cell>
          <cell r="E410">
            <v>6.666666666666667</v>
          </cell>
          <cell r="F410" t="str">
            <v>cây</v>
          </cell>
          <cell r="G410">
            <v>520000</v>
          </cell>
          <cell r="H410">
            <v>0.4</v>
          </cell>
          <cell r="J410">
            <v>31200</v>
          </cell>
        </row>
        <row r="411">
          <cell r="B411" t="str">
            <v>cau#4060vmd</v>
          </cell>
          <cell r="C411" t="str">
            <v>Cây cau khác vượt mật độ</v>
          </cell>
          <cell r="D411" t="str">
            <v>40cm &lt; đk gốc ≤ 60cm</v>
          </cell>
          <cell r="E411">
            <v>6.666666666666667</v>
          </cell>
          <cell r="F411" t="str">
            <v>cây</v>
          </cell>
          <cell r="G411">
            <v>710000</v>
          </cell>
          <cell r="H411">
            <v>0.4</v>
          </cell>
          <cell r="J411">
            <v>42600</v>
          </cell>
        </row>
        <row r="412">
          <cell r="B412" t="str">
            <v>cau#60+vmd</v>
          </cell>
          <cell r="C412" t="str">
            <v>Cây cau khác vượt mật độ</v>
          </cell>
          <cell r="D412" t="str">
            <v>đk gốc từ trên 60cm</v>
          </cell>
          <cell r="E412">
            <v>6.666666666666667</v>
          </cell>
          <cell r="F412" t="str">
            <v>cây</v>
          </cell>
          <cell r="G412">
            <v>1236000</v>
          </cell>
          <cell r="H412">
            <v>0.4</v>
          </cell>
          <cell r="J412">
            <v>74160</v>
          </cell>
        </row>
        <row r="413">
          <cell r="C413" t="str">
            <v>Cây cau khác</v>
          </cell>
          <cell r="J413" t="e">
            <v>#DIV/0!</v>
          </cell>
        </row>
        <row r="414">
          <cell r="B414" t="str">
            <v>cau#02</v>
          </cell>
          <cell r="C414" t="str">
            <v>Cây cau khác</v>
          </cell>
          <cell r="D414" t="str">
            <v>đk gốc ≤ 2cm; H &gt; 50cm</v>
          </cell>
          <cell r="E414">
            <v>6.666666666666667</v>
          </cell>
          <cell r="F414" t="str">
            <v>cây</v>
          </cell>
          <cell r="G414">
            <v>25000</v>
          </cell>
          <cell r="H414">
            <v>0.5</v>
          </cell>
          <cell r="J414">
            <v>1875</v>
          </cell>
        </row>
        <row r="415">
          <cell r="B415" t="str">
            <v>cau#24</v>
          </cell>
          <cell r="C415" t="str">
            <v>Cây cau khác</v>
          </cell>
          <cell r="D415" t="str">
            <v>2cm &lt; đk gốc ≤ 4cm</v>
          </cell>
          <cell r="E415">
            <v>6.666666666666667</v>
          </cell>
          <cell r="F415" t="str">
            <v>cây</v>
          </cell>
          <cell r="G415">
            <v>54000</v>
          </cell>
          <cell r="H415">
            <v>0.5</v>
          </cell>
          <cell r="J415">
            <v>4050</v>
          </cell>
        </row>
        <row r="416">
          <cell r="B416" t="str">
            <v>cau#48</v>
          </cell>
          <cell r="C416" t="str">
            <v>Cây cau khác</v>
          </cell>
          <cell r="D416" t="str">
            <v>4cm &lt; đk gốc ≤ 8cm</v>
          </cell>
          <cell r="E416">
            <v>6.666666666666667</v>
          </cell>
          <cell r="F416" t="str">
            <v>cây</v>
          </cell>
          <cell r="G416">
            <v>112000</v>
          </cell>
          <cell r="H416">
            <v>0.5</v>
          </cell>
          <cell r="J416">
            <v>8400</v>
          </cell>
        </row>
        <row r="417">
          <cell r="B417" t="str">
            <v>cau#815</v>
          </cell>
          <cell r="C417" t="str">
            <v>Cây cau khác</v>
          </cell>
          <cell r="D417" t="str">
            <v>8cm &lt; đk gốc ≤ 15cm</v>
          </cell>
          <cell r="E417">
            <v>6.666666666666667</v>
          </cell>
          <cell r="F417" t="str">
            <v>cây</v>
          </cell>
          <cell r="G417">
            <v>228000</v>
          </cell>
          <cell r="H417">
            <v>0.8</v>
          </cell>
          <cell r="J417">
            <v>27360</v>
          </cell>
        </row>
        <row r="418">
          <cell r="B418" t="str">
            <v>cau#1525</v>
          </cell>
          <cell r="C418" t="str">
            <v>Cây cau khác</v>
          </cell>
          <cell r="D418" t="str">
            <v>15cm &lt; đk gốc ≤ 25cm</v>
          </cell>
          <cell r="E418">
            <v>6.666666666666667</v>
          </cell>
          <cell r="F418" t="str">
            <v>cây</v>
          </cell>
          <cell r="G418">
            <v>378000</v>
          </cell>
          <cell r="H418">
            <v>0.8</v>
          </cell>
          <cell r="J418">
            <v>45360</v>
          </cell>
        </row>
        <row r="419">
          <cell r="B419" t="str">
            <v>cau#2540</v>
          </cell>
          <cell r="C419" t="str">
            <v>Cây cau khác</v>
          </cell>
          <cell r="D419" t="str">
            <v>25cm &lt; đk gốc ≤ 40cm</v>
          </cell>
          <cell r="E419">
            <v>6.666666666666667</v>
          </cell>
          <cell r="F419" t="str">
            <v>cây</v>
          </cell>
          <cell r="G419">
            <v>520000</v>
          </cell>
          <cell r="H419">
            <v>0.8</v>
          </cell>
          <cell r="J419">
            <v>62400</v>
          </cell>
        </row>
        <row r="420">
          <cell r="B420" t="str">
            <v>cau#4060</v>
          </cell>
          <cell r="C420" t="str">
            <v>Cây cau khác</v>
          </cell>
          <cell r="D420" t="str">
            <v>40cm &lt; đk gốc ≤ 60cm</v>
          </cell>
          <cell r="E420">
            <v>6.666666666666667</v>
          </cell>
          <cell r="F420" t="str">
            <v>cây</v>
          </cell>
          <cell r="G420">
            <v>710000</v>
          </cell>
          <cell r="H420">
            <v>0.8</v>
          </cell>
          <cell r="J420">
            <v>85200</v>
          </cell>
        </row>
        <row r="421">
          <cell r="B421" t="str">
            <v>cau#60+</v>
          </cell>
          <cell r="C421" t="str">
            <v>Cây cau khác</v>
          </cell>
          <cell r="D421" t="str">
            <v>đk gốc từ trên 60cm</v>
          </cell>
          <cell r="E421">
            <v>6.666666666666667</v>
          </cell>
          <cell r="F421" t="str">
            <v>cây</v>
          </cell>
          <cell r="G421">
            <v>1236000</v>
          </cell>
          <cell r="H421">
            <v>0.8</v>
          </cell>
          <cell r="J421">
            <v>148320</v>
          </cell>
        </row>
        <row r="422">
          <cell r="B422" t="str">
            <v>Cauaq02vmd</v>
          </cell>
          <cell r="C422" t="str">
            <v>Cau ăn quả vượt mật độ</v>
          </cell>
          <cell r="D422" t="str">
            <v>đk gốc &lt; 2cm</v>
          </cell>
          <cell r="E422">
            <v>10</v>
          </cell>
          <cell r="F422" t="str">
            <v>cây</v>
          </cell>
          <cell r="G422">
            <v>60000</v>
          </cell>
          <cell r="H422">
            <v>0.25</v>
          </cell>
          <cell r="J422">
            <v>1500</v>
          </cell>
        </row>
        <row r="423">
          <cell r="B423" t="str">
            <v>Cauaq26vmd</v>
          </cell>
          <cell r="C423" t="str">
            <v>Cau ăn quả vượt mật độ</v>
          </cell>
          <cell r="D423" t="str">
            <v>2cm ≤ đk gốc &lt; 6cm</v>
          </cell>
          <cell r="E423">
            <v>10</v>
          </cell>
          <cell r="F423" t="str">
            <v>cây</v>
          </cell>
          <cell r="G423">
            <v>75000</v>
          </cell>
          <cell r="H423">
            <v>0.25</v>
          </cell>
          <cell r="J423">
            <v>1875</v>
          </cell>
        </row>
        <row r="424">
          <cell r="B424" t="str">
            <v>Cauaq69vmd</v>
          </cell>
          <cell r="C424" t="str">
            <v>Cau ăn quả vượt mật độ</v>
          </cell>
          <cell r="D424" t="str">
            <v>6cm ≤ đk gốc &lt; 9cm</v>
          </cell>
          <cell r="E424">
            <v>10</v>
          </cell>
          <cell r="F424" t="str">
            <v>cây</v>
          </cell>
          <cell r="G424">
            <v>95000</v>
          </cell>
          <cell r="H424">
            <v>0.25</v>
          </cell>
          <cell r="J424">
            <v>2375</v>
          </cell>
        </row>
        <row r="425">
          <cell r="B425" t="str">
            <v>Cauaq912vmd</v>
          </cell>
          <cell r="C425" t="str">
            <v>Cau ăn quả vượt mật độ</v>
          </cell>
          <cell r="D425" t="str">
            <v>9cm ≤ đk gốc &lt; 12cm</v>
          </cell>
          <cell r="E425">
            <v>10</v>
          </cell>
          <cell r="F425" t="str">
            <v>cây</v>
          </cell>
          <cell r="G425">
            <v>140000</v>
          </cell>
          <cell r="H425">
            <v>0.4</v>
          </cell>
          <cell r="J425">
            <v>5600</v>
          </cell>
        </row>
        <row r="426">
          <cell r="C426" t="str">
            <v>Gấc</v>
          </cell>
          <cell r="J426" t="e">
            <v>#DIV/0!</v>
          </cell>
        </row>
        <row r="427">
          <cell r="B427" t="str">
            <v>gấc01</v>
          </cell>
          <cell r="C427" t="str">
            <v>Cây gấc</v>
          </cell>
          <cell r="D427" t="str">
            <v>đk gốc &gt;1cm; H &gt; 50cm</v>
          </cell>
          <cell r="E427">
            <v>20</v>
          </cell>
          <cell r="F427" t="str">
            <v>cây</v>
          </cell>
          <cell r="G427">
            <v>30000</v>
          </cell>
          <cell r="H427">
            <v>0.5</v>
          </cell>
          <cell r="J427">
            <v>750</v>
          </cell>
        </row>
        <row r="428">
          <cell r="B428" t="str">
            <v>gấc.chq</v>
          </cell>
          <cell r="C428" t="str">
            <v>Cây gấc</v>
          </cell>
          <cell r="D428" t="str">
            <v>đã leo giàn, chưa có quả</v>
          </cell>
          <cell r="E428">
            <v>20</v>
          </cell>
          <cell r="F428" t="str">
            <v>cây</v>
          </cell>
          <cell r="G428">
            <v>100000</v>
          </cell>
          <cell r="H428">
            <v>0.5</v>
          </cell>
          <cell r="J428">
            <v>2500</v>
          </cell>
        </row>
        <row r="429">
          <cell r="B429" t="str">
            <v>gấc.cq</v>
          </cell>
          <cell r="C429" t="str">
            <v>Cây gấc</v>
          </cell>
          <cell r="D429" t="str">
            <v>đã có quả</v>
          </cell>
          <cell r="E429">
            <v>20</v>
          </cell>
          <cell r="F429" t="str">
            <v>cây</v>
          </cell>
          <cell r="G429">
            <v>250000</v>
          </cell>
          <cell r="H429">
            <v>0.8</v>
          </cell>
          <cell r="J429">
            <v>10000</v>
          </cell>
        </row>
        <row r="430">
          <cell r="B430" t="str">
            <v>gấc01vmd</v>
          </cell>
          <cell r="C430" t="str">
            <v>Cây gấc vượt mật độ</v>
          </cell>
          <cell r="D430" t="str">
            <v>đk gốc &gt;1cm; H &gt; 50cm</v>
          </cell>
          <cell r="E430">
            <v>20</v>
          </cell>
          <cell r="F430" t="str">
            <v>cây</v>
          </cell>
          <cell r="G430">
            <v>30000</v>
          </cell>
          <cell r="H430">
            <v>0.25</v>
          </cell>
          <cell r="J430">
            <v>375</v>
          </cell>
        </row>
        <row r="431">
          <cell r="B431" t="str">
            <v>gấc.chqvmd</v>
          </cell>
          <cell r="C431" t="str">
            <v>Cây gấc vượt mật độ</v>
          </cell>
          <cell r="D431" t="str">
            <v>đã leo giàn, chưa có quả</v>
          </cell>
          <cell r="E431">
            <v>20</v>
          </cell>
          <cell r="F431" t="str">
            <v>cây</v>
          </cell>
          <cell r="G431">
            <v>100000</v>
          </cell>
          <cell r="H431">
            <v>0.25</v>
          </cell>
          <cell r="J431">
            <v>1250</v>
          </cell>
        </row>
        <row r="432">
          <cell r="B432" t="str">
            <v>gấc.cqvmd</v>
          </cell>
          <cell r="C432" t="str">
            <v>Cây gấc vượt mật độ</v>
          </cell>
          <cell r="D432" t="str">
            <v>đã có quả</v>
          </cell>
          <cell r="E432">
            <v>20</v>
          </cell>
          <cell r="F432" t="str">
            <v>cây</v>
          </cell>
          <cell r="G432">
            <v>250000</v>
          </cell>
          <cell r="H432">
            <v>0.4</v>
          </cell>
          <cell r="J432">
            <v>5000</v>
          </cell>
        </row>
        <row r="433">
          <cell r="C433" t="str">
            <v>Đinh Lăng</v>
          </cell>
          <cell r="J433" t="e">
            <v>#DIV/0!</v>
          </cell>
        </row>
        <row r="434">
          <cell r="B434" t="str">
            <v>Dinhlang01</v>
          </cell>
          <cell r="C434" t="str">
            <v>Đinh lăng</v>
          </cell>
          <cell r="D434" t="str">
            <v>đk gốc &gt; 1cm; H &gt; 50cm</v>
          </cell>
          <cell r="E434">
            <v>0.4</v>
          </cell>
          <cell r="F434" t="str">
            <v>cây</v>
          </cell>
          <cell r="G434">
            <v>50000</v>
          </cell>
          <cell r="H434">
            <v>0.5</v>
          </cell>
          <cell r="J434">
            <v>62500</v>
          </cell>
        </row>
        <row r="435">
          <cell r="B435" t="str">
            <v>Dinhlang24</v>
          </cell>
          <cell r="C435" t="str">
            <v>Đinh lăng</v>
          </cell>
          <cell r="D435" t="str">
            <v>2cm &lt; đk gốc ≤ 4cm</v>
          </cell>
          <cell r="E435">
            <v>0.4</v>
          </cell>
          <cell r="F435" t="str">
            <v>cây</v>
          </cell>
          <cell r="G435">
            <v>100000</v>
          </cell>
          <cell r="H435">
            <v>0.5</v>
          </cell>
          <cell r="J435">
            <v>125000</v>
          </cell>
        </row>
        <row r="436">
          <cell r="B436" t="str">
            <v>Dinhlang48</v>
          </cell>
          <cell r="C436" t="str">
            <v>Đinh lăng</v>
          </cell>
          <cell r="D436" t="str">
            <v>4cm &lt; đk gốc ≤ 8cm</v>
          </cell>
          <cell r="E436">
            <v>0.4</v>
          </cell>
          <cell r="F436" t="str">
            <v>cây</v>
          </cell>
          <cell r="G436">
            <v>200000</v>
          </cell>
          <cell r="H436">
            <v>0.8</v>
          </cell>
          <cell r="J436">
            <v>400000</v>
          </cell>
        </row>
        <row r="437">
          <cell r="B437" t="str">
            <v>Dinhlang815</v>
          </cell>
          <cell r="C437" t="str">
            <v>Đinh lăng</v>
          </cell>
          <cell r="D437" t="str">
            <v>8cm &lt; đk gốc ≤ 15cm</v>
          </cell>
          <cell r="E437">
            <v>0.4</v>
          </cell>
          <cell r="F437" t="str">
            <v>cây</v>
          </cell>
          <cell r="G437">
            <v>300000</v>
          </cell>
          <cell r="H437">
            <v>0.8</v>
          </cell>
          <cell r="J437">
            <v>600000</v>
          </cell>
        </row>
        <row r="438">
          <cell r="B438" t="str">
            <v>Dinhlang1525</v>
          </cell>
          <cell r="C438" t="str">
            <v>Đinh lăng</v>
          </cell>
          <cell r="D438" t="str">
            <v>15cm &lt; đk gốc ≤ 25cm</v>
          </cell>
          <cell r="E438">
            <v>0.4</v>
          </cell>
          <cell r="F438" t="str">
            <v>cây</v>
          </cell>
          <cell r="G438">
            <v>500000</v>
          </cell>
          <cell r="H438">
            <v>0.8</v>
          </cell>
          <cell r="J438">
            <v>1000000</v>
          </cell>
        </row>
        <row r="439">
          <cell r="B439" t="str">
            <v>Dinhlang25+</v>
          </cell>
          <cell r="C439" t="str">
            <v>Đinh lăng</v>
          </cell>
          <cell r="D439" t="str">
            <v>đk 25cm trở lên</v>
          </cell>
          <cell r="E439">
            <v>0.4</v>
          </cell>
          <cell r="F439" t="str">
            <v>cây</v>
          </cell>
          <cell r="G439">
            <v>600000</v>
          </cell>
          <cell r="H439">
            <v>0.8</v>
          </cell>
          <cell r="J439">
            <v>1200000</v>
          </cell>
        </row>
        <row r="440">
          <cell r="B440" t="str">
            <v>Dinhlang01vmd</v>
          </cell>
          <cell r="C440" t="str">
            <v>Đinh lăng vượt mật độ</v>
          </cell>
          <cell r="D440" t="str">
            <v>đk gốc &gt; 1cm; H &gt; 50cm</v>
          </cell>
          <cell r="E440">
            <v>0.4</v>
          </cell>
          <cell r="F440" t="str">
            <v>cây</v>
          </cell>
          <cell r="G440">
            <v>50000</v>
          </cell>
          <cell r="H440">
            <v>0.25</v>
          </cell>
          <cell r="J440">
            <v>31250</v>
          </cell>
        </row>
        <row r="441">
          <cell r="B441" t="str">
            <v>Dinhlang24vmd</v>
          </cell>
          <cell r="C441" t="str">
            <v>Đinh lăng vượt mật độ</v>
          </cell>
          <cell r="D441" t="str">
            <v>2cm &lt; đk gốc ≤ 4cm</v>
          </cell>
          <cell r="E441">
            <v>0.4</v>
          </cell>
          <cell r="F441" t="str">
            <v>cây</v>
          </cell>
          <cell r="G441">
            <v>100000</v>
          </cell>
          <cell r="H441">
            <v>0.25</v>
          </cell>
          <cell r="J441">
            <v>62500</v>
          </cell>
        </row>
        <row r="442">
          <cell r="B442" t="str">
            <v>Dinhlang48vmd</v>
          </cell>
          <cell r="C442" t="str">
            <v>Đinh lăng vượt mật độ</v>
          </cell>
          <cell r="D442" t="str">
            <v>4cm &lt; đk gốc ≤ 8cm</v>
          </cell>
          <cell r="E442">
            <v>0.4</v>
          </cell>
          <cell r="F442" t="str">
            <v>cây</v>
          </cell>
          <cell r="G442">
            <v>200000</v>
          </cell>
          <cell r="H442">
            <v>0.4</v>
          </cell>
          <cell r="J442">
            <v>200000</v>
          </cell>
        </row>
        <row r="443">
          <cell r="B443" t="str">
            <v>Dinhlang815vmd</v>
          </cell>
          <cell r="C443" t="str">
            <v>Đinh lăng vượt mật độ</v>
          </cell>
          <cell r="D443" t="str">
            <v>8cm &lt; đk gốc ≤ 15cm</v>
          </cell>
          <cell r="E443">
            <v>0.4</v>
          </cell>
          <cell r="F443" t="str">
            <v>cây</v>
          </cell>
          <cell r="G443">
            <v>300000</v>
          </cell>
          <cell r="H443">
            <v>0.4</v>
          </cell>
          <cell r="J443">
            <v>300000</v>
          </cell>
        </row>
        <row r="444">
          <cell r="B444" t="str">
            <v>Dinhlang1525vmd</v>
          </cell>
          <cell r="C444" t="str">
            <v>Đinh lăng vượt mật độ</v>
          </cell>
          <cell r="D444" t="str">
            <v>15cm &lt; đk gốc ≤ 25cm</v>
          </cell>
          <cell r="E444">
            <v>0.4</v>
          </cell>
          <cell r="F444" t="str">
            <v>cây</v>
          </cell>
          <cell r="G444">
            <v>500000</v>
          </cell>
          <cell r="H444">
            <v>0.4</v>
          </cell>
          <cell r="J444">
            <v>500000</v>
          </cell>
        </row>
        <row r="445">
          <cell r="B445" t="str">
            <v>Dinhlang25+vmd</v>
          </cell>
          <cell r="C445" t="str">
            <v>Đinh lăng vượt mật độ</v>
          </cell>
          <cell r="D445" t="str">
            <v>đk 25cm trở lên</v>
          </cell>
          <cell r="E445">
            <v>0.4</v>
          </cell>
          <cell r="F445" t="str">
            <v>cây</v>
          </cell>
          <cell r="G445">
            <v>600000</v>
          </cell>
          <cell r="H445">
            <v>0.4</v>
          </cell>
          <cell r="J445">
            <v>600000</v>
          </cell>
        </row>
        <row r="446">
          <cell r="C446" t="str">
            <v>NHÓM CÂY CẢNH</v>
          </cell>
          <cell r="J446" t="e">
            <v>#DIV/0!</v>
          </cell>
        </row>
        <row r="447">
          <cell r="C447" t="str">
            <v>Cây Trà</v>
          </cell>
          <cell r="J447" t="e">
            <v>#DIV/0!</v>
          </cell>
        </row>
        <row r="448">
          <cell r="B448" t="str">
            <v>trà01</v>
          </cell>
          <cell r="C448" t="str">
            <v>Cây trà</v>
          </cell>
          <cell r="D448" t="str">
            <v>đk gốc &gt; 0,8cm; H &gt; 40cm</v>
          </cell>
          <cell r="E448">
            <v>5</v>
          </cell>
          <cell r="F448" t="str">
            <v>cây</v>
          </cell>
          <cell r="G448">
            <v>100000</v>
          </cell>
          <cell r="H448">
            <v>0.5</v>
          </cell>
          <cell r="J448">
            <v>10000</v>
          </cell>
        </row>
        <row r="449">
          <cell r="B449" t="str">
            <v>trà24</v>
          </cell>
          <cell r="C449" t="str">
            <v>Cây trà</v>
          </cell>
          <cell r="D449" t="str">
            <v>2cm &lt; đk gốc ≤ 4cm</v>
          </cell>
          <cell r="E449">
            <v>5</v>
          </cell>
          <cell r="F449" t="str">
            <v>cây</v>
          </cell>
          <cell r="G449">
            <v>300000</v>
          </cell>
          <cell r="H449">
            <v>0.5</v>
          </cell>
          <cell r="J449">
            <v>30000</v>
          </cell>
        </row>
        <row r="450">
          <cell r="B450" t="str">
            <v>trà48</v>
          </cell>
          <cell r="C450" t="str">
            <v>Cây trà</v>
          </cell>
          <cell r="D450" t="str">
            <v>4cm &lt; đk gốc ≤ 8cm</v>
          </cell>
          <cell r="E450">
            <v>5</v>
          </cell>
          <cell r="F450" t="str">
            <v>cây</v>
          </cell>
          <cell r="G450">
            <v>600000</v>
          </cell>
          <cell r="H450">
            <v>0.5</v>
          </cell>
          <cell r="J450">
            <v>60000</v>
          </cell>
        </row>
        <row r="451">
          <cell r="B451" t="str">
            <v>trà8+</v>
          </cell>
          <cell r="C451" t="str">
            <v>Cây trà</v>
          </cell>
          <cell r="D451" t="str">
            <v>đk gốc 8cm trở lên</v>
          </cell>
          <cell r="E451">
            <v>5</v>
          </cell>
          <cell r="F451" t="str">
            <v>cây</v>
          </cell>
          <cell r="G451">
            <v>750000</v>
          </cell>
          <cell r="H451">
            <v>0.8</v>
          </cell>
          <cell r="J451">
            <v>120000</v>
          </cell>
        </row>
        <row r="452">
          <cell r="B452" t="str">
            <v>trà01vmd</v>
          </cell>
          <cell r="C452" t="str">
            <v>Cây trà vượt mật độ</v>
          </cell>
          <cell r="D452" t="str">
            <v>đk gốc &gt; 0,8cm; H &gt; 40cm</v>
          </cell>
          <cell r="E452">
            <v>5</v>
          </cell>
          <cell r="F452" t="str">
            <v>cây</v>
          </cell>
          <cell r="G452">
            <v>100000</v>
          </cell>
          <cell r="H452">
            <v>0.25</v>
          </cell>
          <cell r="J452">
            <v>5000</v>
          </cell>
        </row>
        <row r="453">
          <cell r="B453" t="str">
            <v>trà24vmd</v>
          </cell>
          <cell r="C453" t="str">
            <v>Cây trà vượt mật độ</v>
          </cell>
          <cell r="D453" t="str">
            <v>2cm &lt; đk gốc ≤ 4cm</v>
          </cell>
          <cell r="E453">
            <v>5</v>
          </cell>
          <cell r="F453" t="str">
            <v>cây</v>
          </cell>
          <cell r="G453">
            <v>300000</v>
          </cell>
          <cell r="H453">
            <v>0.25</v>
          </cell>
          <cell r="J453">
            <v>15000</v>
          </cell>
        </row>
        <row r="454">
          <cell r="B454" t="str">
            <v>trà48vmd</v>
          </cell>
          <cell r="C454" t="str">
            <v>Cây trà vượt mật độ</v>
          </cell>
          <cell r="D454" t="str">
            <v>4cm &lt; đk gốc ≤ 8cm</v>
          </cell>
          <cell r="E454">
            <v>5</v>
          </cell>
          <cell r="F454" t="str">
            <v>cây</v>
          </cell>
          <cell r="G454">
            <v>600000</v>
          </cell>
          <cell r="H454">
            <v>0.25</v>
          </cell>
          <cell r="J454">
            <v>30000</v>
          </cell>
        </row>
        <row r="455">
          <cell r="B455" t="str">
            <v>trà8+vmd</v>
          </cell>
          <cell r="C455" t="str">
            <v>Cây trà vượt mật độ</v>
          </cell>
          <cell r="D455" t="str">
            <v>đk gốc 8cm trở lên</v>
          </cell>
          <cell r="E455">
            <v>5</v>
          </cell>
          <cell r="F455" t="str">
            <v>cây</v>
          </cell>
          <cell r="G455">
            <v>750000</v>
          </cell>
          <cell r="H455">
            <v>0.4</v>
          </cell>
          <cell r="J455">
            <v>60000</v>
          </cell>
        </row>
        <row r="456">
          <cell r="B456" t="str">
            <v>trà01chau</v>
          </cell>
          <cell r="C456" t="str">
            <v>Cây trà trồng trên chậu</v>
          </cell>
          <cell r="D456" t="str">
            <v>đk gốc &gt; 0,8cm; H &gt; 40cm</v>
          </cell>
          <cell r="E456">
            <v>5</v>
          </cell>
          <cell r="F456" t="str">
            <v>cây</v>
          </cell>
          <cell r="G456">
            <v>100000</v>
          </cell>
          <cell r="H456">
            <v>0.5</v>
          </cell>
          <cell r="J456">
            <v>10000</v>
          </cell>
        </row>
        <row r="457">
          <cell r="B457" t="str">
            <v>trà24chau</v>
          </cell>
          <cell r="C457" t="str">
            <v>Cây trà trồng trên chậu</v>
          </cell>
          <cell r="D457" t="str">
            <v>2cm &lt; đk gốc ≤ 4cm</v>
          </cell>
          <cell r="E457">
            <v>5</v>
          </cell>
          <cell r="F457" t="str">
            <v>cây</v>
          </cell>
          <cell r="G457">
            <v>300000</v>
          </cell>
          <cell r="H457">
            <v>0.5</v>
          </cell>
          <cell r="J457">
            <v>30000</v>
          </cell>
        </row>
        <row r="458">
          <cell r="B458" t="str">
            <v>trà48chau</v>
          </cell>
          <cell r="C458" t="str">
            <v>Cây trà trồng trên chậu</v>
          </cell>
          <cell r="D458" t="str">
            <v>4cm &lt; đk gốc ≤ 8cm</v>
          </cell>
          <cell r="E458">
            <v>5</v>
          </cell>
          <cell r="F458" t="str">
            <v>cây</v>
          </cell>
          <cell r="G458">
            <v>600000</v>
          </cell>
          <cell r="H458">
            <v>0.5</v>
          </cell>
          <cell r="J458">
            <v>60000</v>
          </cell>
        </row>
        <row r="459">
          <cell r="B459" t="str">
            <v>trà8+chau</v>
          </cell>
          <cell r="C459" t="str">
            <v>Cây trà trồng trên chậu</v>
          </cell>
          <cell r="D459" t="str">
            <v>đk gốc 8cm trở lên</v>
          </cell>
          <cell r="E459">
            <v>5</v>
          </cell>
          <cell r="F459" t="str">
            <v>cây</v>
          </cell>
          <cell r="G459">
            <v>750000</v>
          </cell>
          <cell r="H459">
            <v>0.8</v>
          </cell>
          <cell r="J459">
            <v>120000</v>
          </cell>
        </row>
        <row r="460">
          <cell r="B460" t="str">
            <v>trà01chauvmd</v>
          </cell>
          <cell r="C460" t="str">
            <v>Cây trà trồng trên chậu vượt mật độ</v>
          </cell>
          <cell r="D460" t="str">
            <v>đk gốc &gt; 0,8cm; H &gt; 40cm</v>
          </cell>
          <cell r="E460">
            <v>5</v>
          </cell>
          <cell r="F460" t="str">
            <v>cây</v>
          </cell>
          <cell r="G460">
            <v>100000</v>
          </cell>
          <cell r="H460">
            <v>0.25</v>
          </cell>
          <cell r="J460">
            <v>5000</v>
          </cell>
        </row>
        <row r="461">
          <cell r="B461" t="str">
            <v>trà24chauvmd</v>
          </cell>
          <cell r="C461" t="str">
            <v>Cây trà trồng trên chậu vượt mật độ</v>
          </cell>
          <cell r="D461" t="str">
            <v>2cm &lt; đk gốc ≤ 4cm</v>
          </cell>
          <cell r="E461">
            <v>5</v>
          </cell>
          <cell r="F461" t="str">
            <v>cây</v>
          </cell>
          <cell r="G461">
            <v>300000</v>
          </cell>
          <cell r="H461">
            <v>0.25</v>
          </cell>
          <cell r="J461">
            <v>15000</v>
          </cell>
        </row>
        <row r="462">
          <cell r="B462" t="str">
            <v>trà48chauvmd</v>
          </cell>
          <cell r="C462" t="str">
            <v>Cây trà trồng trên chậu vượt mật độ</v>
          </cell>
          <cell r="D462" t="str">
            <v>4cm &lt; đk gốc ≤ 8cm</v>
          </cell>
          <cell r="E462">
            <v>5</v>
          </cell>
          <cell r="F462" t="str">
            <v>cây</v>
          </cell>
          <cell r="G462">
            <v>600000</v>
          </cell>
          <cell r="H462">
            <v>0.25</v>
          </cell>
          <cell r="J462">
            <v>30000</v>
          </cell>
        </row>
        <row r="463">
          <cell r="B463" t="str">
            <v>trà8+chauvmd</v>
          </cell>
          <cell r="C463" t="str">
            <v>Cây trà trồng trên chậu vượt mật độ</v>
          </cell>
          <cell r="D463" t="str">
            <v>đk gốc 8cm trở lên</v>
          </cell>
          <cell r="E463">
            <v>5</v>
          </cell>
          <cell r="F463" t="str">
            <v>cây</v>
          </cell>
          <cell r="G463">
            <v>750000</v>
          </cell>
          <cell r="H463">
            <v>0.4</v>
          </cell>
          <cell r="J463">
            <v>60000</v>
          </cell>
        </row>
        <row r="464">
          <cell r="C464" t="str">
            <v>Cây Hải đường</v>
          </cell>
          <cell r="J464" t="e">
            <v>#DIV/0!</v>
          </cell>
        </row>
        <row r="465">
          <cell r="B465" t="str">
            <v>haiduong01</v>
          </cell>
          <cell r="C465" t="str">
            <v>Cây Hải đường</v>
          </cell>
          <cell r="D465" t="str">
            <v>đk gốc &gt; 0,8cm; H &gt; 40cm</v>
          </cell>
          <cell r="E465">
            <v>5</v>
          </cell>
          <cell r="F465" t="str">
            <v>cây</v>
          </cell>
          <cell r="G465">
            <v>100000</v>
          </cell>
          <cell r="H465">
            <v>0.5</v>
          </cell>
          <cell r="J465">
            <v>10000</v>
          </cell>
        </row>
        <row r="466">
          <cell r="B466" t="str">
            <v>haiduong24</v>
          </cell>
          <cell r="C466" t="str">
            <v>Cây Hải đường</v>
          </cell>
          <cell r="D466" t="str">
            <v>2cm &lt; đk gốc ≤ 4cm</v>
          </cell>
          <cell r="E466">
            <v>5</v>
          </cell>
          <cell r="F466" t="str">
            <v>cây</v>
          </cell>
          <cell r="G466">
            <v>300000</v>
          </cell>
          <cell r="H466">
            <v>0.5</v>
          </cell>
          <cell r="J466">
            <v>30000</v>
          </cell>
        </row>
        <row r="467">
          <cell r="B467" t="str">
            <v>haiduong48</v>
          </cell>
          <cell r="C467" t="str">
            <v>Cây Hải đường</v>
          </cell>
          <cell r="D467" t="str">
            <v>4cm &lt; đk gốc ≤ 8cm</v>
          </cell>
          <cell r="E467">
            <v>5</v>
          </cell>
          <cell r="F467" t="str">
            <v>cây</v>
          </cell>
          <cell r="G467">
            <v>600000</v>
          </cell>
          <cell r="H467">
            <v>0.5</v>
          </cell>
          <cell r="J467">
            <v>60000</v>
          </cell>
        </row>
        <row r="468">
          <cell r="B468" t="str">
            <v>haiduong8+</v>
          </cell>
          <cell r="C468" t="str">
            <v>Cây Hải đường</v>
          </cell>
          <cell r="D468" t="str">
            <v>đk gốc 8cm trở lên</v>
          </cell>
          <cell r="E468">
            <v>5</v>
          </cell>
          <cell r="F468" t="str">
            <v>cây</v>
          </cell>
          <cell r="G468">
            <v>750000</v>
          </cell>
          <cell r="H468">
            <v>0.8</v>
          </cell>
          <cell r="J468">
            <v>120000</v>
          </cell>
        </row>
        <row r="469">
          <cell r="B469" t="str">
            <v>haiduong01vmd</v>
          </cell>
          <cell r="C469" t="str">
            <v>Cây hải đường vượt mật độ</v>
          </cell>
          <cell r="D469" t="str">
            <v>đk gốc &gt; 0,8cm; H &gt; 40cm</v>
          </cell>
          <cell r="E469">
            <v>5</v>
          </cell>
          <cell r="F469" t="str">
            <v>cây</v>
          </cell>
          <cell r="G469">
            <v>100000</v>
          </cell>
          <cell r="H469">
            <v>0.25</v>
          </cell>
          <cell r="J469">
            <v>5000</v>
          </cell>
        </row>
        <row r="470">
          <cell r="B470" t="str">
            <v>haiduong24vmd</v>
          </cell>
          <cell r="C470" t="str">
            <v>Cây hải đường vượt mật độ</v>
          </cell>
          <cell r="D470" t="str">
            <v>2cm &lt; đk gốc ≤ 4cm</v>
          </cell>
          <cell r="E470">
            <v>5</v>
          </cell>
          <cell r="F470" t="str">
            <v>cây</v>
          </cell>
          <cell r="G470">
            <v>300000</v>
          </cell>
          <cell r="H470">
            <v>0.25</v>
          </cell>
          <cell r="J470">
            <v>15000</v>
          </cell>
        </row>
        <row r="471">
          <cell r="B471" t="str">
            <v>haiduong48vmd</v>
          </cell>
          <cell r="C471" t="str">
            <v>Cây hải đường vượt mật độ</v>
          </cell>
          <cell r="D471" t="str">
            <v>4cm &lt; đk gốc ≤ 8cm</v>
          </cell>
          <cell r="E471">
            <v>5</v>
          </cell>
          <cell r="F471" t="str">
            <v>cây</v>
          </cell>
          <cell r="G471">
            <v>600000</v>
          </cell>
          <cell r="H471">
            <v>0.25</v>
          </cell>
          <cell r="J471">
            <v>30000</v>
          </cell>
        </row>
        <row r="472">
          <cell r="B472" t="str">
            <v>haiduong8+vmd</v>
          </cell>
          <cell r="C472" t="str">
            <v>Cây hải đường vượt mật độ</v>
          </cell>
          <cell r="D472" t="str">
            <v>đk gốc 8cm trở lên</v>
          </cell>
          <cell r="E472">
            <v>5</v>
          </cell>
          <cell r="F472" t="str">
            <v>cây</v>
          </cell>
          <cell r="G472">
            <v>750000</v>
          </cell>
          <cell r="H472">
            <v>0.4</v>
          </cell>
          <cell r="J472">
            <v>60000</v>
          </cell>
        </row>
        <row r="473">
          <cell r="C473" t="str">
            <v>Cây tường vi</v>
          </cell>
          <cell r="J473" t="e">
            <v>#DIV/0!</v>
          </cell>
        </row>
        <row r="474">
          <cell r="B474" t="str">
            <v>tuongvi01</v>
          </cell>
          <cell r="C474" t="str">
            <v>Cây tường vi</v>
          </cell>
          <cell r="D474" t="str">
            <v>đk gốc &gt; 0,8cm; H &gt; 40cm</v>
          </cell>
          <cell r="E474">
            <v>5</v>
          </cell>
          <cell r="F474" t="str">
            <v>cây</v>
          </cell>
          <cell r="G474">
            <v>100000</v>
          </cell>
          <cell r="H474">
            <v>0.5</v>
          </cell>
          <cell r="J474">
            <v>10000</v>
          </cell>
        </row>
        <row r="475">
          <cell r="B475" t="str">
            <v>tuongvi24</v>
          </cell>
          <cell r="C475" t="str">
            <v>Cây tường vi</v>
          </cell>
          <cell r="D475" t="str">
            <v>2cm &lt; đk gốc ≤ 4cm</v>
          </cell>
          <cell r="E475">
            <v>5</v>
          </cell>
          <cell r="F475" t="str">
            <v>cây</v>
          </cell>
          <cell r="G475">
            <v>300000</v>
          </cell>
          <cell r="H475">
            <v>0.5</v>
          </cell>
          <cell r="J475">
            <v>30000</v>
          </cell>
        </row>
        <row r="476">
          <cell r="B476" t="str">
            <v>tuongvi48</v>
          </cell>
          <cell r="C476" t="str">
            <v>Cây tường vi</v>
          </cell>
          <cell r="D476" t="str">
            <v>4cm &lt; đk gốc ≤ 8cm</v>
          </cell>
          <cell r="E476">
            <v>5</v>
          </cell>
          <cell r="F476" t="str">
            <v>cây</v>
          </cell>
          <cell r="G476">
            <v>600000</v>
          </cell>
          <cell r="H476">
            <v>0.5</v>
          </cell>
          <cell r="J476">
            <v>60000</v>
          </cell>
        </row>
        <row r="477">
          <cell r="B477" t="str">
            <v>tuongvi8+</v>
          </cell>
          <cell r="C477" t="str">
            <v>Cây tường vi</v>
          </cell>
          <cell r="D477" t="str">
            <v>đk gốc 8cm trở lên</v>
          </cell>
          <cell r="E477">
            <v>5</v>
          </cell>
          <cell r="F477" t="str">
            <v>cây</v>
          </cell>
          <cell r="G477">
            <v>750000</v>
          </cell>
          <cell r="H477">
            <v>0.8</v>
          </cell>
          <cell r="J477">
            <v>120000</v>
          </cell>
        </row>
        <row r="478">
          <cell r="B478" t="str">
            <v>tuongvi01vmd</v>
          </cell>
          <cell r="C478" t="str">
            <v>Cây tường vi vượt mật độ</v>
          </cell>
          <cell r="D478" t="str">
            <v>đk gốc &gt; 0,8cm; H &gt; 40cm</v>
          </cell>
          <cell r="E478">
            <v>5</v>
          </cell>
          <cell r="F478" t="str">
            <v>cây</v>
          </cell>
          <cell r="G478">
            <v>100000</v>
          </cell>
          <cell r="H478">
            <v>0.25</v>
          </cell>
          <cell r="J478">
            <v>5000</v>
          </cell>
        </row>
        <row r="479">
          <cell r="B479" t="str">
            <v>tuongvi24vmd</v>
          </cell>
          <cell r="C479" t="str">
            <v>Cây tường vi vượt mật độ</v>
          </cell>
          <cell r="D479" t="str">
            <v>2cm &lt; đk gốc ≤ 4cm</v>
          </cell>
          <cell r="E479">
            <v>5</v>
          </cell>
          <cell r="F479" t="str">
            <v>cây</v>
          </cell>
          <cell r="G479">
            <v>300000</v>
          </cell>
          <cell r="H479">
            <v>0.25</v>
          </cell>
          <cell r="J479">
            <v>15000</v>
          </cell>
        </row>
        <row r="480">
          <cell r="B480" t="str">
            <v>tuongvi48vmd</v>
          </cell>
          <cell r="C480" t="str">
            <v>Cây tường vi vượt mật độ</v>
          </cell>
          <cell r="D480" t="str">
            <v>4cm &lt; đk gốc ≤ 8cm</v>
          </cell>
          <cell r="E480">
            <v>5</v>
          </cell>
          <cell r="F480" t="str">
            <v>cây</v>
          </cell>
          <cell r="G480">
            <v>600000</v>
          </cell>
          <cell r="H480">
            <v>0.25</v>
          </cell>
          <cell r="J480">
            <v>30000</v>
          </cell>
        </row>
        <row r="481">
          <cell r="B481" t="str">
            <v>tuongvi8+vmd</v>
          </cell>
          <cell r="C481" t="str">
            <v>Cây tường vi vượt mật độ</v>
          </cell>
          <cell r="D481" t="str">
            <v>đk gốc 8cm trở lên</v>
          </cell>
          <cell r="E481">
            <v>5</v>
          </cell>
          <cell r="F481" t="str">
            <v>cây</v>
          </cell>
          <cell r="G481">
            <v>750000</v>
          </cell>
          <cell r="H481">
            <v>0.4</v>
          </cell>
          <cell r="J481">
            <v>60000</v>
          </cell>
        </row>
        <row r="482">
          <cell r="B482" t="str">
            <v>tuongvi01chau</v>
          </cell>
          <cell r="C482" t="str">
            <v>Cây tường vi trồng trên chậu</v>
          </cell>
          <cell r="D482" t="str">
            <v>đk gốc &gt; 0,8cm; H &gt; 40cm</v>
          </cell>
          <cell r="E482">
            <v>5</v>
          </cell>
          <cell r="F482" t="str">
            <v>cây</v>
          </cell>
          <cell r="G482">
            <v>100000</v>
          </cell>
          <cell r="H482">
            <v>0.25</v>
          </cell>
          <cell r="J482">
            <v>5000</v>
          </cell>
        </row>
        <row r="483">
          <cell r="B483" t="str">
            <v>tuongvi24chau</v>
          </cell>
          <cell r="C483" t="str">
            <v>Cây tường vi trồng trên chậu</v>
          </cell>
          <cell r="D483" t="str">
            <v>2cm &lt; đk gốc ≤ 4cm</v>
          </cell>
          <cell r="E483">
            <v>5</v>
          </cell>
          <cell r="F483" t="str">
            <v>cây</v>
          </cell>
          <cell r="G483">
            <v>300000</v>
          </cell>
          <cell r="H483">
            <v>0.25</v>
          </cell>
          <cell r="J483">
            <v>15000</v>
          </cell>
        </row>
        <row r="484">
          <cell r="B484" t="str">
            <v>tuongvi48chau</v>
          </cell>
          <cell r="C484" t="str">
            <v>Cây tường vi trồng trên chậu</v>
          </cell>
          <cell r="D484" t="str">
            <v>4cm &lt; đk gốc ≤ 8cm</v>
          </cell>
          <cell r="E484">
            <v>5</v>
          </cell>
          <cell r="F484" t="str">
            <v>cây</v>
          </cell>
          <cell r="G484">
            <v>600000</v>
          </cell>
          <cell r="H484">
            <v>0.25</v>
          </cell>
          <cell r="J484">
            <v>30000</v>
          </cell>
        </row>
        <row r="485">
          <cell r="B485" t="str">
            <v>tuongvi8+chau</v>
          </cell>
          <cell r="C485" t="str">
            <v>Cây tường vi vi trồng trên chậu</v>
          </cell>
          <cell r="D485" t="str">
            <v>đk gốc 8cm trở lên</v>
          </cell>
          <cell r="E485">
            <v>5</v>
          </cell>
          <cell r="F485" t="str">
            <v>cây</v>
          </cell>
          <cell r="G485">
            <v>750000</v>
          </cell>
          <cell r="H485">
            <v>0.5</v>
          </cell>
          <cell r="J485">
            <v>75000</v>
          </cell>
        </row>
        <row r="486">
          <cell r="B486" t="str">
            <v>tuongvi01vmdchau</v>
          </cell>
          <cell r="C486" t="str">
            <v>Cây tường vi vượt mật độ vi trồng trên chậu</v>
          </cell>
          <cell r="D486" t="str">
            <v>đk gốc &gt; 0,8cm; H &gt; 40cm</v>
          </cell>
          <cell r="E486">
            <v>5</v>
          </cell>
          <cell r="F486" t="str">
            <v>cây</v>
          </cell>
          <cell r="G486">
            <v>100000</v>
          </cell>
          <cell r="H486">
            <v>0.25</v>
          </cell>
          <cell r="J486">
            <v>5000</v>
          </cell>
        </row>
        <row r="487">
          <cell r="B487" t="str">
            <v>tuongvi24vmdchau</v>
          </cell>
          <cell r="C487" t="str">
            <v>Cây tường vi vượt mật độ vi trồng trên chậu</v>
          </cell>
          <cell r="D487" t="str">
            <v>2cm &lt; đk gốc ≤ 4cm</v>
          </cell>
          <cell r="E487">
            <v>5</v>
          </cell>
          <cell r="F487" t="str">
            <v>cây</v>
          </cell>
          <cell r="G487">
            <v>300000</v>
          </cell>
          <cell r="H487">
            <v>0.25</v>
          </cell>
          <cell r="J487">
            <v>15000</v>
          </cell>
        </row>
        <row r="488">
          <cell r="B488" t="str">
            <v>tuongvi48vmdchau</v>
          </cell>
          <cell r="C488" t="str">
            <v>Cây tường vi vượt mật độ vi trồng trên chậu</v>
          </cell>
          <cell r="D488" t="str">
            <v>4cm &lt; đk gốc ≤ 8cm</v>
          </cell>
          <cell r="E488">
            <v>5</v>
          </cell>
          <cell r="F488" t="str">
            <v>cây</v>
          </cell>
          <cell r="G488">
            <v>600000</v>
          </cell>
          <cell r="H488">
            <v>0.25</v>
          </cell>
          <cell r="J488">
            <v>30000</v>
          </cell>
        </row>
        <row r="489">
          <cell r="B489" t="str">
            <v>tuongvi8+vmdchau</v>
          </cell>
          <cell r="C489" t="str">
            <v>Cây tường vi vượt mật độ vi trồng trên chậu</v>
          </cell>
          <cell r="D489" t="str">
            <v>đk gốc 8cm trở lên</v>
          </cell>
          <cell r="E489">
            <v>5</v>
          </cell>
          <cell r="F489" t="str">
            <v>cây</v>
          </cell>
          <cell r="G489">
            <v>750000</v>
          </cell>
          <cell r="H489">
            <v>0.25</v>
          </cell>
          <cell r="J489">
            <v>37500</v>
          </cell>
        </row>
        <row r="490">
          <cell r="C490" t="str">
            <v>Cây mộc hương</v>
          </cell>
          <cell r="J490" t="e">
            <v>#DIV/0!</v>
          </cell>
        </row>
        <row r="491">
          <cell r="B491" t="str">
            <v>mộc01</v>
          </cell>
          <cell r="C491" t="str">
            <v>Cây mộc hương</v>
          </cell>
          <cell r="D491" t="str">
            <v>đk gốc &gt; 0,8cm; H &gt; 40cm</v>
          </cell>
          <cell r="E491">
            <v>5</v>
          </cell>
          <cell r="F491" t="str">
            <v>cây</v>
          </cell>
          <cell r="G491">
            <v>100000</v>
          </cell>
          <cell r="H491">
            <v>0.5</v>
          </cell>
          <cell r="J491">
            <v>10000</v>
          </cell>
        </row>
        <row r="492">
          <cell r="B492" t="str">
            <v>mộc24</v>
          </cell>
          <cell r="C492" t="str">
            <v>Cây mộc hương</v>
          </cell>
          <cell r="D492" t="str">
            <v>2cm &lt; đk gốc ≤ 4cm</v>
          </cell>
          <cell r="E492">
            <v>5</v>
          </cell>
          <cell r="F492" t="str">
            <v>cây</v>
          </cell>
          <cell r="G492">
            <v>300000</v>
          </cell>
          <cell r="H492">
            <v>0.5</v>
          </cell>
          <cell r="J492">
            <v>30000</v>
          </cell>
        </row>
        <row r="493">
          <cell r="B493" t="str">
            <v>mộc48</v>
          </cell>
          <cell r="C493" t="str">
            <v>Cây mộc hương</v>
          </cell>
          <cell r="D493" t="str">
            <v>4cm &lt; đk gốc ≤ 8cm</v>
          </cell>
          <cell r="E493">
            <v>5</v>
          </cell>
          <cell r="F493" t="str">
            <v>cây</v>
          </cell>
          <cell r="G493">
            <v>600000</v>
          </cell>
          <cell r="H493">
            <v>0.5</v>
          </cell>
          <cell r="J493">
            <v>60000</v>
          </cell>
        </row>
        <row r="494">
          <cell r="B494" t="str">
            <v>mộc8+</v>
          </cell>
          <cell r="C494" t="str">
            <v>Cây mộc hương</v>
          </cell>
          <cell r="D494" t="str">
            <v>đk gốc 8cm trở lên</v>
          </cell>
          <cell r="E494">
            <v>5</v>
          </cell>
          <cell r="F494" t="str">
            <v>cây</v>
          </cell>
          <cell r="G494">
            <v>750000</v>
          </cell>
          <cell r="H494">
            <v>0.8</v>
          </cell>
          <cell r="J494">
            <v>120000</v>
          </cell>
        </row>
        <row r="495">
          <cell r="B495" t="str">
            <v>mộc01vmd</v>
          </cell>
          <cell r="C495" t="str">
            <v>Cây mộc hương vượt mật độ</v>
          </cell>
          <cell r="D495" t="str">
            <v>đk gốc &gt; 0,8cm; H &gt; 40cm</v>
          </cell>
          <cell r="E495">
            <v>5</v>
          </cell>
          <cell r="F495" t="str">
            <v>cây</v>
          </cell>
          <cell r="G495">
            <v>100000</v>
          </cell>
          <cell r="H495">
            <v>0.25</v>
          </cell>
          <cell r="J495">
            <v>5000</v>
          </cell>
        </row>
        <row r="496">
          <cell r="B496" t="str">
            <v>mộc24vmd</v>
          </cell>
          <cell r="C496" t="str">
            <v>Cây mộc hương vượt mật độ</v>
          </cell>
          <cell r="D496" t="str">
            <v>2cm &lt; đk gốc ≤ 4cm</v>
          </cell>
          <cell r="E496">
            <v>5</v>
          </cell>
          <cell r="F496" t="str">
            <v>cây</v>
          </cell>
          <cell r="G496">
            <v>300000</v>
          </cell>
          <cell r="H496">
            <v>0.25</v>
          </cell>
          <cell r="J496">
            <v>15000</v>
          </cell>
        </row>
        <row r="497">
          <cell r="B497" t="str">
            <v>mộc48vmd</v>
          </cell>
          <cell r="C497" t="str">
            <v>Cây mộc hương vượt mật độ</v>
          </cell>
          <cell r="D497" t="str">
            <v>4cm &lt; đk gốc ≤ 8cm</v>
          </cell>
          <cell r="E497">
            <v>5</v>
          </cell>
          <cell r="F497" t="str">
            <v>cây</v>
          </cell>
          <cell r="G497">
            <v>600000</v>
          </cell>
          <cell r="H497">
            <v>0.25</v>
          </cell>
          <cell r="J497">
            <v>30000</v>
          </cell>
        </row>
        <row r="498">
          <cell r="B498" t="str">
            <v>mộc8+vmd</v>
          </cell>
          <cell r="C498" t="str">
            <v>Cây mộc hương vượt mật độ</v>
          </cell>
          <cell r="D498" t="str">
            <v>đk gốc 8cm trở lên</v>
          </cell>
          <cell r="E498">
            <v>5</v>
          </cell>
          <cell r="F498" t="str">
            <v>cây</v>
          </cell>
          <cell r="G498">
            <v>750000</v>
          </cell>
          <cell r="H498">
            <v>0.4</v>
          </cell>
          <cell r="J498">
            <v>60000</v>
          </cell>
        </row>
        <row r="499">
          <cell r="B499" t="str">
            <v>mộc01chau</v>
          </cell>
          <cell r="C499" t="str">
            <v>Cây mộc hương trồng trên chậu</v>
          </cell>
          <cell r="D499" t="str">
            <v>đk gốc &gt; 0,8cm; H &gt; 40cm</v>
          </cell>
          <cell r="E499">
            <v>5</v>
          </cell>
          <cell r="F499" t="str">
            <v>cây</v>
          </cell>
          <cell r="G499">
            <v>100000</v>
          </cell>
          <cell r="H499">
            <v>0.5</v>
          </cell>
          <cell r="J499">
            <v>10000</v>
          </cell>
        </row>
        <row r="500">
          <cell r="B500" t="str">
            <v>mộc24chau</v>
          </cell>
          <cell r="C500" t="str">
            <v>Cây mộc hương trồng trên chậu</v>
          </cell>
          <cell r="D500" t="str">
            <v>2cm &lt; đk gốc ≤ 4cm</v>
          </cell>
          <cell r="E500">
            <v>5</v>
          </cell>
          <cell r="F500" t="str">
            <v>cây</v>
          </cell>
          <cell r="G500">
            <v>300000</v>
          </cell>
          <cell r="H500">
            <v>0.5</v>
          </cell>
          <cell r="J500">
            <v>30000</v>
          </cell>
        </row>
        <row r="501">
          <cell r="B501" t="str">
            <v>mộc48chau</v>
          </cell>
          <cell r="C501" t="str">
            <v>Cây mộc hương trồng trên chậu</v>
          </cell>
          <cell r="D501" t="str">
            <v>4cm &lt; đk gốc ≤ 8cm</v>
          </cell>
          <cell r="E501">
            <v>5</v>
          </cell>
          <cell r="F501" t="str">
            <v>cây</v>
          </cell>
          <cell r="G501">
            <v>600000</v>
          </cell>
          <cell r="H501">
            <v>0.5</v>
          </cell>
          <cell r="J501">
            <v>60000</v>
          </cell>
        </row>
        <row r="502">
          <cell r="B502" t="str">
            <v>mộc8+chau</v>
          </cell>
          <cell r="C502" t="str">
            <v>Cây mộc hương trồng trên chậu</v>
          </cell>
          <cell r="D502" t="str">
            <v>đk gốc 8cm trở lên</v>
          </cell>
          <cell r="E502">
            <v>5</v>
          </cell>
          <cell r="F502" t="str">
            <v>cây</v>
          </cell>
          <cell r="G502">
            <v>750000</v>
          </cell>
          <cell r="H502">
            <v>0.8</v>
          </cell>
          <cell r="J502">
            <v>120000</v>
          </cell>
        </row>
        <row r="503">
          <cell r="B503" t="str">
            <v>mộc01chauvmd</v>
          </cell>
          <cell r="C503" t="str">
            <v>Cây mộc hương trồng trên chậu vượt mật độ</v>
          </cell>
          <cell r="D503" t="str">
            <v>đk gốc &gt; 0,8cm; H &gt; 40cm</v>
          </cell>
          <cell r="E503">
            <v>5</v>
          </cell>
          <cell r="F503" t="str">
            <v>cây</v>
          </cell>
          <cell r="G503">
            <v>100000</v>
          </cell>
          <cell r="H503">
            <v>0.25</v>
          </cell>
          <cell r="J503">
            <v>5000</v>
          </cell>
        </row>
        <row r="504">
          <cell r="B504" t="str">
            <v>mộc24chauvmd</v>
          </cell>
          <cell r="C504" t="str">
            <v>Cây mộc hương trồng trên chậu vượt mật độ</v>
          </cell>
          <cell r="D504" t="str">
            <v>2cm &lt; đk gốc ≤ 4cm</v>
          </cell>
          <cell r="E504">
            <v>5</v>
          </cell>
          <cell r="F504" t="str">
            <v>cây</v>
          </cell>
          <cell r="G504">
            <v>300000</v>
          </cell>
          <cell r="H504">
            <v>0.25</v>
          </cell>
          <cell r="J504">
            <v>15000</v>
          </cell>
        </row>
        <row r="505">
          <cell r="B505" t="str">
            <v>mộc48chauvmd</v>
          </cell>
          <cell r="C505" t="str">
            <v>Cây mộc hương trồng trên chậu vượt mật độ</v>
          </cell>
          <cell r="D505" t="str">
            <v>4cm &lt; đk gốc ≤ 8cm</v>
          </cell>
          <cell r="E505">
            <v>5</v>
          </cell>
          <cell r="F505" t="str">
            <v>cây</v>
          </cell>
          <cell r="G505">
            <v>600000</v>
          </cell>
          <cell r="H505">
            <v>0.25</v>
          </cell>
          <cell r="J505">
            <v>30000</v>
          </cell>
        </row>
        <row r="506">
          <cell r="B506" t="str">
            <v>mộc8+chauvmd</v>
          </cell>
          <cell r="C506" t="str">
            <v>Cây mộc hương trồng trên chậu vượt mật độ</v>
          </cell>
          <cell r="D506" t="str">
            <v>đk gốc 8cm trở lên</v>
          </cell>
          <cell r="E506">
            <v>5</v>
          </cell>
          <cell r="F506" t="str">
            <v>cây</v>
          </cell>
          <cell r="G506">
            <v>750000</v>
          </cell>
          <cell r="H506">
            <v>0.4</v>
          </cell>
          <cell r="J506">
            <v>60000</v>
          </cell>
        </row>
        <row r="507">
          <cell r="C507" t="str">
            <v>Cây hoa hồng</v>
          </cell>
          <cell r="J507" t="e">
            <v>#DIV/0!</v>
          </cell>
        </row>
        <row r="508">
          <cell r="B508" t="str">
            <v>hoahong01</v>
          </cell>
          <cell r="C508" t="str">
            <v>Cây hoa hồng</v>
          </cell>
          <cell r="D508" t="str">
            <v>đk gốc &gt; 0,8cm; H &gt; 40cm</v>
          </cell>
          <cell r="E508">
            <v>5</v>
          </cell>
          <cell r="F508" t="str">
            <v>cây</v>
          </cell>
          <cell r="G508">
            <v>100000</v>
          </cell>
          <cell r="H508">
            <v>0.5</v>
          </cell>
          <cell r="J508">
            <v>10000</v>
          </cell>
        </row>
        <row r="509">
          <cell r="B509" t="str">
            <v>hoahong24</v>
          </cell>
          <cell r="C509" t="str">
            <v>Cây hoa hồng</v>
          </cell>
          <cell r="D509" t="str">
            <v>2cm &lt; đk gốc ≤ 4cm</v>
          </cell>
          <cell r="E509">
            <v>5</v>
          </cell>
          <cell r="F509" t="str">
            <v>cây</v>
          </cell>
          <cell r="G509">
            <v>300000</v>
          </cell>
          <cell r="H509">
            <v>0.5</v>
          </cell>
          <cell r="J509">
            <v>30000</v>
          </cell>
        </row>
        <row r="510">
          <cell r="B510" t="str">
            <v>hoahong48</v>
          </cell>
          <cell r="C510" t="str">
            <v>Cây hoa hồng</v>
          </cell>
          <cell r="D510" t="str">
            <v>4cm &lt; đk gốc ≤ 8cm</v>
          </cell>
          <cell r="E510">
            <v>5</v>
          </cell>
          <cell r="F510" t="str">
            <v>cây</v>
          </cell>
          <cell r="G510">
            <v>600000</v>
          </cell>
          <cell r="H510">
            <v>0.5</v>
          </cell>
          <cell r="J510">
            <v>60000</v>
          </cell>
        </row>
        <row r="511">
          <cell r="B511" t="str">
            <v>hoahong8+</v>
          </cell>
          <cell r="C511" t="str">
            <v>Cây hoa hồng</v>
          </cell>
          <cell r="D511" t="str">
            <v>đk gốc 8cm trở lên</v>
          </cell>
          <cell r="E511">
            <v>5</v>
          </cell>
          <cell r="F511" t="str">
            <v>cây</v>
          </cell>
          <cell r="G511">
            <v>750000</v>
          </cell>
          <cell r="H511">
            <v>0.8</v>
          </cell>
          <cell r="J511">
            <v>120000</v>
          </cell>
        </row>
        <row r="512">
          <cell r="B512" t="str">
            <v>hoahong01vmd</v>
          </cell>
          <cell r="C512" t="str">
            <v>Cây hoa hồng vượt mật độ</v>
          </cell>
          <cell r="D512" t="str">
            <v>đk gốc &gt; 0,8cm; H &gt; 40cm</v>
          </cell>
          <cell r="E512">
            <v>5</v>
          </cell>
          <cell r="F512" t="str">
            <v>cây</v>
          </cell>
          <cell r="G512">
            <v>100000</v>
          </cell>
          <cell r="H512">
            <v>0.25</v>
          </cell>
          <cell r="J512">
            <v>5000</v>
          </cell>
        </row>
        <row r="513">
          <cell r="B513" t="str">
            <v>hoahong24vmd</v>
          </cell>
          <cell r="C513" t="str">
            <v>Cây hoa hồng vượt mật độ</v>
          </cell>
          <cell r="D513" t="str">
            <v>2cm &lt; đk gốc ≤ 4cm</v>
          </cell>
          <cell r="E513">
            <v>5</v>
          </cell>
          <cell r="F513" t="str">
            <v>cây</v>
          </cell>
          <cell r="G513">
            <v>300000</v>
          </cell>
          <cell r="H513">
            <v>0.25</v>
          </cell>
          <cell r="J513">
            <v>15000</v>
          </cell>
        </row>
        <row r="514">
          <cell r="B514" t="str">
            <v>hoahong48vmd</v>
          </cell>
          <cell r="C514" t="str">
            <v>Cây hoa hồng vượt mật độ</v>
          </cell>
          <cell r="D514" t="str">
            <v>4cm &lt; đk gốc ≤ 8cm</v>
          </cell>
          <cell r="E514">
            <v>5</v>
          </cell>
          <cell r="F514" t="str">
            <v>cây</v>
          </cell>
          <cell r="G514">
            <v>600000</v>
          </cell>
          <cell r="H514">
            <v>0.25</v>
          </cell>
          <cell r="J514">
            <v>30000</v>
          </cell>
        </row>
        <row r="515">
          <cell r="B515" t="str">
            <v>hoahong8+vmd</v>
          </cell>
          <cell r="C515" t="str">
            <v>Cây hoa hồng vượt mật độ</v>
          </cell>
          <cell r="D515" t="str">
            <v>đk gốc 8cm trở lên</v>
          </cell>
          <cell r="E515">
            <v>5</v>
          </cell>
          <cell r="F515" t="str">
            <v>cây</v>
          </cell>
          <cell r="G515">
            <v>750000</v>
          </cell>
          <cell r="H515">
            <v>0.4</v>
          </cell>
          <cell r="J515">
            <v>60000</v>
          </cell>
        </row>
        <row r="516">
          <cell r="C516" t="str">
            <v>Cây nguyệt quế</v>
          </cell>
          <cell r="J516" t="e">
            <v>#DIV/0!</v>
          </cell>
        </row>
        <row r="517">
          <cell r="B517" t="str">
            <v>nguyetque01</v>
          </cell>
          <cell r="C517" t="str">
            <v>Cây nguyệt quế</v>
          </cell>
          <cell r="D517" t="str">
            <v>đk gốc &gt; 0,8cm; H &gt; 40cm</v>
          </cell>
          <cell r="E517">
            <v>5</v>
          </cell>
          <cell r="F517" t="str">
            <v>cây</v>
          </cell>
          <cell r="G517">
            <v>100000</v>
          </cell>
          <cell r="H517">
            <v>0.5</v>
          </cell>
          <cell r="J517">
            <v>10000</v>
          </cell>
        </row>
        <row r="518">
          <cell r="B518" t="str">
            <v>nguyetque24</v>
          </cell>
          <cell r="C518" t="str">
            <v>Cây nguyệt quế</v>
          </cell>
          <cell r="D518" t="str">
            <v>2cm &lt; đk gốc ≤ 4cm</v>
          </cell>
          <cell r="E518">
            <v>5</v>
          </cell>
          <cell r="F518" t="str">
            <v>cây</v>
          </cell>
          <cell r="G518">
            <v>300000</v>
          </cell>
          <cell r="H518">
            <v>0.5</v>
          </cell>
          <cell r="J518">
            <v>30000</v>
          </cell>
        </row>
        <row r="519">
          <cell r="B519" t="str">
            <v>nguyetque48</v>
          </cell>
          <cell r="C519" t="str">
            <v>Cây nguyệt quế</v>
          </cell>
          <cell r="D519" t="str">
            <v>4cm &lt; đk gốc ≤ 8cm</v>
          </cell>
          <cell r="E519">
            <v>5</v>
          </cell>
          <cell r="F519" t="str">
            <v>cây</v>
          </cell>
          <cell r="G519">
            <v>600000</v>
          </cell>
          <cell r="H519">
            <v>0.5</v>
          </cell>
          <cell r="J519">
            <v>60000</v>
          </cell>
        </row>
        <row r="520">
          <cell r="B520" t="str">
            <v>nguyetque8+</v>
          </cell>
          <cell r="C520" t="str">
            <v>Cây nguyệt quế</v>
          </cell>
          <cell r="D520" t="str">
            <v>đk gốc 8cm trở lên</v>
          </cell>
          <cell r="E520">
            <v>5</v>
          </cell>
          <cell r="F520" t="str">
            <v>cây</v>
          </cell>
          <cell r="G520">
            <v>750000</v>
          </cell>
          <cell r="H520">
            <v>0.8</v>
          </cell>
          <cell r="J520">
            <v>120000</v>
          </cell>
        </row>
        <row r="521">
          <cell r="B521" t="str">
            <v>nguyetque01vmd</v>
          </cell>
          <cell r="C521" t="str">
            <v>Cây nguyệt quế vượt mật độ</v>
          </cell>
          <cell r="D521" t="str">
            <v>đk gốc &gt; 0,8cm; H &gt; 40cm</v>
          </cell>
          <cell r="E521">
            <v>5</v>
          </cell>
          <cell r="F521" t="str">
            <v>cây</v>
          </cell>
          <cell r="G521">
            <v>100000</v>
          </cell>
          <cell r="H521">
            <v>0.25</v>
          </cell>
          <cell r="J521">
            <v>5000</v>
          </cell>
        </row>
        <row r="522">
          <cell r="B522" t="str">
            <v>nguyetque24vmd</v>
          </cell>
          <cell r="C522" t="str">
            <v>Cây nguyệt quế vượt mật độ</v>
          </cell>
          <cell r="D522" t="str">
            <v>2cm &lt; đk gốc ≤ 4cm</v>
          </cell>
          <cell r="E522">
            <v>5</v>
          </cell>
          <cell r="F522" t="str">
            <v>cây</v>
          </cell>
          <cell r="G522">
            <v>300000</v>
          </cell>
          <cell r="H522">
            <v>0.25</v>
          </cell>
          <cell r="J522">
            <v>15000</v>
          </cell>
        </row>
        <row r="523">
          <cell r="B523" t="str">
            <v>nguyetque48vmd</v>
          </cell>
          <cell r="C523" t="str">
            <v>Cây nguyệt quế vượt mật độ</v>
          </cell>
          <cell r="D523" t="str">
            <v>4cm &lt; đk gốc ≤ 8cm</v>
          </cell>
          <cell r="E523">
            <v>5</v>
          </cell>
          <cell r="F523" t="str">
            <v>cây</v>
          </cell>
          <cell r="G523">
            <v>600000</v>
          </cell>
          <cell r="H523">
            <v>0.25</v>
          </cell>
          <cell r="J523">
            <v>30000</v>
          </cell>
        </row>
        <row r="524">
          <cell r="B524" t="str">
            <v>nguyetque8+vmd</v>
          </cell>
          <cell r="C524" t="str">
            <v>Cây nguyệt quế vượt mật độ</v>
          </cell>
          <cell r="D524" t="str">
            <v>đk gốc 8cm trở lên</v>
          </cell>
          <cell r="E524">
            <v>5</v>
          </cell>
          <cell r="F524" t="str">
            <v>cây</v>
          </cell>
          <cell r="G524">
            <v>750000</v>
          </cell>
          <cell r="H524">
            <v>0.4</v>
          </cell>
          <cell r="J524">
            <v>60000</v>
          </cell>
        </row>
        <row r="525">
          <cell r="C525" t="str">
            <v>Cây ngâu</v>
          </cell>
          <cell r="J525" t="e">
            <v>#DIV/0!</v>
          </cell>
        </row>
        <row r="526">
          <cell r="B526" t="str">
            <v>ngâu01</v>
          </cell>
          <cell r="C526" t="str">
            <v>Cây ngâu</v>
          </cell>
          <cell r="D526" t="str">
            <v>đk gốc &gt; 0,8cm; H &gt; 40cm</v>
          </cell>
          <cell r="E526">
            <v>5</v>
          </cell>
          <cell r="F526" t="str">
            <v>cây</v>
          </cell>
          <cell r="G526">
            <v>100000</v>
          </cell>
          <cell r="H526">
            <v>0.5</v>
          </cell>
          <cell r="J526">
            <v>10000</v>
          </cell>
        </row>
        <row r="527">
          <cell r="B527" t="str">
            <v>ngâu24</v>
          </cell>
          <cell r="C527" t="str">
            <v>Cây ngâu</v>
          </cell>
          <cell r="D527" t="str">
            <v>2cm &lt; đk gốc ≤ 4cm</v>
          </cell>
          <cell r="E527">
            <v>5</v>
          </cell>
          <cell r="F527" t="str">
            <v>cây</v>
          </cell>
          <cell r="G527">
            <v>300000</v>
          </cell>
          <cell r="H527">
            <v>0.5</v>
          </cell>
          <cell r="J527">
            <v>30000</v>
          </cell>
        </row>
        <row r="528">
          <cell r="B528" t="str">
            <v>ngâu48</v>
          </cell>
          <cell r="C528" t="str">
            <v>Cây ngâu</v>
          </cell>
          <cell r="D528" t="str">
            <v>4cm &lt; đk gốc ≤ 8cm</v>
          </cell>
          <cell r="E528">
            <v>5</v>
          </cell>
          <cell r="F528" t="str">
            <v>cây</v>
          </cell>
          <cell r="G528">
            <v>600000</v>
          </cell>
          <cell r="H528">
            <v>0.5</v>
          </cell>
          <cell r="J528">
            <v>60000</v>
          </cell>
        </row>
        <row r="529">
          <cell r="B529" t="str">
            <v>ngâu8+</v>
          </cell>
          <cell r="C529" t="str">
            <v>Cây ngâu</v>
          </cell>
          <cell r="D529" t="str">
            <v>đk gốc 8cm trở lên</v>
          </cell>
          <cell r="E529">
            <v>5</v>
          </cell>
          <cell r="F529" t="str">
            <v>cây</v>
          </cell>
          <cell r="G529">
            <v>750000</v>
          </cell>
          <cell r="H529">
            <v>0.8</v>
          </cell>
          <cell r="J529">
            <v>120000</v>
          </cell>
        </row>
        <row r="530">
          <cell r="B530" t="str">
            <v>ngâu01vmd</v>
          </cell>
          <cell r="C530" t="str">
            <v>Cây ngâu vượt mật độ</v>
          </cell>
          <cell r="D530" t="str">
            <v>đk gốc &gt; 0,8cm; H &gt; 40cm</v>
          </cell>
          <cell r="E530">
            <v>5</v>
          </cell>
          <cell r="F530" t="str">
            <v>cây</v>
          </cell>
          <cell r="G530">
            <v>100000</v>
          </cell>
          <cell r="H530">
            <v>0.25</v>
          </cell>
          <cell r="J530">
            <v>5000</v>
          </cell>
        </row>
        <row r="531">
          <cell r="B531" t="str">
            <v>ngâu24vmd</v>
          </cell>
          <cell r="C531" t="str">
            <v>Cây ngâu vượt mật độ</v>
          </cell>
          <cell r="D531" t="str">
            <v>2cm &lt; đk gốc ≤ 4cm</v>
          </cell>
          <cell r="E531">
            <v>5</v>
          </cell>
          <cell r="F531" t="str">
            <v>cây</v>
          </cell>
          <cell r="G531">
            <v>300000</v>
          </cell>
          <cell r="H531">
            <v>0.25</v>
          </cell>
          <cell r="J531">
            <v>15000</v>
          </cell>
        </row>
        <row r="532">
          <cell r="B532" t="str">
            <v>ngâu48vmd</v>
          </cell>
          <cell r="C532" t="str">
            <v>Cây ngâu vượt mật độ</v>
          </cell>
          <cell r="D532" t="str">
            <v>4cm &lt; đk gốc ≤ 8cm</v>
          </cell>
          <cell r="E532">
            <v>5</v>
          </cell>
          <cell r="F532" t="str">
            <v>cây</v>
          </cell>
          <cell r="G532">
            <v>600000</v>
          </cell>
          <cell r="H532">
            <v>0.25</v>
          </cell>
          <cell r="J532">
            <v>30000</v>
          </cell>
        </row>
        <row r="533">
          <cell r="B533" t="str">
            <v>ngâu8+vmd</v>
          </cell>
          <cell r="C533" t="str">
            <v>Cây ngâu vượt mật độ</v>
          </cell>
          <cell r="D533" t="str">
            <v>đk gốc 8cm trở lên</v>
          </cell>
          <cell r="E533">
            <v>5</v>
          </cell>
          <cell r="F533" t="str">
            <v>cây</v>
          </cell>
          <cell r="G533">
            <v>750000</v>
          </cell>
          <cell r="H533">
            <v>0.4</v>
          </cell>
          <cell r="J533">
            <v>60000</v>
          </cell>
        </row>
        <row r="534">
          <cell r="C534" t="str">
            <v>Cây mẫu đơn</v>
          </cell>
          <cell r="J534" t="e">
            <v>#DIV/0!</v>
          </cell>
        </row>
        <row r="535">
          <cell r="B535" t="str">
            <v>maudon01</v>
          </cell>
          <cell r="C535" t="str">
            <v>Cây mẫu đơn</v>
          </cell>
          <cell r="D535" t="str">
            <v>đk gốc &gt; 0,8cm; H &gt; 40cm</v>
          </cell>
          <cell r="E535">
            <v>5</v>
          </cell>
          <cell r="F535" t="str">
            <v>cây</v>
          </cell>
          <cell r="G535">
            <v>100000</v>
          </cell>
          <cell r="H535">
            <v>0.5</v>
          </cell>
          <cell r="J535">
            <v>10000</v>
          </cell>
        </row>
        <row r="536">
          <cell r="B536" t="str">
            <v>maudon24</v>
          </cell>
          <cell r="C536" t="str">
            <v>Cây mẫu đơn</v>
          </cell>
          <cell r="D536" t="str">
            <v>2cm &lt; đk gốc ≤ 4cm</v>
          </cell>
          <cell r="E536">
            <v>5</v>
          </cell>
          <cell r="F536" t="str">
            <v>cây</v>
          </cell>
          <cell r="G536">
            <v>300000</v>
          </cell>
          <cell r="H536">
            <v>0.5</v>
          </cell>
          <cell r="J536">
            <v>30000</v>
          </cell>
        </row>
        <row r="537">
          <cell r="B537" t="str">
            <v>maudon48</v>
          </cell>
          <cell r="C537" t="str">
            <v>Cây mẫu đơn</v>
          </cell>
          <cell r="D537" t="str">
            <v>4cm &lt; đk gốc ≤ 8cm</v>
          </cell>
          <cell r="E537">
            <v>5</v>
          </cell>
          <cell r="F537" t="str">
            <v>cây</v>
          </cell>
          <cell r="G537">
            <v>600000</v>
          </cell>
          <cell r="H537">
            <v>0.5</v>
          </cell>
          <cell r="J537">
            <v>60000</v>
          </cell>
        </row>
        <row r="538">
          <cell r="B538" t="str">
            <v>maudon8+</v>
          </cell>
          <cell r="C538" t="str">
            <v>Cây mẫu đơn</v>
          </cell>
          <cell r="D538" t="str">
            <v>đk gốc 8cm trở lên</v>
          </cell>
          <cell r="E538">
            <v>5</v>
          </cell>
          <cell r="F538" t="str">
            <v>cây</v>
          </cell>
          <cell r="G538">
            <v>750000</v>
          </cell>
          <cell r="H538">
            <v>0.8</v>
          </cell>
          <cell r="J538">
            <v>120000</v>
          </cell>
        </row>
        <row r="539">
          <cell r="B539" t="str">
            <v>maudon01vmd</v>
          </cell>
          <cell r="C539" t="str">
            <v>Cây mẫu đơn vượt mật độ</v>
          </cell>
          <cell r="D539" t="str">
            <v>đk gốc &gt; 0,8cm; H &gt; 40cm</v>
          </cell>
          <cell r="E539">
            <v>5</v>
          </cell>
          <cell r="F539" t="str">
            <v>cây</v>
          </cell>
          <cell r="G539">
            <v>100000</v>
          </cell>
          <cell r="H539">
            <v>0.25</v>
          </cell>
          <cell r="J539">
            <v>5000</v>
          </cell>
        </row>
        <row r="540">
          <cell r="B540" t="str">
            <v>maudon24vmd</v>
          </cell>
          <cell r="C540" t="str">
            <v>Cây mẫu đơn vượt mật độ</v>
          </cell>
          <cell r="D540" t="str">
            <v>2cm &lt; đk gốc ≤ 4cm</v>
          </cell>
          <cell r="E540">
            <v>5</v>
          </cell>
          <cell r="F540" t="str">
            <v>cây</v>
          </cell>
          <cell r="G540">
            <v>300000</v>
          </cell>
          <cell r="H540">
            <v>0.25</v>
          </cell>
          <cell r="J540">
            <v>15000</v>
          </cell>
        </row>
        <row r="541">
          <cell r="B541" t="str">
            <v>maudon48vmd</v>
          </cell>
          <cell r="C541" t="str">
            <v>Cây mẫu đơn vượt mật độ</v>
          </cell>
          <cell r="D541" t="str">
            <v>4cm &lt; đk gốc ≤ 8cm</v>
          </cell>
          <cell r="E541">
            <v>5</v>
          </cell>
          <cell r="F541" t="str">
            <v>cây</v>
          </cell>
          <cell r="G541">
            <v>600000</v>
          </cell>
          <cell r="H541">
            <v>0.25</v>
          </cell>
          <cell r="J541">
            <v>30000</v>
          </cell>
        </row>
        <row r="542">
          <cell r="B542" t="str">
            <v>maudon8+vmd</v>
          </cell>
          <cell r="C542" t="str">
            <v>Cây mẫu đơn vượt mật độ</v>
          </cell>
          <cell r="D542" t="str">
            <v>đk gốc 8cm trở lên</v>
          </cell>
          <cell r="E542">
            <v>5</v>
          </cell>
          <cell r="F542" t="str">
            <v>cây</v>
          </cell>
          <cell r="G542">
            <v>750000</v>
          </cell>
          <cell r="H542">
            <v>0.4</v>
          </cell>
          <cell r="J542">
            <v>60000</v>
          </cell>
        </row>
        <row r="543">
          <cell r="C543" t="str">
            <v>Cây dâm bụt</v>
          </cell>
          <cell r="J543" t="e">
            <v>#DIV/0!</v>
          </cell>
        </row>
        <row r="544">
          <cell r="B544" t="str">
            <v>dambut01</v>
          </cell>
          <cell r="C544" t="str">
            <v>Cây dâm bụt</v>
          </cell>
          <cell r="D544" t="str">
            <v>đk gốc &gt; 0,8cm; H &gt; 40cm</v>
          </cell>
          <cell r="E544">
            <v>5</v>
          </cell>
          <cell r="F544" t="str">
            <v>cây</v>
          </cell>
          <cell r="G544">
            <v>100000</v>
          </cell>
          <cell r="H544">
            <v>0.5</v>
          </cell>
          <cell r="J544">
            <v>10000</v>
          </cell>
        </row>
        <row r="545">
          <cell r="B545" t="str">
            <v>dambut24</v>
          </cell>
          <cell r="C545" t="str">
            <v>Cây dâm bụt</v>
          </cell>
          <cell r="D545" t="str">
            <v>2cm &lt; đk gốc ≤ 4cm</v>
          </cell>
          <cell r="E545">
            <v>5</v>
          </cell>
          <cell r="F545" t="str">
            <v>cây</v>
          </cell>
          <cell r="G545">
            <v>300000</v>
          </cell>
          <cell r="H545">
            <v>0.5</v>
          </cell>
          <cell r="J545">
            <v>30000</v>
          </cell>
        </row>
        <row r="546">
          <cell r="B546" t="str">
            <v>dambut48</v>
          </cell>
          <cell r="C546" t="str">
            <v>Cây dâm bụt</v>
          </cell>
          <cell r="D546" t="str">
            <v>4cm &lt; đk gốc ≤ 8cm</v>
          </cell>
          <cell r="E546">
            <v>5</v>
          </cell>
          <cell r="F546" t="str">
            <v>cây</v>
          </cell>
          <cell r="G546">
            <v>600000</v>
          </cell>
          <cell r="H546">
            <v>0.5</v>
          </cell>
          <cell r="J546">
            <v>60000</v>
          </cell>
        </row>
        <row r="547">
          <cell r="B547" t="str">
            <v>dambut8+</v>
          </cell>
          <cell r="C547" t="str">
            <v>Cây dâm bụt</v>
          </cell>
          <cell r="D547" t="str">
            <v>đk gốc 8cm trở lên</v>
          </cell>
          <cell r="E547">
            <v>5</v>
          </cell>
          <cell r="F547" t="str">
            <v>cây</v>
          </cell>
          <cell r="G547">
            <v>750000</v>
          </cell>
          <cell r="H547">
            <v>0.8</v>
          </cell>
          <cell r="J547">
            <v>120000</v>
          </cell>
        </row>
        <row r="548">
          <cell r="B548" t="str">
            <v>dambut01vmd</v>
          </cell>
          <cell r="C548" t="str">
            <v>Cây dâm bụt vượt mật độ</v>
          </cell>
          <cell r="D548" t="str">
            <v>đk gốc &gt; 0,8cm; H &gt; 40cm</v>
          </cell>
          <cell r="E548">
            <v>5</v>
          </cell>
          <cell r="F548" t="str">
            <v>cây</v>
          </cell>
          <cell r="G548">
            <v>100000</v>
          </cell>
          <cell r="H548">
            <v>0.25</v>
          </cell>
          <cell r="J548">
            <v>5000</v>
          </cell>
        </row>
        <row r="549">
          <cell r="B549" t="str">
            <v>dambut24vmd</v>
          </cell>
          <cell r="C549" t="str">
            <v>Cây dâm bụt vượt mật độ</v>
          </cell>
          <cell r="D549" t="str">
            <v>2cm &lt; đk gốc ≤ 4cm</v>
          </cell>
          <cell r="E549">
            <v>5</v>
          </cell>
          <cell r="F549" t="str">
            <v>cây</v>
          </cell>
          <cell r="G549">
            <v>300000</v>
          </cell>
          <cell r="H549">
            <v>0.25</v>
          </cell>
          <cell r="J549">
            <v>15000</v>
          </cell>
        </row>
        <row r="550">
          <cell r="B550" t="str">
            <v>dambut48vmd</v>
          </cell>
          <cell r="C550" t="str">
            <v>Cây dâm bụt vượt mật độ</v>
          </cell>
          <cell r="D550" t="str">
            <v>4cm &lt; đk gốc ≤ 8cm</v>
          </cell>
          <cell r="E550">
            <v>5</v>
          </cell>
          <cell r="F550" t="str">
            <v>cây</v>
          </cell>
          <cell r="G550">
            <v>600000</v>
          </cell>
          <cell r="H550">
            <v>0.25</v>
          </cell>
          <cell r="J550">
            <v>30000</v>
          </cell>
        </row>
        <row r="551">
          <cell r="B551" t="str">
            <v>dambut8+vmd</v>
          </cell>
          <cell r="C551" t="str">
            <v>Cây dâm bụt vượt mật độ</v>
          </cell>
          <cell r="D551" t="str">
            <v>đk gốc 8cm trở lên</v>
          </cell>
          <cell r="E551">
            <v>5</v>
          </cell>
          <cell r="F551" t="str">
            <v>cây</v>
          </cell>
          <cell r="G551">
            <v>750000</v>
          </cell>
          <cell r="H551">
            <v>0.4</v>
          </cell>
          <cell r="J551">
            <v>60000</v>
          </cell>
        </row>
        <row r="552">
          <cell r="B552" t="str">
            <v>dambut01chau</v>
          </cell>
          <cell r="C552" t="str">
            <v>Cây dâm bụt</v>
          </cell>
          <cell r="D552" t="str">
            <v>đk gốc &gt; 0,8cm; H &gt; 40cm</v>
          </cell>
          <cell r="E552">
            <v>5</v>
          </cell>
          <cell r="F552" t="str">
            <v>cây</v>
          </cell>
          <cell r="G552">
            <v>100000</v>
          </cell>
          <cell r="H552">
            <v>0.25</v>
          </cell>
          <cell r="J552">
            <v>5000</v>
          </cell>
        </row>
        <row r="553">
          <cell r="B553" t="str">
            <v>dambut24chau</v>
          </cell>
          <cell r="C553" t="str">
            <v>Cây dâm bụt</v>
          </cell>
          <cell r="D553" t="str">
            <v>2cm &lt; đk gốc ≤ 4cm</v>
          </cell>
          <cell r="E553">
            <v>5</v>
          </cell>
          <cell r="F553" t="str">
            <v>cây</v>
          </cell>
          <cell r="G553">
            <v>300000</v>
          </cell>
          <cell r="H553">
            <v>0.25</v>
          </cell>
          <cell r="J553">
            <v>15000</v>
          </cell>
        </row>
        <row r="554">
          <cell r="B554" t="str">
            <v>dambut48chau</v>
          </cell>
          <cell r="C554" t="str">
            <v>Cây dâm bụt</v>
          </cell>
          <cell r="D554" t="str">
            <v>4cm &lt; đk gốc ≤ 8cm</v>
          </cell>
          <cell r="E554">
            <v>5</v>
          </cell>
          <cell r="F554" t="str">
            <v>cây</v>
          </cell>
          <cell r="G554">
            <v>600000</v>
          </cell>
          <cell r="H554">
            <v>0.25</v>
          </cell>
          <cell r="J554">
            <v>30000</v>
          </cell>
        </row>
        <row r="555">
          <cell r="B555" t="str">
            <v>dambut8+chau</v>
          </cell>
          <cell r="C555" t="str">
            <v>Cây dâm bụt</v>
          </cell>
          <cell r="D555" t="str">
            <v>đk gốc 8cm trở lên</v>
          </cell>
          <cell r="E555">
            <v>5</v>
          </cell>
          <cell r="F555" t="str">
            <v>cây</v>
          </cell>
          <cell r="G555">
            <v>750000</v>
          </cell>
          <cell r="H555">
            <v>0.5</v>
          </cell>
          <cell r="J555">
            <v>75000</v>
          </cell>
        </row>
        <row r="556">
          <cell r="B556" t="str">
            <v>dambut01vmdchau</v>
          </cell>
          <cell r="C556" t="str">
            <v>Cây dâm bụt vượt mật độ</v>
          </cell>
          <cell r="D556" t="str">
            <v>đk gốc &gt; 0,8cm; H &gt; 40cm</v>
          </cell>
          <cell r="E556">
            <v>5</v>
          </cell>
          <cell r="F556" t="str">
            <v>cây</v>
          </cell>
          <cell r="G556">
            <v>100000</v>
          </cell>
          <cell r="H556">
            <v>0.25</v>
          </cell>
          <cell r="J556">
            <v>5000</v>
          </cell>
        </row>
        <row r="557">
          <cell r="B557" t="str">
            <v>dambut24vmdchau</v>
          </cell>
          <cell r="C557" t="str">
            <v>Cây dâm bụt vượt mật độ</v>
          </cell>
          <cell r="D557" t="str">
            <v>2cm &lt; đk gốc ≤ 4cm</v>
          </cell>
          <cell r="E557">
            <v>5</v>
          </cell>
          <cell r="F557" t="str">
            <v>cây</v>
          </cell>
          <cell r="G557">
            <v>300000</v>
          </cell>
          <cell r="H557">
            <v>0.25</v>
          </cell>
          <cell r="J557">
            <v>15000</v>
          </cell>
        </row>
        <row r="558">
          <cell r="B558" t="str">
            <v>dambut48vmdchau</v>
          </cell>
          <cell r="C558" t="str">
            <v>Cây dâm bụt vượt mật độ</v>
          </cell>
          <cell r="D558" t="str">
            <v>4cm &lt; đk gốc ≤ 8cm</v>
          </cell>
          <cell r="E558">
            <v>5</v>
          </cell>
          <cell r="F558" t="str">
            <v>cây</v>
          </cell>
          <cell r="G558">
            <v>600000</v>
          </cell>
          <cell r="H558">
            <v>0.25</v>
          </cell>
          <cell r="J558">
            <v>30000</v>
          </cell>
        </row>
        <row r="559">
          <cell r="B559" t="str">
            <v>dambut8+vmdchau</v>
          </cell>
          <cell r="C559" t="str">
            <v>Cây dâm bụt vượt mật độ</v>
          </cell>
          <cell r="D559" t="str">
            <v>đk gốc 8cm trở lên</v>
          </cell>
          <cell r="E559">
            <v>5</v>
          </cell>
          <cell r="F559" t="str">
            <v>cây</v>
          </cell>
          <cell r="G559">
            <v>750000</v>
          </cell>
          <cell r="H559">
            <v>0.25</v>
          </cell>
          <cell r="J559">
            <v>37500</v>
          </cell>
        </row>
        <row r="560">
          <cell r="C560" t="str">
            <v>Cây lựu</v>
          </cell>
          <cell r="J560" t="e">
            <v>#DIV/0!</v>
          </cell>
        </row>
        <row r="561">
          <cell r="B561" t="str">
            <v>lựu01</v>
          </cell>
          <cell r="C561" t="str">
            <v>Cây lựu</v>
          </cell>
          <cell r="D561" t="str">
            <v>đk gốc &gt; 0,8cm; H &gt; 40cm</v>
          </cell>
          <cell r="E561">
            <v>5</v>
          </cell>
          <cell r="F561" t="str">
            <v>cây</v>
          </cell>
          <cell r="G561">
            <v>100000</v>
          </cell>
          <cell r="H561">
            <v>0.5</v>
          </cell>
          <cell r="J561">
            <v>10000</v>
          </cell>
        </row>
        <row r="562">
          <cell r="B562" t="str">
            <v>lựu24</v>
          </cell>
          <cell r="C562" t="str">
            <v>Cây lựu</v>
          </cell>
          <cell r="D562" t="str">
            <v>2cm &lt; đk gốc ≤ 4cm</v>
          </cell>
          <cell r="E562">
            <v>5</v>
          </cell>
          <cell r="F562" t="str">
            <v>cây</v>
          </cell>
          <cell r="G562">
            <v>300000</v>
          </cell>
          <cell r="H562">
            <v>0.5</v>
          </cell>
          <cell r="J562">
            <v>30000</v>
          </cell>
        </row>
        <row r="563">
          <cell r="B563" t="str">
            <v>lựu48</v>
          </cell>
          <cell r="C563" t="str">
            <v>Cây lựu</v>
          </cell>
          <cell r="D563" t="str">
            <v>4cm &lt; đk gốc ≤ 8cm</v>
          </cell>
          <cell r="E563">
            <v>5</v>
          </cell>
          <cell r="F563" t="str">
            <v>cây</v>
          </cell>
          <cell r="G563">
            <v>600000</v>
          </cell>
          <cell r="H563">
            <v>0.5</v>
          </cell>
          <cell r="J563">
            <v>60000</v>
          </cell>
        </row>
        <row r="564">
          <cell r="B564" t="str">
            <v>lựu8+</v>
          </cell>
          <cell r="C564" t="str">
            <v>Cây lựu</v>
          </cell>
          <cell r="D564" t="str">
            <v>đk gốc 8cm trở lên</v>
          </cell>
          <cell r="E564">
            <v>5</v>
          </cell>
          <cell r="F564" t="str">
            <v>cây</v>
          </cell>
          <cell r="G564">
            <v>750000</v>
          </cell>
          <cell r="H564">
            <v>0.8</v>
          </cell>
          <cell r="J564">
            <v>120000</v>
          </cell>
        </row>
        <row r="565">
          <cell r="B565" t="str">
            <v>lựu01vmd</v>
          </cell>
          <cell r="C565" t="str">
            <v>Cây lựu vượt mật độ</v>
          </cell>
          <cell r="D565" t="str">
            <v>đk gốc &gt; 0,8cm; H &gt; 40cm</v>
          </cell>
          <cell r="E565">
            <v>5</v>
          </cell>
          <cell r="F565" t="str">
            <v>cây</v>
          </cell>
          <cell r="G565">
            <v>100000</v>
          </cell>
          <cell r="H565">
            <v>0.25</v>
          </cell>
          <cell r="J565">
            <v>5000</v>
          </cell>
        </row>
        <row r="566">
          <cell r="B566" t="str">
            <v>lựu24vmd</v>
          </cell>
          <cell r="C566" t="str">
            <v>Cây lựu vượt mật độ</v>
          </cell>
          <cell r="D566" t="str">
            <v>2cm &lt; đk gốc ≤ 4cm</v>
          </cell>
          <cell r="E566">
            <v>5</v>
          </cell>
          <cell r="F566" t="str">
            <v>cây</v>
          </cell>
          <cell r="G566">
            <v>300000</v>
          </cell>
          <cell r="H566">
            <v>0.25</v>
          </cell>
          <cell r="J566">
            <v>15000</v>
          </cell>
        </row>
        <row r="567">
          <cell r="B567" t="str">
            <v>lựu48vmd</v>
          </cell>
          <cell r="C567" t="str">
            <v>Cây lựu vượt mật độ</v>
          </cell>
          <cell r="D567" t="str">
            <v>4cm &lt; đk gốc ≤ 8cm</v>
          </cell>
          <cell r="E567">
            <v>5</v>
          </cell>
          <cell r="F567" t="str">
            <v>cây</v>
          </cell>
          <cell r="G567">
            <v>600000</v>
          </cell>
          <cell r="H567">
            <v>0.25</v>
          </cell>
          <cell r="J567">
            <v>30000</v>
          </cell>
        </row>
        <row r="568">
          <cell r="B568" t="str">
            <v>lựu8+vmd</v>
          </cell>
          <cell r="C568" t="str">
            <v>Cây lựu vượt mật độ</v>
          </cell>
          <cell r="D568" t="str">
            <v>đk gốc 8cm trở lên</v>
          </cell>
          <cell r="E568">
            <v>5</v>
          </cell>
          <cell r="F568" t="str">
            <v>cây</v>
          </cell>
          <cell r="G568">
            <v>750000</v>
          </cell>
          <cell r="H568">
            <v>0.4</v>
          </cell>
          <cell r="J568">
            <v>60000</v>
          </cell>
        </row>
        <row r="569">
          <cell r="C569" t="str">
            <v>Cây sứ</v>
          </cell>
          <cell r="J569" t="e">
            <v>#DIV/0!</v>
          </cell>
        </row>
        <row r="570">
          <cell r="B570" t="str">
            <v>sứ01</v>
          </cell>
          <cell r="C570" t="str">
            <v>Cây sứ</v>
          </cell>
          <cell r="D570" t="str">
            <v>đk gốc &gt; 0,5cm; H &gt; 40cm</v>
          </cell>
          <cell r="E570">
            <v>6.666666666666667</v>
          </cell>
          <cell r="F570" t="str">
            <v>cây</v>
          </cell>
          <cell r="G570">
            <v>50000</v>
          </cell>
          <cell r="H570">
            <v>0.5</v>
          </cell>
          <cell r="J570">
            <v>3750</v>
          </cell>
        </row>
        <row r="571">
          <cell r="B571" t="str">
            <v>sứ13</v>
          </cell>
          <cell r="C571" t="str">
            <v>Cây sứ</v>
          </cell>
          <cell r="D571" t="str">
            <v>1cm &lt; đk gốc ≤ 3cm</v>
          </cell>
          <cell r="E571">
            <v>6.666666666666667</v>
          </cell>
          <cell r="F571" t="str">
            <v>cây</v>
          </cell>
          <cell r="G571">
            <v>80000</v>
          </cell>
          <cell r="H571">
            <v>0.5</v>
          </cell>
          <cell r="J571">
            <v>6000</v>
          </cell>
        </row>
        <row r="572">
          <cell r="B572" t="str">
            <v>sứ35</v>
          </cell>
          <cell r="C572" t="str">
            <v>Cây sứ</v>
          </cell>
          <cell r="D572" t="str">
            <v>3cm &lt; đk gốc ≤ 5cm</v>
          </cell>
          <cell r="E572">
            <v>6.666666666666667</v>
          </cell>
          <cell r="F572" t="str">
            <v>cây</v>
          </cell>
          <cell r="G572">
            <v>150000</v>
          </cell>
          <cell r="H572">
            <v>0.5</v>
          </cell>
          <cell r="J572">
            <v>11250</v>
          </cell>
        </row>
        <row r="573">
          <cell r="B573" t="str">
            <v>sứ510</v>
          </cell>
          <cell r="C573" t="str">
            <v>Cây sứ</v>
          </cell>
          <cell r="D573" t="str">
            <v>5cm &lt; đk gốc ≤ 10cm</v>
          </cell>
          <cell r="E573">
            <v>6.666666666666667</v>
          </cell>
          <cell r="F573" t="str">
            <v>cây</v>
          </cell>
          <cell r="G573">
            <v>250000</v>
          </cell>
          <cell r="H573">
            <v>0.5</v>
          </cell>
          <cell r="J573">
            <v>18750</v>
          </cell>
        </row>
        <row r="574">
          <cell r="B574" t="str">
            <v>sứ1015</v>
          </cell>
          <cell r="C574" t="str">
            <v>Cây sứ</v>
          </cell>
          <cell r="D574" t="str">
            <v>10cm &lt; đk gốc ≤ 15cm</v>
          </cell>
          <cell r="E574">
            <v>6.666666666666667</v>
          </cell>
          <cell r="F574" t="str">
            <v>cây</v>
          </cell>
          <cell r="G574">
            <v>350000</v>
          </cell>
          <cell r="H574">
            <v>0.8</v>
          </cell>
          <cell r="J574">
            <v>42000</v>
          </cell>
        </row>
        <row r="575">
          <cell r="B575" t="str">
            <v>sứ1520</v>
          </cell>
          <cell r="C575" t="str">
            <v>Cây sứ</v>
          </cell>
          <cell r="D575" t="str">
            <v>15cm &lt; đk gốc ≤ 20cm</v>
          </cell>
          <cell r="E575">
            <v>6.666666666666667</v>
          </cell>
          <cell r="F575" t="str">
            <v>cây</v>
          </cell>
          <cell r="G575">
            <v>450000</v>
          </cell>
          <cell r="H575">
            <v>0.8</v>
          </cell>
          <cell r="J575">
            <v>54000</v>
          </cell>
        </row>
        <row r="576">
          <cell r="B576" t="str">
            <v>sứ2030</v>
          </cell>
          <cell r="C576" t="str">
            <v>Cây sứ</v>
          </cell>
          <cell r="D576" t="str">
            <v>20cm &lt; đk gốc ≤ 30cm</v>
          </cell>
          <cell r="E576">
            <v>6.666666666666667</v>
          </cell>
          <cell r="F576" t="str">
            <v>m2</v>
          </cell>
          <cell r="G576">
            <v>550000</v>
          </cell>
          <cell r="H576">
            <v>0.8</v>
          </cell>
          <cell r="J576">
            <v>66000</v>
          </cell>
        </row>
        <row r="577">
          <cell r="B577" t="str">
            <v>sứ30+</v>
          </cell>
          <cell r="C577" t="str">
            <v>Cây sứ</v>
          </cell>
          <cell r="D577" t="str">
            <v>đk gốc 30cm trở lên</v>
          </cell>
          <cell r="E577">
            <v>6.666666666666667</v>
          </cell>
          <cell r="F577" t="str">
            <v>cây</v>
          </cell>
          <cell r="G577">
            <v>650000</v>
          </cell>
          <cell r="H577">
            <v>0.8</v>
          </cell>
          <cell r="J577">
            <v>78000</v>
          </cell>
        </row>
        <row r="578">
          <cell r="B578" t="str">
            <v>sứ01vmd</v>
          </cell>
          <cell r="C578" t="str">
            <v>Cây sứ vượt mật độ</v>
          </cell>
          <cell r="D578" t="str">
            <v>đk gốc &gt; 0,5cm; H &gt; 40cm</v>
          </cell>
          <cell r="E578">
            <v>6.666666666666667</v>
          </cell>
          <cell r="F578" t="str">
            <v>cây</v>
          </cell>
          <cell r="G578">
            <v>50000</v>
          </cell>
          <cell r="H578">
            <v>0.25</v>
          </cell>
          <cell r="J578">
            <v>1875</v>
          </cell>
        </row>
        <row r="579">
          <cell r="B579" t="str">
            <v>sứ13vmd</v>
          </cell>
          <cell r="C579" t="str">
            <v>Cây sứ vượt mật độ</v>
          </cell>
          <cell r="D579" t="str">
            <v>1cm &lt; đk gốc ≤ 3cm</v>
          </cell>
          <cell r="E579">
            <v>6.666666666666667</v>
          </cell>
          <cell r="F579" t="str">
            <v>cây</v>
          </cell>
          <cell r="G579">
            <v>80000</v>
          </cell>
          <cell r="H579">
            <v>0.25</v>
          </cell>
          <cell r="J579">
            <v>3000</v>
          </cell>
        </row>
        <row r="580">
          <cell r="B580" t="str">
            <v>sứ35vmd</v>
          </cell>
          <cell r="C580" t="str">
            <v>Cây sứ vượt mật độ</v>
          </cell>
          <cell r="D580" t="str">
            <v>3cm &lt; đk gốc ≤ 5cm</v>
          </cell>
          <cell r="E580">
            <v>6.666666666666667</v>
          </cell>
          <cell r="F580" t="str">
            <v>cây</v>
          </cell>
          <cell r="G580">
            <v>150000</v>
          </cell>
          <cell r="H580">
            <v>0.25</v>
          </cell>
          <cell r="J580">
            <v>5625</v>
          </cell>
        </row>
        <row r="581">
          <cell r="B581" t="str">
            <v>sứ510vmd</v>
          </cell>
          <cell r="C581" t="str">
            <v>Cây sứ vượt mật độ</v>
          </cell>
          <cell r="D581" t="str">
            <v>5cm &lt; đk gốc ≤ 10cm</v>
          </cell>
          <cell r="E581">
            <v>6.666666666666667</v>
          </cell>
          <cell r="F581" t="str">
            <v>cây</v>
          </cell>
          <cell r="G581">
            <v>250000</v>
          </cell>
          <cell r="H581">
            <v>0.25</v>
          </cell>
          <cell r="J581">
            <v>9375</v>
          </cell>
        </row>
        <row r="582">
          <cell r="B582" t="str">
            <v>sứ1015vmd</v>
          </cell>
          <cell r="C582" t="str">
            <v>Cây sứ vượt mật độ</v>
          </cell>
          <cell r="D582" t="str">
            <v>10cm &lt; đk gốc ≤ 15cm</v>
          </cell>
          <cell r="E582">
            <v>6.666666666666667</v>
          </cell>
          <cell r="F582" t="str">
            <v>cây</v>
          </cell>
          <cell r="G582">
            <v>350000</v>
          </cell>
          <cell r="H582">
            <v>0.4</v>
          </cell>
          <cell r="J582">
            <v>21000</v>
          </cell>
        </row>
        <row r="583">
          <cell r="B583" t="str">
            <v>sứ1520vmd</v>
          </cell>
          <cell r="C583" t="str">
            <v>Cây sứ vượt mật độ</v>
          </cell>
          <cell r="D583" t="str">
            <v>15cm &lt; đk gốc ≤ 20cm</v>
          </cell>
          <cell r="E583">
            <v>6.666666666666667</v>
          </cell>
          <cell r="F583" t="str">
            <v>cây</v>
          </cell>
          <cell r="G583">
            <v>450000</v>
          </cell>
          <cell r="H583">
            <v>0.4</v>
          </cell>
          <cell r="J583">
            <v>27000</v>
          </cell>
        </row>
        <row r="584">
          <cell r="B584" t="str">
            <v>sứ2030vmd</v>
          </cell>
          <cell r="C584" t="str">
            <v>Cây sứ vượt mật độ</v>
          </cell>
          <cell r="D584" t="str">
            <v>20cm &lt; đk gốc ≤ 30cm</v>
          </cell>
          <cell r="E584">
            <v>6.666666666666667</v>
          </cell>
          <cell r="F584" t="str">
            <v>m2</v>
          </cell>
          <cell r="G584">
            <v>550000</v>
          </cell>
          <cell r="H584">
            <v>0.4</v>
          </cell>
          <cell r="J584">
            <v>33000</v>
          </cell>
        </row>
        <row r="585">
          <cell r="B585" t="str">
            <v>sứ30+vmd</v>
          </cell>
          <cell r="C585" t="str">
            <v>Cây sứ vượt mật độ</v>
          </cell>
          <cell r="D585" t="str">
            <v>đk gốc 30cm trở lên</v>
          </cell>
          <cell r="E585">
            <v>6.666666666666667</v>
          </cell>
          <cell r="F585" t="str">
            <v>cây</v>
          </cell>
          <cell r="G585">
            <v>650000</v>
          </cell>
          <cell r="H585">
            <v>0.4</v>
          </cell>
          <cell r="J585">
            <v>39000</v>
          </cell>
        </row>
        <row r="586">
          <cell r="C586" t="str">
            <v>Cây đại</v>
          </cell>
          <cell r="J586" t="e">
            <v>#DIV/0!</v>
          </cell>
        </row>
        <row r="587">
          <cell r="B587" t="str">
            <v>đại01</v>
          </cell>
          <cell r="C587" t="str">
            <v>Cây đại</v>
          </cell>
          <cell r="D587" t="str">
            <v>đk gốc &gt; 0,5cm; H &gt; 40cm</v>
          </cell>
          <cell r="E587">
            <v>6.666666666666667</v>
          </cell>
          <cell r="F587" t="str">
            <v>cây</v>
          </cell>
          <cell r="G587">
            <v>50000</v>
          </cell>
          <cell r="H587">
            <v>0.5</v>
          </cell>
          <cell r="J587">
            <v>3750</v>
          </cell>
        </row>
        <row r="588">
          <cell r="B588" t="str">
            <v>đại13</v>
          </cell>
          <cell r="C588" t="str">
            <v>Cây đại</v>
          </cell>
          <cell r="D588" t="str">
            <v>1cm &lt; đk gốc ≤ 3cm</v>
          </cell>
          <cell r="E588">
            <v>6.666666666666667</v>
          </cell>
          <cell r="F588" t="str">
            <v>cây</v>
          </cell>
          <cell r="G588">
            <v>80000</v>
          </cell>
          <cell r="H588">
            <v>0.5</v>
          </cell>
          <cell r="J588">
            <v>6000</v>
          </cell>
        </row>
        <row r="589">
          <cell r="B589" t="str">
            <v>đại35</v>
          </cell>
          <cell r="C589" t="str">
            <v>Cây đại</v>
          </cell>
          <cell r="D589" t="str">
            <v>3cm &lt; đk gốc ≤ 5cm</v>
          </cell>
          <cell r="E589">
            <v>6.666666666666667</v>
          </cell>
          <cell r="F589" t="str">
            <v>cây</v>
          </cell>
          <cell r="G589">
            <v>150000</v>
          </cell>
          <cell r="H589">
            <v>0.5</v>
          </cell>
          <cell r="J589">
            <v>11250</v>
          </cell>
        </row>
        <row r="590">
          <cell r="B590" t="str">
            <v>đại510</v>
          </cell>
          <cell r="C590" t="str">
            <v>Cây đại</v>
          </cell>
          <cell r="D590" t="str">
            <v>5cm &lt; đk gốc ≤ 10cm</v>
          </cell>
          <cell r="E590">
            <v>6.666666666666667</v>
          </cell>
          <cell r="F590" t="str">
            <v>cây</v>
          </cell>
          <cell r="G590">
            <v>250000</v>
          </cell>
          <cell r="H590">
            <v>0.5</v>
          </cell>
          <cell r="J590">
            <v>18750</v>
          </cell>
        </row>
        <row r="591">
          <cell r="B591" t="str">
            <v>đại1015</v>
          </cell>
          <cell r="C591" t="str">
            <v>Cây đại</v>
          </cell>
          <cell r="D591" t="str">
            <v>10cm &lt; đk gốc ≤ 15cm</v>
          </cell>
          <cell r="E591">
            <v>6.666666666666667</v>
          </cell>
          <cell r="F591" t="str">
            <v>cây</v>
          </cell>
          <cell r="G591">
            <v>350000</v>
          </cell>
          <cell r="H591">
            <v>0.8</v>
          </cell>
          <cell r="J591">
            <v>42000</v>
          </cell>
        </row>
        <row r="592">
          <cell r="B592" t="str">
            <v>đại1520</v>
          </cell>
          <cell r="C592" t="str">
            <v>Cây đại</v>
          </cell>
          <cell r="D592" t="str">
            <v>15cm &lt; đk gốc ≤ 20cm</v>
          </cell>
          <cell r="E592">
            <v>6.666666666666667</v>
          </cell>
          <cell r="F592" t="str">
            <v>cây</v>
          </cell>
          <cell r="G592">
            <v>450000</v>
          </cell>
          <cell r="H592">
            <v>0.8</v>
          </cell>
          <cell r="J592">
            <v>54000</v>
          </cell>
        </row>
        <row r="593">
          <cell r="B593" t="str">
            <v>đại2030</v>
          </cell>
          <cell r="C593" t="str">
            <v>Cây đại</v>
          </cell>
          <cell r="D593" t="str">
            <v>20cm &lt; đk gốc ≤ 30cm</v>
          </cell>
          <cell r="E593">
            <v>6.666666666666667</v>
          </cell>
          <cell r="F593" t="str">
            <v>m2</v>
          </cell>
          <cell r="G593">
            <v>550000</v>
          </cell>
          <cell r="H593">
            <v>0.8</v>
          </cell>
          <cell r="J593">
            <v>66000</v>
          </cell>
        </row>
        <row r="594">
          <cell r="B594" t="str">
            <v>đại30+</v>
          </cell>
          <cell r="C594" t="str">
            <v>Cây đại</v>
          </cell>
          <cell r="D594" t="str">
            <v>đk gốc 30cm trở lên</v>
          </cell>
          <cell r="E594">
            <v>6.666666666666667</v>
          </cell>
          <cell r="F594" t="str">
            <v>cây</v>
          </cell>
          <cell r="G594">
            <v>650000</v>
          </cell>
          <cell r="H594">
            <v>0.8</v>
          </cell>
          <cell r="J594">
            <v>78000</v>
          </cell>
        </row>
        <row r="595">
          <cell r="B595" t="str">
            <v>đại01vmd</v>
          </cell>
          <cell r="C595" t="str">
            <v>Cây đại vượt mật độ</v>
          </cell>
          <cell r="D595" t="str">
            <v>đk gốc &gt; 0,5cm; H &gt; 40cm</v>
          </cell>
          <cell r="E595">
            <v>6.666666666666667</v>
          </cell>
          <cell r="F595" t="str">
            <v>cây</v>
          </cell>
          <cell r="G595">
            <v>50000</v>
          </cell>
          <cell r="H595">
            <v>0.25</v>
          </cell>
          <cell r="J595">
            <v>1875</v>
          </cell>
        </row>
        <row r="596">
          <cell r="B596" t="str">
            <v>đại13vmd</v>
          </cell>
          <cell r="C596" t="str">
            <v>Cây đại vượt mật độ</v>
          </cell>
          <cell r="D596" t="str">
            <v>1cm &lt; đk gốc ≤ 3cm</v>
          </cell>
          <cell r="E596">
            <v>6.666666666666667</v>
          </cell>
          <cell r="F596" t="str">
            <v>cây</v>
          </cell>
          <cell r="G596">
            <v>80000</v>
          </cell>
          <cell r="H596">
            <v>0.25</v>
          </cell>
          <cell r="J596">
            <v>3000</v>
          </cell>
        </row>
        <row r="597">
          <cell r="B597" t="str">
            <v>đại35vmd</v>
          </cell>
          <cell r="C597" t="str">
            <v>Cây đại vượt mật độ</v>
          </cell>
          <cell r="D597" t="str">
            <v>3cm &lt; đk gốc ≤ 5cm</v>
          </cell>
          <cell r="E597">
            <v>6.666666666666667</v>
          </cell>
          <cell r="F597" t="str">
            <v>cây</v>
          </cell>
          <cell r="G597">
            <v>150000</v>
          </cell>
          <cell r="H597">
            <v>0.25</v>
          </cell>
          <cell r="J597">
            <v>5625</v>
          </cell>
        </row>
        <row r="598">
          <cell r="B598" t="str">
            <v>đại510vmd</v>
          </cell>
          <cell r="C598" t="str">
            <v>Cây đại vượt mật độ</v>
          </cell>
          <cell r="D598" t="str">
            <v>5cm &lt; đk gốc ≤ 10cm</v>
          </cell>
          <cell r="E598">
            <v>6.666666666666667</v>
          </cell>
          <cell r="F598" t="str">
            <v>cây</v>
          </cell>
          <cell r="G598">
            <v>250000</v>
          </cell>
          <cell r="H598">
            <v>0.25</v>
          </cell>
          <cell r="J598">
            <v>9375</v>
          </cell>
        </row>
        <row r="599">
          <cell r="B599" t="str">
            <v>đại1015vmd</v>
          </cell>
          <cell r="C599" t="str">
            <v>Cây đại vượt mật độ</v>
          </cell>
          <cell r="D599" t="str">
            <v>10cm &lt; đk gốc ≤ 15cm</v>
          </cell>
          <cell r="E599">
            <v>6.666666666666667</v>
          </cell>
          <cell r="F599" t="str">
            <v>cây</v>
          </cell>
          <cell r="G599">
            <v>350000</v>
          </cell>
          <cell r="H599">
            <v>0.4</v>
          </cell>
          <cell r="J599">
            <v>21000</v>
          </cell>
        </row>
        <row r="600">
          <cell r="B600" t="str">
            <v>đại1520vmd</v>
          </cell>
          <cell r="C600" t="str">
            <v>Cây đại vượt mật độ</v>
          </cell>
          <cell r="D600" t="str">
            <v>15cm &lt; đk gốc ≤ 20cm</v>
          </cell>
          <cell r="E600">
            <v>6.666666666666667</v>
          </cell>
          <cell r="F600" t="str">
            <v>cây</v>
          </cell>
          <cell r="G600">
            <v>450000</v>
          </cell>
          <cell r="H600">
            <v>0.4</v>
          </cell>
          <cell r="J600">
            <v>27000</v>
          </cell>
        </row>
        <row r="601">
          <cell r="B601" t="str">
            <v>đại2030vmd</v>
          </cell>
          <cell r="C601" t="str">
            <v>Cây đại vượt mật độ</v>
          </cell>
          <cell r="D601" t="str">
            <v>20cm &lt; đk gốc ≤ 30cm</v>
          </cell>
          <cell r="E601">
            <v>6.666666666666667</v>
          </cell>
          <cell r="F601" t="str">
            <v>m2</v>
          </cell>
          <cell r="G601">
            <v>550000</v>
          </cell>
          <cell r="H601">
            <v>0.4</v>
          </cell>
          <cell r="J601">
            <v>33000</v>
          </cell>
        </row>
        <row r="602">
          <cell r="B602" t="str">
            <v>đại30+vmd</v>
          </cell>
          <cell r="C602" t="str">
            <v>Cây đại vượt mật độ</v>
          </cell>
          <cell r="D602" t="str">
            <v>đk gốc 30cm trở lên</v>
          </cell>
          <cell r="E602">
            <v>6.666666666666667</v>
          </cell>
          <cell r="F602" t="str">
            <v>cây</v>
          </cell>
          <cell r="G602">
            <v>650000</v>
          </cell>
          <cell r="H602">
            <v>0.4</v>
          </cell>
          <cell r="J602">
            <v>39000</v>
          </cell>
        </row>
        <row r="603">
          <cell r="C603" t="str">
            <v>Cây thiên tuế</v>
          </cell>
          <cell r="J603" t="e">
            <v>#DIV/0!</v>
          </cell>
        </row>
        <row r="604">
          <cell r="B604" t="str">
            <v>thientue01</v>
          </cell>
          <cell r="C604" t="str">
            <v>Cây thiên tuế</v>
          </cell>
          <cell r="D604" t="str">
            <v>đk gốc &gt; 0,5cm; H &gt; 40cm</v>
          </cell>
          <cell r="E604">
            <v>6.666666666666667</v>
          </cell>
          <cell r="F604" t="str">
            <v>cây</v>
          </cell>
          <cell r="G604">
            <v>50000</v>
          </cell>
          <cell r="H604">
            <v>0.5</v>
          </cell>
          <cell r="J604">
            <v>3750</v>
          </cell>
        </row>
        <row r="605">
          <cell r="B605" t="str">
            <v>thientue35</v>
          </cell>
          <cell r="C605" t="str">
            <v>Cây thiên tuế</v>
          </cell>
          <cell r="D605" t="str">
            <v>3cm &lt; đk gốc ≤ 5cm</v>
          </cell>
          <cell r="E605">
            <v>6.666666666666667</v>
          </cell>
          <cell r="F605" t="str">
            <v>cây</v>
          </cell>
          <cell r="G605">
            <v>80000</v>
          </cell>
          <cell r="H605">
            <v>0.5</v>
          </cell>
          <cell r="J605">
            <v>6000</v>
          </cell>
        </row>
        <row r="606">
          <cell r="B606" t="str">
            <v>thientue510</v>
          </cell>
          <cell r="C606" t="str">
            <v>Cây thiên tuế</v>
          </cell>
          <cell r="D606" t="str">
            <v>5cm &lt; đk gốc ≤ 10cm</v>
          </cell>
          <cell r="E606">
            <v>6.666666666666667</v>
          </cell>
          <cell r="F606" t="str">
            <v>cây</v>
          </cell>
          <cell r="G606">
            <v>130000</v>
          </cell>
          <cell r="H606">
            <v>0.5</v>
          </cell>
          <cell r="J606">
            <v>9750</v>
          </cell>
        </row>
        <row r="607">
          <cell r="B607" t="str">
            <v>thientue1015</v>
          </cell>
          <cell r="C607" t="str">
            <v>Cây thiên tuế</v>
          </cell>
          <cell r="D607" t="str">
            <v>10cm &lt; đk gốc ≤ 15cm</v>
          </cell>
          <cell r="E607">
            <v>6.666666666666667</v>
          </cell>
          <cell r="F607" t="str">
            <v>cây</v>
          </cell>
          <cell r="G607">
            <v>220000</v>
          </cell>
          <cell r="H607">
            <v>0.8</v>
          </cell>
          <cell r="J607">
            <v>26400</v>
          </cell>
        </row>
        <row r="608">
          <cell r="B608" t="str">
            <v>thientue1520</v>
          </cell>
          <cell r="C608" t="str">
            <v>Cây thiên tuế</v>
          </cell>
          <cell r="D608" t="str">
            <v>15cm &lt; đk gốc ≤ 20cm</v>
          </cell>
          <cell r="E608">
            <v>6.666666666666667</v>
          </cell>
          <cell r="F608" t="str">
            <v>cây</v>
          </cell>
          <cell r="G608">
            <v>300000</v>
          </cell>
          <cell r="H608">
            <v>0.8</v>
          </cell>
          <cell r="J608">
            <v>36000</v>
          </cell>
        </row>
        <row r="609">
          <cell r="B609" t="str">
            <v>thientue2030</v>
          </cell>
          <cell r="C609" t="str">
            <v>Cây thiên tuế</v>
          </cell>
          <cell r="D609" t="str">
            <v>20cm &lt; đk gốc ≤ 30cm</v>
          </cell>
          <cell r="E609">
            <v>6.666666666666667</v>
          </cell>
          <cell r="F609" t="str">
            <v>cây</v>
          </cell>
          <cell r="G609">
            <v>500000</v>
          </cell>
          <cell r="H609">
            <v>0.8</v>
          </cell>
          <cell r="J609">
            <v>60000</v>
          </cell>
        </row>
        <row r="610">
          <cell r="B610" t="str">
            <v>thientue30+</v>
          </cell>
          <cell r="C610" t="str">
            <v>Cây thiên tuế</v>
          </cell>
          <cell r="D610" t="str">
            <v>đk gốc 30cm trở lên</v>
          </cell>
          <cell r="E610">
            <v>6.666666666666667</v>
          </cell>
          <cell r="F610" t="str">
            <v>cây</v>
          </cell>
          <cell r="G610">
            <v>650000</v>
          </cell>
          <cell r="H610">
            <v>0.8</v>
          </cell>
          <cell r="J610">
            <v>78000</v>
          </cell>
        </row>
        <row r="611">
          <cell r="B611" t="str">
            <v>thientue01vmd</v>
          </cell>
          <cell r="C611" t="str">
            <v>Cây thiên tuế vượt mật độ</v>
          </cell>
          <cell r="D611" t="str">
            <v>đk gốc &gt; 0,5cm; H &gt; 40cm</v>
          </cell>
          <cell r="E611">
            <v>6.666666666666667</v>
          </cell>
          <cell r="F611" t="str">
            <v>cây</v>
          </cell>
          <cell r="G611">
            <v>50000</v>
          </cell>
          <cell r="H611">
            <v>0.25</v>
          </cell>
          <cell r="J611">
            <v>1875</v>
          </cell>
        </row>
        <row r="612">
          <cell r="B612" t="str">
            <v>thientue35vmd</v>
          </cell>
          <cell r="C612" t="str">
            <v>Cây thiên tuế vượt mật độ</v>
          </cell>
          <cell r="D612" t="str">
            <v>3cm &lt; đk gốc ≤ 5cm</v>
          </cell>
          <cell r="E612">
            <v>6.666666666666667</v>
          </cell>
          <cell r="F612" t="str">
            <v>cây</v>
          </cell>
          <cell r="G612">
            <v>80000</v>
          </cell>
          <cell r="H612">
            <v>0.25</v>
          </cell>
          <cell r="J612">
            <v>3000</v>
          </cell>
        </row>
        <row r="613">
          <cell r="B613" t="str">
            <v>thientue510vmd</v>
          </cell>
          <cell r="C613" t="str">
            <v>Cây thiên tuế vượt mật độ</v>
          </cell>
          <cell r="D613" t="str">
            <v>5cm &lt; đk gốc ≤ 10cm</v>
          </cell>
          <cell r="E613">
            <v>6.666666666666667</v>
          </cell>
          <cell r="F613" t="str">
            <v>cây</v>
          </cell>
          <cell r="G613">
            <v>130000</v>
          </cell>
          <cell r="H613">
            <v>0.25</v>
          </cell>
          <cell r="J613">
            <v>4875</v>
          </cell>
        </row>
        <row r="614">
          <cell r="B614" t="str">
            <v>thientue1015vmd</v>
          </cell>
          <cell r="C614" t="str">
            <v>Cây thiên tuế vượt mật độ</v>
          </cell>
          <cell r="D614" t="str">
            <v>10cm &lt; đk gốc ≤ 15cm</v>
          </cell>
          <cell r="E614">
            <v>6.666666666666667</v>
          </cell>
          <cell r="F614" t="str">
            <v>cây</v>
          </cell>
          <cell r="G614">
            <v>220000</v>
          </cell>
          <cell r="H614">
            <v>0.4</v>
          </cell>
          <cell r="J614">
            <v>13200</v>
          </cell>
        </row>
        <row r="615">
          <cell r="B615" t="str">
            <v>thientue1520vmd</v>
          </cell>
          <cell r="C615" t="str">
            <v>Cây thiên tuế vượt mật độ</v>
          </cell>
          <cell r="D615" t="str">
            <v>15cm &lt; đk gốc ≤ 20cm</v>
          </cell>
          <cell r="E615">
            <v>6.666666666666667</v>
          </cell>
          <cell r="F615" t="str">
            <v>cây</v>
          </cell>
          <cell r="G615">
            <v>300000</v>
          </cell>
          <cell r="H615">
            <v>0.4</v>
          </cell>
          <cell r="J615">
            <v>18000</v>
          </cell>
        </row>
        <row r="616">
          <cell r="B616" t="str">
            <v>thientue2030vmd</v>
          </cell>
          <cell r="C616" t="str">
            <v>Cây thiên tuế vượt mật độ</v>
          </cell>
          <cell r="D616" t="str">
            <v>20cm &lt; đk gốc ≤ 30cm</v>
          </cell>
          <cell r="E616">
            <v>6.666666666666667</v>
          </cell>
          <cell r="F616" t="str">
            <v>cây</v>
          </cell>
          <cell r="G616">
            <v>500000</v>
          </cell>
          <cell r="H616">
            <v>0.4</v>
          </cell>
          <cell r="J616">
            <v>30000</v>
          </cell>
        </row>
        <row r="617">
          <cell r="B617" t="str">
            <v>thientue30+vmd</v>
          </cell>
          <cell r="C617" t="str">
            <v>Cây thiên tuế vượt mật độ</v>
          </cell>
          <cell r="D617" t="str">
            <v>đk gốc 30cm trở lên</v>
          </cell>
          <cell r="E617">
            <v>6.666666666666667</v>
          </cell>
          <cell r="F617" t="str">
            <v>cây</v>
          </cell>
          <cell r="G617">
            <v>650000</v>
          </cell>
          <cell r="H617">
            <v>0.4</v>
          </cell>
          <cell r="J617">
            <v>39000</v>
          </cell>
        </row>
        <row r="618">
          <cell r="C618" t="str">
            <v>Cây Vạn tuế</v>
          </cell>
          <cell r="J618" t="e">
            <v>#DIV/0!</v>
          </cell>
        </row>
        <row r="619">
          <cell r="B619" t="str">
            <v>vantue01</v>
          </cell>
          <cell r="C619" t="str">
            <v>Cây Vạn tuế</v>
          </cell>
          <cell r="D619" t="str">
            <v>đk gốc &gt; 0,5cm; H &gt; 40cm</v>
          </cell>
          <cell r="E619">
            <v>6.666666666666667</v>
          </cell>
          <cell r="F619" t="str">
            <v>cây</v>
          </cell>
          <cell r="G619">
            <v>50000</v>
          </cell>
          <cell r="H619">
            <v>0.5</v>
          </cell>
          <cell r="J619">
            <v>3750</v>
          </cell>
        </row>
        <row r="620">
          <cell r="B620" t="str">
            <v>vantue35</v>
          </cell>
          <cell r="C620" t="str">
            <v>Cây Vạn tuế</v>
          </cell>
          <cell r="D620" t="str">
            <v>3cm &lt; đk gốc ≤ 5cm</v>
          </cell>
          <cell r="E620">
            <v>6.666666666666667</v>
          </cell>
          <cell r="F620" t="str">
            <v>cây</v>
          </cell>
          <cell r="G620">
            <v>80000</v>
          </cell>
          <cell r="H620">
            <v>0.5</v>
          </cell>
          <cell r="J620">
            <v>6000</v>
          </cell>
        </row>
        <row r="621">
          <cell r="B621" t="str">
            <v>vantue510</v>
          </cell>
          <cell r="C621" t="str">
            <v>Cây Vạn tuế</v>
          </cell>
          <cell r="D621" t="str">
            <v>5cm &lt; đk gốc ≤ 10cm</v>
          </cell>
          <cell r="E621">
            <v>6.666666666666667</v>
          </cell>
          <cell r="F621" t="str">
            <v>cây</v>
          </cell>
          <cell r="G621">
            <v>130000</v>
          </cell>
          <cell r="H621">
            <v>0.5</v>
          </cell>
          <cell r="J621">
            <v>9750</v>
          </cell>
        </row>
        <row r="622">
          <cell r="B622" t="str">
            <v>vantue1015</v>
          </cell>
          <cell r="C622" t="str">
            <v>Cây Vạn tuế</v>
          </cell>
          <cell r="D622" t="str">
            <v>10cm &lt; đk gốc ≤ 15cm</v>
          </cell>
          <cell r="E622">
            <v>6.666666666666667</v>
          </cell>
          <cell r="F622" t="str">
            <v>cây</v>
          </cell>
          <cell r="G622">
            <v>220000</v>
          </cell>
          <cell r="H622">
            <v>0.8</v>
          </cell>
          <cell r="J622">
            <v>26400</v>
          </cell>
        </row>
        <row r="623">
          <cell r="B623" t="str">
            <v>vantue1520</v>
          </cell>
          <cell r="C623" t="str">
            <v>Cây Vạn tuế</v>
          </cell>
          <cell r="D623" t="str">
            <v>15cm &lt; đk gốc ≤ 20cm</v>
          </cell>
          <cell r="E623">
            <v>6.666666666666667</v>
          </cell>
          <cell r="F623" t="str">
            <v>cây</v>
          </cell>
          <cell r="G623">
            <v>300000</v>
          </cell>
          <cell r="H623">
            <v>0.8</v>
          </cell>
          <cell r="J623">
            <v>36000</v>
          </cell>
        </row>
        <row r="624">
          <cell r="B624" t="str">
            <v>vantue2030</v>
          </cell>
          <cell r="C624" t="str">
            <v>Cây Vạn tuế</v>
          </cell>
          <cell r="D624" t="str">
            <v>20cm &lt; đk gốc ≤ 30cm</v>
          </cell>
          <cell r="E624">
            <v>6.666666666666667</v>
          </cell>
          <cell r="F624" t="str">
            <v>cây</v>
          </cell>
          <cell r="G624">
            <v>500000</v>
          </cell>
          <cell r="H624">
            <v>0.8</v>
          </cell>
          <cell r="J624">
            <v>60000</v>
          </cell>
        </row>
        <row r="625">
          <cell r="B625" t="str">
            <v>vantue30+</v>
          </cell>
          <cell r="C625" t="str">
            <v>Cây Vạn tuế</v>
          </cell>
          <cell r="D625" t="str">
            <v>đk gốc 30cm trở lên</v>
          </cell>
          <cell r="E625">
            <v>6.666666666666667</v>
          </cell>
          <cell r="F625" t="str">
            <v>cây</v>
          </cell>
          <cell r="G625">
            <v>650000</v>
          </cell>
          <cell r="H625">
            <v>0.8</v>
          </cell>
          <cell r="J625">
            <v>78000</v>
          </cell>
        </row>
        <row r="626">
          <cell r="B626" t="str">
            <v>vantue01vmd</v>
          </cell>
          <cell r="C626" t="str">
            <v>Cây Vạn tuế vượt mật độ</v>
          </cell>
          <cell r="D626" t="str">
            <v>đk gốc &gt; 0,5cm; H &gt; 40cm</v>
          </cell>
          <cell r="E626">
            <v>6.666666666666667</v>
          </cell>
          <cell r="F626" t="str">
            <v>cây</v>
          </cell>
          <cell r="G626">
            <v>50000</v>
          </cell>
          <cell r="H626">
            <v>0.25</v>
          </cell>
          <cell r="J626">
            <v>1875</v>
          </cell>
        </row>
        <row r="627">
          <cell r="B627" t="str">
            <v>vantue35vmd</v>
          </cell>
          <cell r="C627" t="str">
            <v>Cây Vạn tuế vượt mật độ</v>
          </cell>
          <cell r="D627" t="str">
            <v>3cm &lt; đk gốc ≤ 5cm</v>
          </cell>
          <cell r="E627">
            <v>6.666666666666667</v>
          </cell>
          <cell r="F627" t="str">
            <v>cây</v>
          </cell>
          <cell r="G627">
            <v>80000</v>
          </cell>
          <cell r="H627">
            <v>0.25</v>
          </cell>
          <cell r="J627">
            <v>3000</v>
          </cell>
        </row>
        <row r="628">
          <cell r="B628" t="str">
            <v>vantue510vmd</v>
          </cell>
          <cell r="C628" t="str">
            <v>Cây Vạn tuế vượt mật độ</v>
          </cell>
          <cell r="D628" t="str">
            <v>5cm &lt; đk gốc ≤ 10cm</v>
          </cell>
          <cell r="E628">
            <v>6.666666666666667</v>
          </cell>
          <cell r="F628" t="str">
            <v>cây</v>
          </cell>
          <cell r="G628">
            <v>130000</v>
          </cell>
          <cell r="H628">
            <v>0.25</v>
          </cell>
          <cell r="J628">
            <v>4875</v>
          </cell>
        </row>
        <row r="629">
          <cell r="B629" t="str">
            <v>vantue1015vmd</v>
          </cell>
          <cell r="C629" t="str">
            <v>Cây Vạn tuế vượt mật độ</v>
          </cell>
          <cell r="D629" t="str">
            <v>10cm &lt; đk gốc ≤ 15cm</v>
          </cell>
          <cell r="E629">
            <v>6.666666666666667</v>
          </cell>
          <cell r="F629" t="str">
            <v>cây</v>
          </cell>
          <cell r="G629">
            <v>220000</v>
          </cell>
          <cell r="H629">
            <v>0.4</v>
          </cell>
          <cell r="J629">
            <v>13200</v>
          </cell>
        </row>
        <row r="630">
          <cell r="B630" t="str">
            <v>vantue1520vmd</v>
          </cell>
          <cell r="C630" t="str">
            <v>Cây Vạn tuế vượt mật độ</v>
          </cell>
          <cell r="D630" t="str">
            <v>15cm &lt; đk gốc ≤ 20cm</v>
          </cell>
          <cell r="E630">
            <v>6.666666666666667</v>
          </cell>
          <cell r="F630" t="str">
            <v>cây</v>
          </cell>
          <cell r="G630">
            <v>300000</v>
          </cell>
          <cell r="H630">
            <v>0.4</v>
          </cell>
          <cell r="J630">
            <v>18000</v>
          </cell>
        </row>
        <row r="631">
          <cell r="B631" t="str">
            <v>vantue2030vmd</v>
          </cell>
          <cell r="C631" t="str">
            <v>Cây Vạn tuế vượt mật độ</v>
          </cell>
          <cell r="D631" t="str">
            <v>20cm &lt; đk gốc ≤ 30cm</v>
          </cell>
          <cell r="E631">
            <v>6.666666666666667</v>
          </cell>
          <cell r="F631" t="str">
            <v>cây</v>
          </cell>
          <cell r="G631">
            <v>500000</v>
          </cell>
          <cell r="H631">
            <v>0.4</v>
          </cell>
          <cell r="J631">
            <v>30000</v>
          </cell>
        </row>
        <row r="632">
          <cell r="B632" t="str">
            <v>vantue30+vmd</v>
          </cell>
          <cell r="C632" t="str">
            <v>Cây Vạn tuế vượt mật độ</v>
          </cell>
          <cell r="D632" t="str">
            <v>đk gốc 30cm trở lên</v>
          </cell>
          <cell r="E632">
            <v>6.666666666666667</v>
          </cell>
          <cell r="F632" t="str">
            <v>cây</v>
          </cell>
          <cell r="G632">
            <v>650000</v>
          </cell>
          <cell r="H632">
            <v>0.4</v>
          </cell>
          <cell r="J632">
            <v>39000</v>
          </cell>
        </row>
        <row r="633">
          <cell r="C633" t="str">
            <v>Hoa giấy</v>
          </cell>
          <cell r="J633" t="e">
            <v>#DIV/0!</v>
          </cell>
        </row>
        <row r="634">
          <cell r="B634" t="str">
            <v>hoagiay01</v>
          </cell>
          <cell r="C634" t="str">
            <v>Hoa giấy</v>
          </cell>
          <cell r="D634" t="str">
            <v>đk gốc &gt; 0,5cm; H &gt; 40cm</v>
          </cell>
          <cell r="E634">
            <v>5</v>
          </cell>
          <cell r="F634" t="str">
            <v>cây</v>
          </cell>
          <cell r="G634">
            <v>50000</v>
          </cell>
          <cell r="H634">
            <v>0.5</v>
          </cell>
          <cell r="J634">
            <v>5000</v>
          </cell>
        </row>
        <row r="635">
          <cell r="B635" t="str">
            <v>hoagiay13</v>
          </cell>
          <cell r="C635" t="str">
            <v>Hoa giấy</v>
          </cell>
          <cell r="D635" t="str">
            <v>1cm &lt; đk gốc ≤ 3cm</v>
          </cell>
          <cell r="E635">
            <v>5</v>
          </cell>
          <cell r="F635" t="str">
            <v>cây</v>
          </cell>
          <cell r="G635">
            <v>100000</v>
          </cell>
          <cell r="H635">
            <v>0.5</v>
          </cell>
          <cell r="J635">
            <v>10000</v>
          </cell>
        </row>
        <row r="636">
          <cell r="B636" t="str">
            <v>hoagiay35</v>
          </cell>
          <cell r="C636" t="str">
            <v>Hoa giấy</v>
          </cell>
          <cell r="D636" t="str">
            <v>3cm &lt; đk gốc ≤ 5cm</v>
          </cell>
          <cell r="E636">
            <v>5</v>
          </cell>
          <cell r="F636" t="str">
            <v>cây</v>
          </cell>
          <cell r="G636">
            <v>150000</v>
          </cell>
          <cell r="H636">
            <v>0.5</v>
          </cell>
          <cell r="J636">
            <v>15000</v>
          </cell>
        </row>
        <row r="637">
          <cell r="B637" t="str">
            <v>hoagiay5+</v>
          </cell>
          <cell r="C637" t="str">
            <v>Hoa giấy</v>
          </cell>
          <cell r="D637" t="str">
            <v>đk gốc 5cm trở lên</v>
          </cell>
          <cell r="E637">
            <v>5</v>
          </cell>
          <cell r="F637" t="str">
            <v>cây</v>
          </cell>
          <cell r="G637">
            <v>250000</v>
          </cell>
          <cell r="H637">
            <v>0.8</v>
          </cell>
          <cell r="J637">
            <v>40000</v>
          </cell>
        </row>
        <row r="638">
          <cell r="B638" t="str">
            <v>hoagiay01vmd</v>
          </cell>
          <cell r="C638" t="str">
            <v>Hoa giấy vượt mật độ</v>
          </cell>
          <cell r="D638" t="str">
            <v>đk gốc &gt; 0,5cm; H &gt; 40cm</v>
          </cell>
          <cell r="E638">
            <v>5</v>
          </cell>
          <cell r="F638" t="str">
            <v>cây</v>
          </cell>
          <cell r="G638">
            <v>50000</v>
          </cell>
          <cell r="H638">
            <v>0.25</v>
          </cell>
          <cell r="J638">
            <v>2500</v>
          </cell>
        </row>
        <row r="639">
          <cell r="B639" t="str">
            <v>hoagiay13vmd</v>
          </cell>
          <cell r="C639" t="str">
            <v>Hoa giấy vượt mật độ</v>
          </cell>
          <cell r="D639" t="str">
            <v>1cm &lt; đk gốc ≤ 3cm</v>
          </cell>
          <cell r="E639">
            <v>5</v>
          </cell>
          <cell r="F639" t="str">
            <v>cây</v>
          </cell>
          <cell r="G639">
            <v>100000</v>
          </cell>
          <cell r="H639">
            <v>0.25</v>
          </cell>
          <cell r="J639">
            <v>5000</v>
          </cell>
        </row>
        <row r="640">
          <cell r="B640" t="str">
            <v>hoagiay35vmd</v>
          </cell>
          <cell r="C640" t="str">
            <v>Hoa giấy vượt mật độ</v>
          </cell>
          <cell r="D640" t="str">
            <v>3cm &lt; đk gốc ≤ 5cm</v>
          </cell>
          <cell r="E640">
            <v>5</v>
          </cell>
          <cell r="F640" t="str">
            <v>cây</v>
          </cell>
          <cell r="G640">
            <v>150000</v>
          </cell>
          <cell r="H640">
            <v>0.25</v>
          </cell>
          <cell r="J640">
            <v>7500</v>
          </cell>
        </row>
        <row r="641">
          <cell r="B641" t="str">
            <v>hoagiay5+vmd</v>
          </cell>
          <cell r="C641" t="str">
            <v>Hoa giấy vượt mật độ</v>
          </cell>
          <cell r="D641" t="str">
            <v>đk gốc 5cm trở lên</v>
          </cell>
          <cell r="E641">
            <v>5</v>
          </cell>
          <cell r="F641" t="str">
            <v>cây</v>
          </cell>
          <cell r="G641">
            <v>250000</v>
          </cell>
          <cell r="H641">
            <v>0.4</v>
          </cell>
          <cell r="J641">
            <v>20000</v>
          </cell>
        </row>
        <row r="642">
          <cell r="C642" t="str">
            <v>Cây Đào</v>
          </cell>
          <cell r="J642" t="e">
            <v>#DIV/0!</v>
          </cell>
        </row>
        <row r="643">
          <cell r="B643" t="str">
            <v>Đào01</v>
          </cell>
          <cell r="C643" t="str">
            <v>Cây đào</v>
          </cell>
          <cell r="D643" t="str">
            <v>đk gốc &gt; 0,6cm; H &gt; 30cm</v>
          </cell>
          <cell r="E643">
            <v>5</v>
          </cell>
          <cell r="F643" t="str">
            <v>cây</v>
          </cell>
          <cell r="G643">
            <v>50000</v>
          </cell>
          <cell r="H643">
            <v>0.5</v>
          </cell>
          <cell r="J643">
            <v>5000</v>
          </cell>
        </row>
        <row r="644">
          <cell r="B644" t="str">
            <v>Đào12t</v>
          </cell>
          <cell r="C644" t="str">
            <v>Cây đào</v>
          </cell>
          <cell r="D644" t="str">
            <v>1cm &lt; đk gốc ≤ 2cm; H ≤ 50cm</v>
          </cell>
          <cell r="E644">
            <v>5</v>
          </cell>
          <cell r="F644" t="str">
            <v>cây</v>
          </cell>
          <cell r="G644">
            <v>70000</v>
          </cell>
          <cell r="H644">
            <v>0.5</v>
          </cell>
          <cell r="J644">
            <v>7000</v>
          </cell>
        </row>
        <row r="645">
          <cell r="B645" t="str">
            <v>Đào12c</v>
          </cell>
          <cell r="C645" t="str">
            <v>Cây đào</v>
          </cell>
          <cell r="D645" t="str">
            <v>1cm &lt; đk gốc ≤ 2cm; H &gt; 50cm</v>
          </cell>
          <cell r="E645">
            <v>5</v>
          </cell>
          <cell r="F645" t="str">
            <v>cây</v>
          </cell>
          <cell r="G645">
            <v>100000</v>
          </cell>
          <cell r="H645">
            <v>0.5</v>
          </cell>
          <cell r="J645">
            <v>10000</v>
          </cell>
        </row>
        <row r="646">
          <cell r="B646" t="str">
            <v>Đào23t</v>
          </cell>
          <cell r="C646" t="str">
            <v>Cây đào</v>
          </cell>
          <cell r="D646" t="str">
            <v>2cm &lt; đk gốc ≤ 3cm; H ≤ 100cm</v>
          </cell>
          <cell r="E646">
            <v>5</v>
          </cell>
          <cell r="F646" t="str">
            <v>cây</v>
          </cell>
          <cell r="G646">
            <v>120000</v>
          </cell>
          <cell r="H646">
            <v>0.5</v>
          </cell>
          <cell r="J646">
            <v>12000</v>
          </cell>
        </row>
        <row r="647">
          <cell r="B647" t="str">
            <v>Đào23c</v>
          </cell>
          <cell r="C647" t="str">
            <v>Cây đào</v>
          </cell>
          <cell r="D647" t="str">
            <v>2cm &lt; đk gốc ≤ 3cm; H &gt; 100cm</v>
          </cell>
          <cell r="E647">
            <v>5</v>
          </cell>
          <cell r="F647" t="str">
            <v>cây</v>
          </cell>
          <cell r="G647">
            <v>150000</v>
          </cell>
          <cell r="H647">
            <v>0.5</v>
          </cell>
          <cell r="J647">
            <v>15000</v>
          </cell>
        </row>
        <row r="648">
          <cell r="B648" t="str">
            <v>Đào34t</v>
          </cell>
          <cell r="C648" t="str">
            <v>Cây đào</v>
          </cell>
          <cell r="D648" t="str">
            <v>3cm &lt; đk gốc ≤ 4cm; H ≤ 150cm</v>
          </cell>
          <cell r="E648">
            <v>5</v>
          </cell>
          <cell r="F648" t="str">
            <v>cây</v>
          </cell>
          <cell r="G648">
            <v>200000</v>
          </cell>
          <cell r="H648">
            <v>0.5</v>
          </cell>
          <cell r="J648">
            <v>20000</v>
          </cell>
        </row>
        <row r="649">
          <cell r="B649" t="str">
            <v>Đào34c</v>
          </cell>
          <cell r="C649" t="str">
            <v>Cây đào</v>
          </cell>
          <cell r="D649" t="str">
            <v>3cm &lt; đk gốc ≤ 4cm; H &gt; 150cm</v>
          </cell>
          <cell r="E649">
            <v>5</v>
          </cell>
          <cell r="F649" t="str">
            <v>cây</v>
          </cell>
          <cell r="G649">
            <v>250000</v>
          </cell>
          <cell r="H649">
            <v>0.5</v>
          </cell>
          <cell r="J649">
            <v>25000</v>
          </cell>
        </row>
        <row r="650">
          <cell r="B650" t="str">
            <v>Đào45t</v>
          </cell>
          <cell r="C650" t="str">
            <v>Cây đào</v>
          </cell>
          <cell r="D650" t="str">
            <v>4cm &lt; đk gốc ≤ 5cm; H ≤ 150cm</v>
          </cell>
          <cell r="E650">
            <v>5</v>
          </cell>
          <cell r="F650" t="str">
            <v>cây</v>
          </cell>
          <cell r="G650">
            <v>300000</v>
          </cell>
          <cell r="H650">
            <v>0.5</v>
          </cell>
          <cell r="J650">
            <v>30000</v>
          </cell>
        </row>
        <row r="651">
          <cell r="B651" t="str">
            <v>Đào45c</v>
          </cell>
          <cell r="C651" t="str">
            <v>Cây đào</v>
          </cell>
          <cell r="D651" t="str">
            <v>4cm &lt; đk gốc ≤ 5cm; H &gt; 150cm</v>
          </cell>
          <cell r="E651">
            <v>5</v>
          </cell>
          <cell r="F651" t="str">
            <v>cây</v>
          </cell>
          <cell r="G651">
            <v>320000</v>
          </cell>
          <cell r="H651">
            <v>0.5</v>
          </cell>
          <cell r="J651">
            <v>32000</v>
          </cell>
        </row>
        <row r="652">
          <cell r="B652" t="str">
            <v>Đào510</v>
          </cell>
          <cell r="C652" t="str">
            <v>Cây đào</v>
          </cell>
          <cell r="D652" t="str">
            <v>5cm &lt; đk gốc ≤ 10cm; H &gt; 200cm</v>
          </cell>
          <cell r="E652">
            <v>5</v>
          </cell>
          <cell r="F652" t="str">
            <v>cây</v>
          </cell>
          <cell r="G652">
            <v>350000</v>
          </cell>
          <cell r="H652">
            <v>0.8</v>
          </cell>
          <cell r="J652">
            <v>56000</v>
          </cell>
        </row>
        <row r="653">
          <cell r="B653" t="str">
            <v>Đào10+</v>
          </cell>
          <cell r="C653" t="str">
            <v>Cây đào</v>
          </cell>
          <cell r="D653" t="str">
            <v>đk gốc 10cm trở lên</v>
          </cell>
          <cell r="E653">
            <v>5</v>
          </cell>
          <cell r="F653" t="str">
            <v>cây</v>
          </cell>
          <cell r="G653">
            <v>400000</v>
          </cell>
          <cell r="H653">
            <v>0.8</v>
          </cell>
          <cell r="J653">
            <v>64000</v>
          </cell>
        </row>
        <row r="654">
          <cell r="B654" t="str">
            <v>Đào01vmd</v>
          </cell>
          <cell r="C654" t="str">
            <v>Cây đào vượt mật độ</v>
          </cell>
          <cell r="D654" t="str">
            <v>đk gốc &gt; 0,6cm; H &gt; 30cm</v>
          </cell>
          <cell r="E654">
            <v>5</v>
          </cell>
          <cell r="F654" t="str">
            <v>cây</v>
          </cell>
          <cell r="G654">
            <v>50000</v>
          </cell>
          <cell r="H654">
            <v>0.25</v>
          </cell>
          <cell r="J654">
            <v>2500</v>
          </cell>
        </row>
        <row r="655">
          <cell r="B655" t="str">
            <v>Đào12tvmd</v>
          </cell>
          <cell r="C655" t="str">
            <v>Cây đào vượt mật độ</v>
          </cell>
          <cell r="D655" t="str">
            <v>1cm &lt; đk gốc ≤ 2cm; H ≤ 50cm</v>
          </cell>
          <cell r="E655">
            <v>5</v>
          </cell>
          <cell r="F655" t="str">
            <v>cây</v>
          </cell>
          <cell r="G655">
            <v>70000</v>
          </cell>
          <cell r="H655">
            <v>0.25</v>
          </cell>
          <cell r="J655">
            <v>3500</v>
          </cell>
        </row>
        <row r="656">
          <cell r="B656" t="str">
            <v>Đào12cvmd</v>
          </cell>
          <cell r="C656" t="str">
            <v>Cây đào vượt mật độ</v>
          </cell>
          <cell r="D656" t="str">
            <v>1cm &lt; đk gốc ≤ 2cm; H &gt; 50cm</v>
          </cell>
          <cell r="E656">
            <v>5</v>
          </cell>
          <cell r="F656" t="str">
            <v>cây</v>
          </cell>
          <cell r="G656">
            <v>100000</v>
          </cell>
          <cell r="H656">
            <v>0.25</v>
          </cell>
          <cell r="J656">
            <v>5000</v>
          </cell>
        </row>
        <row r="657">
          <cell r="B657" t="str">
            <v>Đào23tvmd</v>
          </cell>
          <cell r="C657" t="str">
            <v>Cây đào vượt mật độ</v>
          </cell>
          <cell r="D657" t="str">
            <v>2cm &lt; đk gốc ≤ 3cm; H ≤ 100cm</v>
          </cell>
          <cell r="E657">
            <v>5</v>
          </cell>
          <cell r="F657" t="str">
            <v>cây</v>
          </cell>
          <cell r="G657">
            <v>120000</v>
          </cell>
          <cell r="H657">
            <v>0.25</v>
          </cell>
          <cell r="J657">
            <v>6000</v>
          </cell>
        </row>
        <row r="658">
          <cell r="B658" t="str">
            <v>Đào23cvmd</v>
          </cell>
          <cell r="C658" t="str">
            <v>Cây đào vượt mật độ</v>
          </cell>
          <cell r="D658" t="str">
            <v>2cm &lt; đk gốc ≤ 3cm; H &gt; 100cm</v>
          </cell>
          <cell r="E658">
            <v>5</v>
          </cell>
          <cell r="F658" t="str">
            <v>cây</v>
          </cell>
          <cell r="G658">
            <v>150000</v>
          </cell>
          <cell r="H658">
            <v>0.25</v>
          </cell>
          <cell r="J658">
            <v>7500</v>
          </cell>
        </row>
        <row r="659">
          <cell r="B659" t="str">
            <v>Đào34tvmd</v>
          </cell>
          <cell r="C659" t="str">
            <v>Cây đào vượt mật độ</v>
          </cell>
          <cell r="D659" t="str">
            <v>3cm &lt; đk gốc ≤ 4cm; H ≤ 150cm</v>
          </cell>
          <cell r="E659">
            <v>5</v>
          </cell>
          <cell r="F659" t="str">
            <v>cây</v>
          </cell>
          <cell r="G659">
            <v>200000</v>
          </cell>
          <cell r="H659">
            <v>0.25</v>
          </cell>
          <cell r="J659">
            <v>10000</v>
          </cell>
        </row>
        <row r="660">
          <cell r="B660" t="str">
            <v>Đào34cvmd</v>
          </cell>
          <cell r="C660" t="str">
            <v>Cây đào vượt mật độ</v>
          </cell>
          <cell r="D660" t="str">
            <v>3cm &lt; đk gốc ≤ 4cm; H &gt; 150cm</v>
          </cell>
          <cell r="E660">
            <v>5</v>
          </cell>
          <cell r="F660" t="str">
            <v>cây</v>
          </cell>
          <cell r="G660">
            <v>250000</v>
          </cell>
          <cell r="H660">
            <v>0.25</v>
          </cell>
          <cell r="J660">
            <v>12500</v>
          </cell>
        </row>
        <row r="661">
          <cell r="B661" t="str">
            <v>Đào45tvmd</v>
          </cell>
          <cell r="C661" t="str">
            <v>Cây đào vượt mật độ</v>
          </cell>
          <cell r="D661" t="str">
            <v>4cm &lt; đk gốc ≤ 5cm; H ≤ 150cm</v>
          </cell>
          <cell r="E661">
            <v>5</v>
          </cell>
          <cell r="F661" t="str">
            <v>cây</v>
          </cell>
          <cell r="G661">
            <v>300000</v>
          </cell>
          <cell r="H661">
            <v>0.25</v>
          </cell>
          <cell r="J661">
            <v>15000</v>
          </cell>
        </row>
        <row r="662">
          <cell r="B662" t="str">
            <v>Đào45cvmd</v>
          </cell>
          <cell r="C662" t="str">
            <v>Cây đào vượt mật độ</v>
          </cell>
          <cell r="D662" t="str">
            <v>4cm &lt; đk gốc ≤ 5cm; H &gt; 150cm</v>
          </cell>
          <cell r="E662">
            <v>5</v>
          </cell>
          <cell r="F662" t="str">
            <v>cây</v>
          </cell>
          <cell r="G662">
            <v>320000</v>
          </cell>
          <cell r="H662">
            <v>0.25</v>
          </cell>
          <cell r="J662">
            <v>16000</v>
          </cell>
        </row>
        <row r="663">
          <cell r="B663" t="str">
            <v>Đào510vmd</v>
          </cell>
          <cell r="C663" t="str">
            <v>Cây đào vượt mật độ</v>
          </cell>
          <cell r="D663" t="str">
            <v>5cm &lt; đk gốc ≤ 10cm; H &gt; 200cm</v>
          </cell>
          <cell r="E663">
            <v>5</v>
          </cell>
          <cell r="F663" t="str">
            <v>cây</v>
          </cell>
          <cell r="G663">
            <v>350000</v>
          </cell>
          <cell r="H663">
            <v>0.4</v>
          </cell>
          <cell r="J663">
            <v>28000</v>
          </cell>
        </row>
        <row r="664">
          <cell r="B664" t="str">
            <v>Đào10+vmd</v>
          </cell>
          <cell r="C664" t="str">
            <v>Cây đào vượt mật độ</v>
          </cell>
          <cell r="D664" t="str">
            <v>đk gốc 10cm trở lên</v>
          </cell>
          <cell r="E664">
            <v>5</v>
          </cell>
          <cell r="F664" t="str">
            <v>cây</v>
          </cell>
          <cell r="G664">
            <v>400000</v>
          </cell>
          <cell r="H664">
            <v>0.4</v>
          </cell>
          <cell r="J664">
            <v>32000</v>
          </cell>
        </row>
        <row r="665">
          <cell r="C665" t="str">
            <v>Cây Mai</v>
          </cell>
          <cell r="J665" t="e">
            <v>#DIV/0!</v>
          </cell>
        </row>
        <row r="666">
          <cell r="B666" t="str">
            <v>mai01</v>
          </cell>
          <cell r="C666" t="str">
            <v>Cây mai</v>
          </cell>
          <cell r="D666" t="str">
            <v>đk gốc &gt; 0,6cm; H &gt; 30cm</v>
          </cell>
          <cell r="E666">
            <v>5</v>
          </cell>
          <cell r="F666" t="str">
            <v>cây</v>
          </cell>
          <cell r="G666">
            <v>50000</v>
          </cell>
          <cell r="H666">
            <v>0.5</v>
          </cell>
          <cell r="J666">
            <v>5000</v>
          </cell>
        </row>
        <row r="667">
          <cell r="B667" t="str">
            <v>mai12t</v>
          </cell>
          <cell r="C667" t="str">
            <v>Cây mai</v>
          </cell>
          <cell r="D667" t="str">
            <v>1cm &lt; đk gốc ≤ 2cm; H ≤ 50cm</v>
          </cell>
          <cell r="E667">
            <v>5</v>
          </cell>
          <cell r="F667" t="str">
            <v>cây</v>
          </cell>
          <cell r="G667">
            <v>70000</v>
          </cell>
          <cell r="H667">
            <v>0.5</v>
          </cell>
          <cell r="J667">
            <v>7000</v>
          </cell>
        </row>
        <row r="668">
          <cell r="B668" t="str">
            <v>mai12c</v>
          </cell>
          <cell r="C668" t="str">
            <v>Cây mai</v>
          </cell>
          <cell r="D668" t="str">
            <v>1cm &lt; đk gốc ≤ 2cm; H &gt; 50cm</v>
          </cell>
          <cell r="E668">
            <v>5</v>
          </cell>
          <cell r="F668" t="str">
            <v>cây</v>
          </cell>
          <cell r="G668">
            <v>100000</v>
          </cell>
          <cell r="H668">
            <v>0.5</v>
          </cell>
          <cell r="J668">
            <v>10000</v>
          </cell>
        </row>
        <row r="669">
          <cell r="B669" t="str">
            <v>mai23t</v>
          </cell>
          <cell r="C669" t="str">
            <v>Cây mai</v>
          </cell>
          <cell r="D669" t="str">
            <v>2cm &lt; đk gốc ≤ 3cm; H ≤ 100cm</v>
          </cell>
          <cell r="E669">
            <v>5</v>
          </cell>
          <cell r="F669" t="str">
            <v>cây</v>
          </cell>
          <cell r="G669">
            <v>120000</v>
          </cell>
          <cell r="H669">
            <v>0.5</v>
          </cell>
          <cell r="J669">
            <v>12000</v>
          </cell>
        </row>
        <row r="670">
          <cell r="B670" t="str">
            <v>mai23c</v>
          </cell>
          <cell r="C670" t="str">
            <v>Cây mai</v>
          </cell>
          <cell r="D670" t="str">
            <v>2cm &lt; đk gốc ≤ 3cm; H &gt; 100cm</v>
          </cell>
          <cell r="E670">
            <v>5</v>
          </cell>
          <cell r="F670" t="str">
            <v>cây</v>
          </cell>
          <cell r="G670">
            <v>150000</v>
          </cell>
          <cell r="H670">
            <v>0.5</v>
          </cell>
          <cell r="J670">
            <v>15000</v>
          </cell>
        </row>
        <row r="671">
          <cell r="B671" t="str">
            <v>mai34t</v>
          </cell>
          <cell r="C671" t="str">
            <v>Cây mai</v>
          </cell>
          <cell r="D671" t="str">
            <v>3cm &lt; đk gốc ≤ 4cm; H ≤ 150cm</v>
          </cell>
          <cell r="E671">
            <v>5</v>
          </cell>
          <cell r="F671" t="str">
            <v>cây</v>
          </cell>
          <cell r="G671">
            <v>200000</v>
          </cell>
          <cell r="H671">
            <v>0.5</v>
          </cell>
          <cell r="J671">
            <v>20000</v>
          </cell>
        </row>
        <row r="672">
          <cell r="B672" t="str">
            <v>mai34c</v>
          </cell>
          <cell r="C672" t="str">
            <v>Cây mai</v>
          </cell>
          <cell r="D672" t="str">
            <v>3cm &lt; đk gốc ≤ 4cm; H &gt; 150cm</v>
          </cell>
          <cell r="E672">
            <v>5</v>
          </cell>
          <cell r="F672" t="str">
            <v>cây</v>
          </cell>
          <cell r="G672">
            <v>250000</v>
          </cell>
          <cell r="H672">
            <v>0.5</v>
          </cell>
          <cell r="J672">
            <v>25000</v>
          </cell>
        </row>
        <row r="673">
          <cell r="B673" t="str">
            <v>mai45t</v>
          </cell>
          <cell r="C673" t="str">
            <v>Cây mai</v>
          </cell>
          <cell r="D673" t="str">
            <v>4cm &lt; đk gốc ≤ 5cm; H ≤ 150cm</v>
          </cell>
          <cell r="E673">
            <v>5</v>
          </cell>
          <cell r="F673" t="str">
            <v>cây</v>
          </cell>
          <cell r="G673">
            <v>300000</v>
          </cell>
          <cell r="H673">
            <v>0.5</v>
          </cell>
          <cell r="J673">
            <v>30000</v>
          </cell>
        </row>
        <row r="674">
          <cell r="B674" t="str">
            <v>mai45c</v>
          </cell>
          <cell r="C674" t="str">
            <v>Cây mai</v>
          </cell>
          <cell r="D674" t="str">
            <v>4cm &lt; đk gốc ≤ 5cm; H &gt; 150cm</v>
          </cell>
          <cell r="E674">
            <v>5</v>
          </cell>
          <cell r="F674" t="str">
            <v>cây</v>
          </cell>
          <cell r="G674">
            <v>320000</v>
          </cell>
          <cell r="H674">
            <v>0.5</v>
          </cell>
          <cell r="J674">
            <v>32000</v>
          </cell>
        </row>
        <row r="675">
          <cell r="B675" t="str">
            <v>mai510</v>
          </cell>
          <cell r="C675" t="str">
            <v>Cây mai</v>
          </cell>
          <cell r="D675" t="str">
            <v>5cm &lt; đk gốc ≤ 10cm; H &gt; 200cm</v>
          </cell>
          <cell r="E675">
            <v>5</v>
          </cell>
          <cell r="F675" t="str">
            <v>cây</v>
          </cell>
          <cell r="G675">
            <v>350000</v>
          </cell>
          <cell r="H675">
            <v>0.8</v>
          </cell>
          <cell r="J675">
            <v>56000</v>
          </cell>
        </row>
        <row r="676">
          <cell r="B676" t="str">
            <v>mai10+</v>
          </cell>
          <cell r="C676" t="str">
            <v>Cây mai</v>
          </cell>
          <cell r="D676" t="str">
            <v>đk gốc 10cm trở lên</v>
          </cell>
          <cell r="E676">
            <v>5</v>
          </cell>
          <cell r="F676" t="str">
            <v>cây</v>
          </cell>
          <cell r="G676">
            <v>400000</v>
          </cell>
          <cell r="H676">
            <v>0.8</v>
          </cell>
          <cell r="J676">
            <v>64000</v>
          </cell>
        </row>
        <row r="677">
          <cell r="B677" t="str">
            <v>mai01vmd</v>
          </cell>
          <cell r="C677" t="str">
            <v>Cây mai vượt mật độ</v>
          </cell>
          <cell r="D677" t="str">
            <v>đk gốc &gt; 0,6cm; H &gt; 30cm</v>
          </cell>
          <cell r="E677">
            <v>5</v>
          </cell>
          <cell r="F677" t="str">
            <v>cây</v>
          </cell>
          <cell r="G677">
            <v>50000</v>
          </cell>
          <cell r="H677">
            <v>0.25</v>
          </cell>
          <cell r="J677">
            <v>2500</v>
          </cell>
        </row>
        <row r="678">
          <cell r="B678" t="str">
            <v>mai12tvmd</v>
          </cell>
          <cell r="C678" t="str">
            <v>Cây mai vượt mật độ</v>
          </cell>
          <cell r="D678" t="str">
            <v>1cm &lt; đk gốc ≤ 2cm; H ≤ 50cm</v>
          </cell>
          <cell r="E678">
            <v>5</v>
          </cell>
          <cell r="F678" t="str">
            <v>cây</v>
          </cell>
          <cell r="G678">
            <v>70000</v>
          </cell>
          <cell r="H678">
            <v>0.25</v>
          </cell>
          <cell r="J678">
            <v>3500</v>
          </cell>
        </row>
        <row r="679">
          <cell r="B679" t="str">
            <v>mai12cvmd</v>
          </cell>
          <cell r="C679" t="str">
            <v>Cây mai vượt mật độ</v>
          </cell>
          <cell r="D679" t="str">
            <v>1cm &lt; đk gốc ≤ 2cm; H &gt; 50cm</v>
          </cell>
          <cell r="E679">
            <v>5</v>
          </cell>
          <cell r="F679" t="str">
            <v>cây</v>
          </cell>
          <cell r="G679">
            <v>100000</v>
          </cell>
          <cell r="H679">
            <v>0.25</v>
          </cell>
          <cell r="J679">
            <v>5000</v>
          </cell>
        </row>
        <row r="680">
          <cell r="B680" t="str">
            <v>mai23tvmd</v>
          </cell>
          <cell r="C680" t="str">
            <v>Cây mai vượt mật độ</v>
          </cell>
          <cell r="D680" t="str">
            <v>2cm &lt; đk gốc ≤ 3cm; H ≤ 100cm</v>
          </cell>
          <cell r="E680">
            <v>5</v>
          </cell>
          <cell r="F680" t="str">
            <v>cây</v>
          </cell>
          <cell r="G680">
            <v>120000</v>
          </cell>
          <cell r="H680">
            <v>0.25</v>
          </cell>
          <cell r="J680">
            <v>6000</v>
          </cell>
        </row>
        <row r="681">
          <cell r="B681" t="str">
            <v>mai23cvmd</v>
          </cell>
          <cell r="C681" t="str">
            <v>Cây mai vượt mật độ</v>
          </cell>
          <cell r="D681" t="str">
            <v>2cm &lt; đk gốc ≤ 3cm; H &gt; 100cm</v>
          </cell>
          <cell r="E681">
            <v>5</v>
          </cell>
          <cell r="F681" t="str">
            <v>cây</v>
          </cell>
          <cell r="G681">
            <v>150000</v>
          </cell>
          <cell r="H681">
            <v>0.25</v>
          </cell>
          <cell r="J681">
            <v>7500</v>
          </cell>
        </row>
        <row r="682">
          <cell r="B682" t="str">
            <v>mai34tvmd</v>
          </cell>
          <cell r="C682" t="str">
            <v>Cây mai vượt mật độ</v>
          </cell>
          <cell r="D682" t="str">
            <v>3cm &lt; đk gốc ≤ 4cm; H ≤ 150cm</v>
          </cell>
          <cell r="E682">
            <v>5</v>
          </cell>
          <cell r="F682" t="str">
            <v>cây</v>
          </cell>
          <cell r="G682">
            <v>200000</v>
          </cell>
          <cell r="H682">
            <v>0.25</v>
          </cell>
          <cell r="J682">
            <v>10000</v>
          </cell>
        </row>
        <row r="683">
          <cell r="B683" t="str">
            <v>mai34cvmd</v>
          </cell>
          <cell r="C683" t="str">
            <v>Cây mai vượt mật độ</v>
          </cell>
          <cell r="D683" t="str">
            <v>3cm &lt; đk gốc ≤ 4cm; H &gt; 150cm</v>
          </cell>
          <cell r="E683">
            <v>5</v>
          </cell>
          <cell r="F683" t="str">
            <v>cây</v>
          </cell>
          <cell r="G683">
            <v>250000</v>
          </cell>
          <cell r="H683">
            <v>0.25</v>
          </cell>
          <cell r="J683">
            <v>12500</v>
          </cell>
        </row>
        <row r="684">
          <cell r="B684" t="str">
            <v>mai45tvmd</v>
          </cell>
          <cell r="C684" t="str">
            <v>Cây mai vượt mật độ</v>
          </cell>
          <cell r="D684" t="str">
            <v>4cm &lt; đk gốc ≤ 5cm; H ≤ 150cm</v>
          </cell>
          <cell r="E684">
            <v>5</v>
          </cell>
          <cell r="F684" t="str">
            <v>cây</v>
          </cell>
          <cell r="G684">
            <v>300000</v>
          </cell>
          <cell r="H684">
            <v>0.25</v>
          </cell>
          <cell r="J684">
            <v>15000</v>
          </cell>
        </row>
        <row r="685">
          <cell r="B685" t="str">
            <v>mai45cvmd</v>
          </cell>
          <cell r="C685" t="str">
            <v>Cây mai vượt mật độ</v>
          </cell>
          <cell r="D685" t="str">
            <v>4cm &lt; đk gốc ≤ 5cm; H &gt; 150cm</v>
          </cell>
          <cell r="E685">
            <v>5</v>
          </cell>
          <cell r="F685" t="str">
            <v>cây</v>
          </cell>
          <cell r="G685">
            <v>320000</v>
          </cell>
          <cell r="H685">
            <v>0.25</v>
          </cell>
          <cell r="J685">
            <v>16000</v>
          </cell>
        </row>
        <row r="686">
          <cell r="B686" t="str">
            <v>mai510vmd</v>
          </cell>
          <cell r="C686" t="str">
            <v>Cây mai vượt mật độ</v>
          </cell>
          <cell r="D686" t="str">
            <v>5cm &lt; đk gốc ≤ 10cm; H &gt; 200cm</v>
          </cell>
          <cell r="E686">
            <v>5</v>
          </cell>
          <cell r="F686" t="str">
            <v>cây</v>
          </cell>
          <cell r="G686">
            <v>350000</v>
          </cell>
          <cell r="H686">
            <v>0.4</v>
          </cell>
          <cell r="J686">
            <v>28000</v>
          </cell>
        </row>
        <row r="687">
          <cell r="B687" t="str">
            <v>mai10+vmd</v>
          </cell>
          <cell r="C687" t="str">
            <v>Cây mai vượt mật độ</v>
          </cell>
          <cell r="D687" t="str">
            <v>đk gốc 10cm trở lên</v>
          </cell>
          <cell r="E687">
            <v>5</v>
          </cell>
          <cell r="F687" t="str">
            <v>cây</v>
          </cell>
          <cell r="G687">
            <v>400000</v>
          </cell>
          <cell r="H687">
            <v>0.4</v>
          </cell>
          <cell r="J687">
            <v>32000</v>
          </cell>
        </row>
        <row r="688">
          <cell r="C688" t="str">
            <v>Cây mận</v>
          </cell>
          <cell r="J688" t="e">
            <v>#DIV/0!</v>
          </cell>
        </row>
        <row r="689">
          <cell r="B689" t="str">
            <v>mận01</v>
          </cell>
          <cell r="C689" t="str">
            <v>Cây mận</v>
          </cell>
          <cell r="D689" t="str">
            <v>đk gốc &gt; 0,6cm; H &gt; 30cm</v>
          </cell>
          <cell r="E689">
            <v>5</v>
          </cell>
          <cell r="F689" t="str">
            <v>cây</v>
          </cell>
          <cell r="G689">
            <v>50000</v>
          </cell>
          <cell r="H689">
            <v>0.5</v>
          </cell>
          <cell r="J689">
            <v>5000</v>
          </cell>
        </row>
        <row r="690">
          <cell r="B690" t="str">
            <v>mận12t</v>
          </cell>
          <cell r="C690" t="str">
            <v>Cây mận</v>
          </cell>
          <cell r="D690" t="str">
            <v>1cm &lt; đk gốc ≤ 2cm; H ≤ 50cm</v>
          </cell>
          <cell r="E690">
            <v>5</v>
          </cell>
          <cell r="F690" t="str">
            <v>cây</v>
          </cell>
          <cell r="G690">
            <v>70000</v>
          </cell>
          <cell r="H690">
            <v>0.5</v>
          </cell>
          <cell r="J690">
            <v>7000</v>
          </cell>
        </row>
        <row r="691">
          <cell r="B691" t="str">
            <v>mận12c</v>
          </cell>
          <cell r="C691" t="str">
            <v>Cây mận</v>
          </cell>
          <cell r="D691" t="str">
            <v>1cm &lt; đk gốc ≤ 2cm; H &gt; 50cm</v>
          </cell>
          <cell r="E691">
            <v>5</v>
          </cell>
          <cell r="F691" t="str">
            <v>cây</v>
          </cell>
          <cell r="G691">
            <v>100000</v>
          </cell>
          <cell r="H691">
            <v>0.5</v>
          </cell>
          <cell r="J691">
            <v>10000</v>
          </cell>
        </row>
        <row r="692">
          <cell r="B692" t="str">
            <v>mận23t</v>
          </cell>
          <cell r="C692" t="str">
            <v>Cây mận</v>
          </cell>
          <cell r="D692" t="str">
            <v>2cm &lt; đk gốc ≤ 3cm; H ≤ 100cm</v>
          </cell>
          <cell r="E692">
            <v>5</v>
          </cell>
          <cell r="F692" t="str">
            <v>cây</v>
          </cell>
          <cell r="G692">
            <v>120000</v>
          </cell>
          <cell r="H692">
            <v>0.5</v>
          </cell>
          <cell r="J692">
            <v>12000</v>
          </cell>
        </row>
        <row r="693">
          <cell r="B693" t="str">
            <v>mận23c</v>
          </cell>
          <cell r="C693" t="str">
            <v>Cây mận</v>
          </cell>
          <cell r="D693" t="str">
            <v>2cm &lt; đk gốc ≤ 3cm; H &gt; 100cm</v>
          </cell>
          <cell r="E693">
            <v>5</v>
          </cell>
          <cell r="F693" t="str">
            <v>cây</v>
          </cell>
          <cell r="G693">
            <v>150000</v>
          </cell>
          <cell r="H693">
            <v>0.5</v>
          </cell>
          <cell r="J693">
            <v>15000</v>
          </cell>
        </row>
        <row r="694">
          <cell r="B694" t="str">
            <v>mận34t</v>
          </cell>
          <cell r="C694" t="str">
            <v>Cây mận</v>
          </cell>
          <cell r="D694" t="str">
            <v>3cm &lt; đk gốc ≤ 4cm; H ≤ 150cm</v>
          </cell>
          <cell r="E694">
            <v>5</v>
          </cell>
          <cell r="F694" t="str">
            <v>cây</v>
          </cell>
          <cell r="G694">
            <v>200000</v>
          </cell>
          <cell r="H694">
            <v>0.5</v>
          </cell>
          <cell r="J694">
            <v>20000</v>
          </cell>
        </row>
        <row r="695">
          <cell r="B695" t="str">
            <v>mận34c</v>
          </cell>
          <cell r="C695" t="str">
            <v>Cây mận</v>
          </cell>
          <cell r="D695" t="str">
            <v>3cm &lt; đk gốc ≤ 4cm; H &gt; 150cm</v>
          </cell>
          <cell r="E695">
            <v>5</v>
          </cell>
          <cell r="F695" t="str">
            <v>cây</v>
          </cell>
          <cell r="G695">
            <v>250000</v>
          </cell>
          <cell r="H695">
            <v>0.5</v>
          </cell>
          <cell r="J695">
            <v>25000</v>
          </cell>
        </row>
        <row r="696">
          <cell r="B696" t="str">
            <v>mận45t</v>
          </cell>
          <cell r="C696" t="str">
            <v>Cây mận</v>
          </cell>
          <cell r="D696" t="str">
            <v>4cm &lt; đk gốc ≤ 5cm; H ≤ 150cm</v>
          </cell>
          <cell r="E696">
            <v>5</v>
          </cell>
          <cell r="F696" t="str">
            <v>cây</v>
          </cell>
          <cell r="G696">
            <v>300000</v>
          </cell>
          <cell r="H696">
            <v>0.5</v>
          </cell>
          <cell r="J696">
            <v>30000</v>
          </cell>
        </row>
        <row r="697">
          <cell r="B697" t="str">
            <v>mận45c</v>
          </cell>
          <cell r="C697" t="str">
            <v>Cây mận</v>
          </cell>
          <cell r="D697" t="str">
            <v>4cm &lt; đk gốc ≤ 5cm; H &gt; 150cm</v>
          </cell>
          <cell r="E697">
            <v>5</v>
          </cell>
          <cell r="F697" t="str">
            <v>cây</v>
          </cell>
          <cell r="G697">
            <v>320000</v>
          </cell>
          <cell r="H697">
            <v>0.5</v>
          </cell>
          <cell r="J697">
            <v>32000</v>
          </cell>
        </row>
        <row r="698">
          <cell r="B698" t="str">
            <v>mận510</v>
          </cell>
          <cell r="C698" t="str">
            <v>Cây mận</v>
          </cell>
          <cell r="D698" t="str">
            <v>5cm &lt; đk gốc ≤ 10cm; H &gt; 200cm</v>
          </cell>
          <cell r="E698">
            <v>5</v>
          </cell>
          <cell r="F698" t="str">
            <v>cây</v>
          </cell>
          <cell r="G698">
            <v>350000</v>
          </cell>
          <cell r="H698">
            <v>0.8</v>
          </cell>
          <cell r="J698">
            <v>56000</v>
          </cell>
        </row>
        <row r="699">
          <cell r="B699" t="str">
            <v>mận10+</v>
          </cell>
          <cell r="C699" t="str">
            <v>Cây mận</v>
          </cell>
          <cell r="D699" t="str">
            <v>đk gốc 10cm trở lên</v>
          </cell>
          <cell r="E699">
            <v>5</v>
          </cell>
          <cell r="F699" t="str">
            <v>cây</v>
          </cell>
          <cell r="G699">
            <v>400000</v>
          </cell>
          <cell r="H699">
            <v>0.8</v>
          </cell>
          <cell r="J699">
            <v>64000</v>
          </cell>
        </row>
        <row r="700">
          <cell r="B700" t="str">
            <v>mận01vmd</v>
          </cell>
          <cell r="C700" t="str">
            <v>Cây mận vượt mật độ</v>
          </cell>
          <cell r="D700" t="str">
            <v>đk gốc &gt; 0,6cm; H &gt; 30cm</v>
          </cell>
          <cell r="E700">
            <v>5</v>
          </cell>
          <cell r="F700" t="str">
            <v>cây</v>
          </cell>
          <cell r="G700">
            <v>50000</v>
          </cell>
          <cell r="H700">
            <v>0.25</v>
          </cell>
          <cell r="J700">
            <v>2500</v>
          </cell>
        </row>
        <row r="701">
          <cell r="B701" t="str">
            <v>mận12tvmd</v>
          </cell>
          <cell r="C701" t="str">
            <v>Cây mận vượt mật độ</v>
          </cell>
          <cell r="D701" t="str">
            <v>1cm &lt; đk gốc ≤ 2cm; H ≤ 50cm</v>
          </cell>
          <cell r="E701">
            <v>5</v>
          </cell>
          <cell r="F701" t="str">
            <v>cây</v>
          </cell>
          <cell r="G701">
            <v>70000</v>
          </cell>
          <cell r="H701">
            <v>0.25</v>
          </cell>
          <cell r="J701">
            <v>3500</v>
          </cell>
        </row>
        <row r="702">
          <cell r="B702" t="str">
            <v>mận12cvmd</v>
          </cell>
          <cell r="C702" t="str">
            <v>Cây mận vượt mật độ</v>
          </cell>
          <cell r="D702" t="str">
            <v>1cm &lt; đk gốc ≤ 2cm; H &gt; 50cm</v>
          </cell>
          <cell r="E702">
            <v>5</v>
          </cell>
          <cell r="F702" t="str">
            <v>cây</v>
          </cell>
          <cell r="G702">
            <v>100000</v>
          </cell>
          <cell r="H702">
            <v>0.25</v>
          </cell>
          <cell r="J702">
            <v>5000</v>
          </cell>
        </row>
        <row r="703">
          <cell r="B703" t="str">
            <v>mận23tvmd</v>
          </cell>
          <cell r="C703" t="str">
            <v>Cây mận vượt mật độ</v>
          </cell>
          <cell r="D703" t="str">
            <v>2cm &lt; đk gốc ≤ 3cm; H ≤ 100cm</v>
          </cell>
          <cell r="E703">
            <v>5</v>
          </cell>
          <cell r="F703" t="str">
            <v>cây</v>
          </cell>
          <cell r="G703">
            <v>120000</v>
          </cell>
          <cell r="H703">
            <v>0.25</v>
          </cell>
          <cell r="J703">
            <v>6000</v>
          </cell>
        </row>
        <row r="704">
          <cell r="B704" t="str">
            <v>mận23cvmd</v>
          </cell>
          <cell r="C704" t="str">
            <v>Cây mận vượt mật độ</v>
          </cell>
          <cell r="D704" t="str">
            <v>2cm &lt; đk gốc ≤ 3cm; H &gt; 100cm</v>
          </cell>
          <cell r="E704">
            <v>5</v>
          </cell>
          <cell r="F704" t="str">
            <v>cây</v>
          </cell>
          <cell r="G704">
            <v>150000</v>
          </cell>
          <cell r="H704">
            <v>0.25</v>
          </cell>
          <cell r="J704">
            <v>7500</v>
          </cell>
        </row>
        <row r="705">
          <cell r="B705" t="str">
            <v>mận34tvmd</v>
          </cell>
          <cell r="C705" t="str">
            <v>Cây mận vượt mật độ</v>
          </cell>
          <cell r="D705" t="str">
            <v>3cm &lt; đk gốc ≤ 4cm; H ≤ 150cm</v>
          </cell>
          <cell r="E705">
            <v>5</v>
          </cell>
          <cell r="F705" t="str">
            <v>cây</v>
          </cell>
          <cell r="G705">
            <v>200000</v>
          </cell>
          <cell r="H705">
            <v>0.25</v>
          </cell>
          <cell r="J705">
            <v>10000</v>
          </cell>
        </row>
        <row r="706">
          <cell r="B706" t="str">
            <v>mận34cvmd</v>
          </cell>
          <cell r="C706" t="str">
            <v>Cây mận vượt mật độ</v>
          </cell>
          <cell r="D706" t="str">
            <v>3cm &lt; đk gốc ≤ 4cm; H &gt; 150cm</v>
          </cell>
          <cell r="E706">
            <v>5</v>
          </cell>
          <cell r="F706" t="str">
            <v>cây</v>
          </cell>
          <cell r="G706">
            <v>250000</v>
          </cell>
          <cell r="H706">
            <v>0.25</v>
          </cell>
          <cell r="J706">
            <v>12500</v>
          </cell>
        </row>
        <row r="707">
          <cell r="B707" t="str">
            <v>mận45tvmd</v>
          </cell>
          <cell r="C707" t="str">
            <v>Cây mận vượt mật độ</v>
          </cell>
          <cell r="D707" t="str">
            <v>4cm &lt; đk gốc ≤ 5cm; H ≤ 150cm</v>
          </cell>
          <cell r="E707">
            <v>5</v>
          </cell>
          <cell r="F707" t="str">
            <v>cây</v>
          </cell>
          <cell r="G707">
            <v>300000</v>
          </cell>
          <cell r="H707">
            <v>0.25</v>
          </cell>
          <cell r="J707">
            <v>15000</v>
          </cell>
        </row>
        <row r="708">
          <cell r="B708" t="str">
            <v>mận45cvmd</v>
          </cell>
          <cell r="C708" t="str">
            <v>Cây mận vượt mật độ</v>
          </cell>
          <cell r="D708" t="str">
            <v>4cm &lt; đk gốc ≤ 5cm; H &gt; 150cm</v>
          </cell>
          <cell r="E708">
            <v>5</v>
          </cell>
          <cell r="F708" t="str">
            <v>cây</v>
          </cell>
          <cell r="G708">
            <v>320000</v>
          </cell>
          <cell r="H708">
            <v>0.25</v>
          </cell>
          <cell r="J708">
            <v>16000</v>
          </cell>
        </row>
        <row r="709">
          <cell r="B709" t="str">
            <v>mận510vmd</v>
          </cell>
          <cell r="C709" t="str">
            <v>Cây mận vượt mật độ</v>
          </cell>
          <cell r="D709" t="str">
            <v>5cm &lt; đk gốc ≤ 10cm; H &gt; 200cm</v>
          </cell>
          <cell r="E709">
            <v>5</v>
          </cell>
          <cell r="F709" t="str">
            <v>cây</v>
          </cell>
          <cell r="G709">
            <v>350000</v>
          </cell>
          <cell r="H709">
            <v>0.4</v>
          </cell>
          <cell r="J709">
            <v>28000</v>
          </cell>
        </row>
        <row r="710">
          <cell r="B710" t="str">
            <v>mận10+vmd</v>
          </cell>
          <cell r="C710" t="str">
            <v>Cây mận vượt mật độ</v>
          </cell>
          <cell r="D710" t="str">
            <v>đk gốc 10cm trở lên</v>
          </cell>
          <cell r="E710">
            <v>5</v>
          </cell>
          <cell r="F710" t="str">
            <v>cây</v>
          </cell>
          <cell r="G710">
            <v>400000</v>
          </cell>
          <cell r="H710">
            <v>0.4</v>
          </cell>
          <cell r="J710">
            <v>32000</v>
          </cell>
        </row>
        <row r="711">
          <cell r="J711" t="e">
            <v>#DIV/0!</v>
          </cell>
        </row>
        <row r="712">
          <cell r="B712" t="str">
            <v>cỏ</v>
          </cell>
          <cell r="C712" t="str">
            <v>Cỏ trồng chăn nuôi</v>
          </cell>
          <cell r="D712" t="str">
            <v>toàn diện tích</v>
          </cell>
          <cell r="F712" t="str">
            <v>m2</v>
          </cell>
          <cell r="G712">
            <v>7000</v>
          </cell>
          <cell r="H712">
            <v>1</v>
          </cell>
          <cell r="J712" t="e">
            <v>#DIV/0!</v>
          </cell>
        </row>
        <row r="713">
          <cell r="B713" t="str">
            <v>cỏ nhung</v>
          </cell>
          <cell r="C713" t="str">
            <v>Coe nhung</v>
          </cell>
          <cell r="D713" t="str">
            <v>toàn diện tích</v>
          </cell>
          <cell r="F713" t="str">
            <v>m2</v>
          </cell>
          <cell r="G713">
            <v>40000</v>
          </cell>
          <cell r="H713">
            <v>1</v>
          </cell>
          <cell r="J713" t="e">
            <v>#DIV/0!</v>
          </cell>
        </row>
        <row r="714">
          <cell r="C714" t="str">
            <v>Cây tre</v>
          </cell>
          <cell r="J714" t="e">
            <v>#DIV/0!</v>
          </cell>
        </row>
        <row r="715">
          <cell r="B715" t="str">
            <v>tre12</v>
          </cell>
          <cell r="C715" t="str">
            <v>Cây tre</v>
          </cell>
          <cell r="D715" t="str">
            <v>Khóm từ 1-2 cây</v>
          </cell>
          <cell r="E715">
            <v>1.25</v>
          </cell>
          <cell r="F715" t="str">
            <v>khóm</v>
          </cell>
          <cell r="G715">
            <v>50000</v>
          </cell>
          <cell r="H715">
            <v>0.8</v>
          </cell>
          <cell r="J715">
            <v>32000</v>
          </cell>
        </row>
        <row r="716">
          <cell r="B716" t="str">
            <v>tre34</v>
          </cell>
          <cell r="C716" t="str">
            <v>Cây tre</v>
          </cell>
          <cell r="D716" t="str">
            <v>Khóm từ 3-4 cây</v>
          </cell>
          <cell r="E716">
            <v>1.25</v>
          </cell>
          <cell r="F716" t="str">
            <v>khóm</v>
          </cell>
          <cell r="G716">
            <v>100000</v>
          </cell>
          <cell r="H716">
            <v>0.8</v>
          </cell>
          <cell r="J716">
            <v>64000</v>
          </cell>
        </row>
        <row r="717">
          <cell r="B717" t="str">
            <v>tre5+</v>
          </cell>
          <cell r="C717" t="str">
            <v>Cây tre</v>
          </cell>
          <cell r="D717" t="str">
            <v>Khóm trên 5 cây</v>
          </cell>
          <cell r="E717">
            <v>1.25</v>
          </cell>
          <cell r="F717" t="str">
            <v>khóm</v>
          </cell>
          <cell r="G717">
            <v>150000</v>
          </cell>
          <cell r="H717">
            <v>0.8</v>
          </cell>
          <cell r="J717">
            <v>96000</v>
          </cell>
        </row>
        <row r="718">
          <cell r="B718" t="str">
            <v>tre12vmd</v>
          </cell>
          <cell r="C718" t="str">
            <v>Cây tre vượt mật độ</v>
          </cell>
          <cell r="D718" t="str">
            <v>Khóm từ 1-2 cây</v>
          </cell>
          <cell r="E718">
            <v>1.25</v>
          </cell>
          <cell r="F718" t="str">
            <v>khóm</v>
          </cell>
          <cell r="G718">
            <v>50000</v>
          </cell>
          <cell r="H718">
            <v>0.4</v>
          </cell>
          <cell r="J718">
            <v>16000</v>
          </cell>
        </row>
        <row r="719">
          <cell r="B719" t="str">
            <v>tre34vmd</v>
          </cell>
          <cell r="C719" t="str">
            <v>Cây tre vượt mật độ</v>
          </cell>
          <cell r="D719" t="str">
            <v>Khóm từ 3-4 cây</v>
          </cell>
          <cell r="E719">
            <v>1.25</v>
          </cell>
          <cell r="F719" t="str">
            <v>khóm</v>
          </cell>
          <cell r="G719">
            <v>100000</v>
          </cell>
          <cell r="H719">
            <v>0.4</v>
          </cell>
          <cell r="J719">
            <v>32000</v>
          </cell>
        </row>
        <row r="720">
          <cell r="B720" t="str">
            <v>tre5+vmd</v>
          </cell>
          <cell r="C720" t="str">
            <v>Cây tre vượt mật độ</v>
          </cell>
          <cell r="D720" t="str">
            <v>Khóm trên 5 cây</v>
          </cell>
          <cell r="E720">
            <v>1.25</v>
          </cell>
          <cell r="F720" t="str">
            <v>khóm</v>
          </cell>
          <cell r="G720">
            <v>150000</v>
          </cell>
          <cell r="H720">
            <v>0.4</v>
          </cell>
          <cell r="J720">
            <v>48000</v>
          </cell>
        </row>
        <row r="721">
          <cell r="C721" t="str">
            <v>Cây trúc</v>
          </cell>
          <cell r="J721" t="e">
            <v>#DIV/0!</v>
          </cell>
        </row>
        <row r="722">
          <cell r="B722" t="str">
            <v>trúc12</v>
          </cell>
          <cell r="C722" t="str">
            <v>Cây trúc</v>
          </cell>
          <cell r="D722" t="str">
            <v>Khóm từ 1-2 cây</v>
          </cell>
          <cell r="E722">
            <v>1.25</v>
          </cell>
          <cell r="F722" t="str">
            <v>khóm</v>
          </cell>
          <cell r="G722">
            <v>50000</v>
          </cell>
          <cell r="H722">
            <v>0.8</v>
          </cell>
          <cell r="J722">
            <v>32000</v>
          </cell>
        </row>
        <row r="723">
          <cell r="B723" t="str">
            <v>trúc34</v>
          </cell>
          <cell r="C723" t="str">
            <v>Cây trúc</v>
          </cell>
          <cell r="D723" t="str">
            <v>Khóm từ 3-4 cây</v>
          </cell>
          <cell r="E723">
            <v>1.25</v>
          </cell>
          <cell r="F723" t="str">
            <v>khóm</v>
          </cell>
          <cell r="G723">
            <v>100000</v>
          </cell>
          <cell r="H723">
            <v>0.8</v>
          </cell>
          <cell r="J723">
            <v>64000</v>
          </cell>
        </row>
        <row r="724">
          <cell r="B724" t="str">
            <v>trúc5+</v>
          </cell>
          <cell r="C724" t="str">
            <v>Cây trúc</v>
          </cell>
          <cell r="D724" t="str">
            <v>Khóm trên 5 cây</v>
          </cell>
          <cell r="E724">
            <v>1.25</v>
          </cell>
          <cell r="F724" t="str">
            <v>khóm</v>
          </cell>
          <cell r="G724">
            <v>150000</v>
          </cell>
          <cell r="H724">
            <v>0.8</v>
          </cell>
          <cell r="J724">
            <v>96000</v>
          </cell>
        </row>
        <row r="725">
          <cell r="B725" t="str">
            <v>trúc12vmd</v>
          </cell>
          <cell r="C725" t="str">
            <v>Cây trúc vượt mật độ</v>
          </cell>
          <cell r="D725" t="str">
            <v>Khóm từ 1-2 cây</v>
          </cell>
          <cell r="E725">
            <v>1.25</v>
          </cell>
          <cell r="F725" t="str">
            <v>khóm</v>
          </cell>
          <cell r="G725">
            <v>50000</v>
          </cell>
          <cell r="H725">
            <v>0.4</v>
          </cell>
          <cell r="J725">
            <v>16000</v>
          </cell>
        </row>
        <row r="726">
          <cell r="B726" t="str">
            <v>trúc34vmd</v>
          </cell>
          <cell r="C726" t="str">
            <v>Cây trúc vượt mật độ</v>
          </cell>
          <cell r="D726" t="str">
            <v>Khóm từ 3-4 cây</v>
          </cell>
          <cell r="E726">
            <v>1.25</v>
          </cell>
          <cell r="F726" t="str">
            <v>khóm</v>
          </cell>
          <cell r="G726">
            <v>100000</v>
          </cell>
          <cell r="H726">
            <v>0.4</v>
          </cell>
          <cell r="J726">
            <v>32000</v>
          </cell>
        </row>
        <row r="727">
          <cell r="B727" t="str">
            <v>trúc5+vmd</v>
          </cell>
          <cell r="C727" t="str">
            <v>Cây trúc vượt mật độ</v>
          </cell>
          <cell r="D727" t="str">
            <v>Khóm trên 5 cây</v>
          </cell>
          <cell r="E727">
            <v>1.25</v>
          </cell>
          <cell r="F727" t="str">
            <v>khóm</v>
          </cell>
          <cell r="G727">
            <v>150000</v>
          </cell>
          <cell r="H727">
            <v>0.4</v>
          </cell>
          <cell r="J727">
            <v>48000</v>
          </cell>
        </row>
        <row r="728">
          <cell r="C728" t="str">
            <v>Nhóm cây dược liệu</v>
          </cell>
          <cell r="J728" t="e">
            <v>#DIV/0!</v>
          </cell>
        </row>
        <row r="729">
          <cell r="B729" t="str">
            <v>cúc tần</v>
          </cell>
          <cell r="C729" t="str">
            <v>Cúc tần</v>
          </cell>
          <cell r="D729" t="str">
            <v>toàn diện tích</v>
          </cell>
          <cell r="F729" t="str">
            <v>m2</v>
          </cell>
          <cell r="G729">
            <v>18500</v>
          </cell>
          <cell r="H729">
            <v>1</v>
          </cell>
          <cell r="J729" t="e">
            <v>#DIV/0!</v>
          </cell>
        </row>
        <row r="730">
          <cell r="B730" t="str">
            <v>sả</v>
          </cell>
          <cell r="C730" t="str">
            <v>Sả</v>
          </cell>
          <cell r="D730" t="str">
            <v>toàn diện tích</v>
          </cell>
          <cell r="F730" t="str">
            <v>m2</v>
          </cell>
          <cell r="G730">
            <v>20000</v>
          </cell>
          <cell r="H730">
            <v>1</v>
          </cell>
          <cell r="J730" t="e">
            <v>#DIV/0!</v>
          </cell>
        </row>
        <row r="731">
          <cell r="B731" t="str">
            <v>trầu không</v>
          </cell>
          <cell r="C731" t="str">
            <v>Trầu không</v>
          </cell>
          <cell r="D731" t="str">
            <v>toàn diện tích</v>
          </cell>
          <cell r="F731" t="str">
            <v>m2</v>
          </cell>
          <cell r="G731">
            <v>20000</v>
          </cell>
          <cell r="H731">
            <v>1</v>
          </cell>
          <cell r="J731" t="e">
            <v>#DIV/0!</v>
          </cell>
        </row>
        <row r="732">
          <cell r="B732" t="str">
            <v>Gừng</v>
          </cell>
          <cell r="C732" t="str">
            <v>Gừng</v>
          </cell>
          <cell r="D732" t="str">
            <v>toàn diện tích</v>
          </cell>
          <cell r="F732" t="str">
            <v>m2</v>
          </cell>
          <cell r="G732">
            <v>30000</v>
          </cell>
          <cell r="H732">
            <v>1</v>
          </cell>
          <cell r="J732" t="e">
            <v>#DIV/0!</v>
          </cell>
        </row>
        <row r="733">
          <cell r="B733" t="str">
            <v>giềng</v>
          </cell>
          <cell r="C733" t="str">
            <v>Giềng</v>
          </cell>
          <cell r="D733" t="str">
            <v>toàn diện tích</v>
          </cell>
          <cell r="F733" t="str">
            <v>m2</v>
          </cell>
          <cell r="G733">
            <v>30000</v>
          </cell>
          <cell r="H733">
            <v>1</v>
          </cell>
          <cell r="J733" t="e">
            <v>#DIV/0!</v>
          </cell>
        </row>
        <row r="734">
          <cell r="B734" t="str">
            <v>địa liền</v>
          </cell>
          <cell r="C734" t="str">
            <v>Đia liền</v>
          </cell>
          <cell r="D734" t="str">
            <v>toàn diện tích</v>
          </cell>
          <cell r="F734" t="str">
            <v>m2</v>
          </cell>
          <cell r="G734">
            <v>30000</v>
          </cell>
          <cell r="H734">
            <v>1</v>
          </cell>
          <cell r="J734" t="e">
            <v>#DIV/0!</v>
          </cell>
        </row>
        <row r="735">
          <cell r="B735" t="str">
            <v>nghệ</v>
          </cell>
          <cell r="C735" t="str">
            <v>Nghệ</v>
          </cell>
          <cell r="D735" t="str">
            <v>toàn diện tích</v>
          </cell>
          <cell r="F735" t="str">
            <v>m2</v>
          </cell>
          <cell r="G735">
            <v>20000</v>
          </cell>
          <cell r="H735">
            <v>1</v>
          </cell>
          <cell r="J735" t="e">
            <v>#DIV/0!</v>
          </cell>
        </row>
        <row r="736">
          <cell r="B736" t="str">
            <v>xc.cúc tần</v>
          </cell>
          <cell r="C736" t="str">
            <v>Cúc tần xen canh</v>
          </cell>
          <cell r="D736" t="str">
            <v>toàn diện tích</v>
          </cell>
          <cell r="F736" t="str">
            <v>m2</v>
          </cell>
          <cell r="G736">
            <v>18500</v>
          </cell>
          <cell r="H736">
            <v>1</v>
          </cell>
          <cell r="J736" t="e">
            <v>#DIV/0!</v>
          </cell>
        </row>
        <row r="737">
          <cell r="B737" t="str">
            <v>xc.sả</v>
          </cell>
          <cell r="C737" t="str">
            <v>Sả xen canh</v>
          </cell>
          <cell r="D737" t="str">
            <v>toàn diện tích</v>
          </cell>
          <cell r="F737" t="str">
            <v>m2</v>
          </cell>
          <cell r="G737">
            <v>20000</v>
          </cell>
          <cell r="H737">
            <v>1</v>
          </cell>
          <cell r="J737" t="e">
            <v>#DIV/0!</v>
          </cell>
        </row>
        <row r="738">
          <cell r="B738" t="str">
            <v>xc.Gừng</v>
          </cell>
          <cell r="C738" t="str">
            <v>Gừng xen canh</v>
          </cell>
          <cell r="D738" t="str">
            <v>toàn diện tích</v>
          </cell>
          <cell r="F738" t="str">
            <v>m2</v>
          </cell>
          <cell r="G738">
            <v>30000</v>
          </cell>
          <cell r="H738">
            <v>1</v>
          </cell>
          <cell r="J738" t="e">
            <v>#DIV/0!</v>
          </cell>
        </row>
        <row r="739">
          <cell r="B739" t="str">
            <v>xc.giềng</v>
          </cell>
          <cell r="C739" t="str">
            <v>Giềng xen canh</v>
          </cell>
          <cell r="D739" t="str">
            <v>toàn diện tích</v>
          </cell>
          <cell r="F739" t="str">
            <v>m2</v>
          </cell>
          <cell r="G739">
            <v>30000</v>
          </cell>
          <cell r="H739">
            <v>1</v>
          </cell>
          <cell r="J739" t="e">
            <v>#DIV/0!</v>
          </cell>
        </row>
        <row r="740">
          <cell r="B740" t="str">
            <v>xc.địa liền</v>
          </cell>
          <cell r="C740" t="str">
            <v>Đia liền xen canh</v>
          </cell>
          <cell r="D740" t="str">
            <v>toàn diện tích</v>
          </cell>
          <cell r="F740" t="str">
            <v>m2</v>
          </cell>
          <cell r="G740">
            <v>30000</v>
          </cell>
          <cell r="H740">
            <v>1</v>
          </cell>
          <cell r="J740" t="e">
            <v>#DIV/0!</v>
          </cell>
        </row>
        <row r="741">
          <cell r="B741" t="str">
            <v>xc.nghệ</v>
          </cell>
          <cell r="C741" t="str">
            <v>Nghệ xen canh</v>
          </cell>
          <cell r="D741" t="str">
            <v>toàn diện tích</v>
          </cell>
          <cell r="F741" t="str">
            <v>m2</v>
          </cell>
          <cell r="G741">
            <v>20000</v>
          </cell>
          <cell r="H741">
            <v>1</v>
          </cell>
          <cell r="J741" t="e">
            <v>#DIV/0!</v>
          </cell>
        </row>
        <row r="742">
          <cell r="C742" t="str">
            <v>Cây sưa</v>
          </cell>
          <cell r="J742" t="e">
            <v>#DIV/0!</v>
          </cell>
        </row>
        <row r="743">
          <cell r="B743" t="str">
            <v>sưa02</v>
          </cell>
          <cell r="C743" t="str">
            <v>Cây sưa</v>
          </cell>
          <cell r="D743" t="str">
            <v>đk gốc ≤ 2cm; H &gt; 50cm</v>
          </cell>
          <cell r="E743">
            <v>25</v>
          </cell>
          <cell r="F743" t="str">
            <v>cây</v>
          </cell>
          <cell r="G743">
            <v>35000</v>
          </cell>
          <cell r="H743">
            <v>0.5</v>
          </cell>
          <cell r="J743">
            <v>700</v>
          </cell>
        </row>
        <row r="744">
          <cell r="B744" t="str">
            <v>sưa24</v>
          </cell>
          <cell r="C744" t="str">
            <v>Cây sưa</v>
          </cell>
          <cell r="D744" t="str">
            <v>2cm &lt; đk gốc ≤ 4cm</v>
          </cell>
          <cell r="E744">
            <v>25</v>
          </cell>
          <cell r="F744" t="str">
            <v>cây</v>
          </cell>
          <cell r="G744">
            <v>88000</v>
          </cell>
          <cell r="H744">
            <v>0.5</v>
          </cell>
          <cell r="J744">
            <v>1760</v>
          </cell>
        </row>
        <row r="745">
          <cell r="B745" t="str">
            <v>sưa48</v>
          </cell>
          <cell r="C745" t="str">
            <v>Cây sưa</v>
          </cell>
          <cell r="D745" t="str">
            <v>4cm &lt; đk gốc ≤ 8cm</v>
          </cell>
          <cell r="E745">
            <v>25</v>
          </cell>
          <cell r="F745" t="str">
            <v>cây</v>
          </cell>
          <cell r="G745">
            <v>230000</v>
          </cell>
          <cell r="H745">
            <v>0.5</v>
          </cell>
          <cell r="J745">
            <v>4600</v>
          </cell>
        </row>
        <row r="746">
          <cell r="B746" t="str">
            <v>sưa815</v>
          </cell>
          <cell r="C746" t="str">
            <v>Cây sưa</v>
          </cell>
          <cell r="D746" t="str">
            <v>8cm &lt; đk gốc ≤ 15cm</v>
          </cell>
          <cell r="E746">
            <v>25</v>
          </cell>
          <cell r="F746" t="str">
            <v>cây</v>
          </cell>
          <cell r="G746">
            <v>400000</v>
          </cell>
          <cell r="H746">
            <v>0.8</v>
          </cell>
          <cell r="J746">
            <v>12800</v>
          </cell>
        </row>
        <row r="747">
          <cell r="B747" t="str">
            <v>sưa1525</v>
          </cell>
          <cell r="C747" t="str">
            <v>Cây sưa</v>
          </cell>
          <cell r="D747" t="str">
            <v>15cm &lt; đk gốc ≤ 25cm</v>
          </cell>
          <cell r="E747">
            <v>25</v>
          </cell>
          <cell r="F747" t="str">
            <v>cây</v>
          </cell>
          <cell r="G747">
            <v>560000</v>
          </cell>
          <cell r="H747">
            <v>0.8</v>
          </cell>
          <cell r="J747">
            <v>17920</v>
          </cell>
        </row>
        <row r="748">
          <cell r="B748" t="str">
            <v>sưa2540</v>
          </cell>
          <cell r="C748" t="str">
            <v>Cây sưa</v>
          </cell>
          <cell r="D748" t="str">
            <v>25cm &lt; đk gốc ≤ 40cm</v>
          </cell>
          <cell r="E748">
            <v>25</v>
          </cell>
          <cell r="F748" t="str">
            <v>cây</v>
          </cell>
          <cell r="G748">
            <v>710000</v>
          </cell>
          <cell r="H748">
            <v>0.8</v>
          </cell>
          <cell r="J748">
            <v>22720</v>
          </cell>
        </row>
        <row r="749">
          <cell r="B749" t="str">
            <v>sưa4060</v>
          </cell>
          <cell r="C749" t="str">
            <v>Cây sưa</v>
          </cell>
          <cell r="D749" t="str">
            <v>40cm &lt; đk gốc ≤ 60cm</v>
          </cell>
          <cell r="E749">
            <v>25</v>
          </cell>
          <cell r="F749" t="str">
            <v>cây</v>
          </cell>
          <cell r="G749">
            <v>1195000</v>
          </cell>
          <cell r="H749">
            <v>0.8</v>
          </cell>
          <cell r="J749">
            <v>38240</v>
          </cell>
        </row>
        <row r="750">
          <cell r="B750" t="str">
            <v>sưa60+</v>
          </cell>
          <cell r="C750" t="str">
            <v>Cây sưa</v>
          </cell>
          <cell r="D750" t="str">
            <v>đk gốc từ trên 60cm</v>
          </cell>
          <cell r="E750">
            <v>25</v>
          </cell>
          <cell r="F750" t="str">
            <v>cây</v>
          </cell>
          <cell r="G750">
            <v>1410000</v>
          </cell>
          <cell r="H750">
            <v>0.8</v>
          </cell>
          <cell r="J750">
            <v>45120</v>
          </cell>
        </row>
        <row r="751">
          <cell r="B751" t="str">
            <v>sưa02vmd</v>
          </cell>
          <cell r="C751" t="str">
            <v>Cây sưa vượt mật độ</v>
          </cell>
          <cell r="D751" t="str">
            <v>đk gốc ≤ 2cm; H &gt; 50cm</v>
          </cell>
          <cell r="E751">
            <v>25</v>
          </cell>
          <cell r="F751" t="str">
            <v>cây</v>
          </cell>
          <cell r="G751">
            <v>35000</v>
          </cell>
          <cell r="H751">
            <v>0.25</v>
          </cell>
          <cell r="J751">
            <v>350</v>
          </cell>
        </row>
        <row r="752">
          <cell r="B752" t="str">
            <v>sưa24vmd</v>
          </cell>
          <cell r="C752" t="str">
            <v>Cây sưa vượt mật độ</v>
          </cell>
          <cell r="D752" t="str">
            <v>2cm &lt; đk gốc ≤ 4cm</v>
          </cell>
          <cell r="E752">
            <v>25</v>
          </cell>
          <cell r="F752" t="str">
            <v>cây</v>
          </cell>
          <cell r="G752">
            <v>88000</v>
          </cell>
          <cell r="H752">
            <v>0.25</v>
          </cell>
          <cell r="J752">
            <v>880</v>
          </cell>
        </row>
        <row r="753">
          <cell r="B753" t="str">
            <v>sưa48vmd</v>
          </cell>
          <cell r="C753" t="str">
            <v>Cây sưa vượt mật độ</v>
          </cell>
          <cell r="D753" t="str">
            <v>4cm &lt; đk gốc ≤ 8cm</v>
          </cell>
          <cell r="E753">
            <v>25</v>
          </cell>
          <cell r="F753" t="str">
            <v>cây</v>
          </cell>
          <cell r="G753">
            <v>230000</v>
          </cell>
          <cell r="H753">
            <v>0.25</v>
          </cell>
          <cell r="J753">
            <v>2300</v>
          </cell>
        </row>
        <row r="754">
          <cell r="B754" t="str">
            <v>sưa815vmd</v>
          </cell>
          <cell r="C754" t="str">
            <v>Cây sưa vượt mật độ</v>
          </cell>
          <cell r="D754" t="str">
            <v>8cm &lt; đk gốc ≤ 15cm</v>
          </cell>
          <cell r="E754">
            <v>25</v>
          </cell>
          <cell r="F754" t="str">
            <v>cây</v>
          </cell>
          <cell r="G754">
            <v>400000</v>
          </cell>
          <cell r="H754">
            <v>0.4</v>
          </cell>
          <cell r="J754">
            <v>6400</v>
          </cell>
        </row>
        <row r="755">
          <cell r="B755" t="str">
            <v>sưa1525vmd</v>
          </cell>
          <cell r="C755" t="str">
            <v>Cây sưa vượt mật độ</v>
          </cell>
          <cell r="D755" t="str">
            <v>15cm &lt; đk gốc ≤ 25cm</v>
          </cell>
          <cell r="E755">
            <v>25</v>
          </cell>
          <cell r="F755" t="str">
            <v>cây</v>
          </cell>
          <cell r="G755">
            <v>560000</v>
          </cell>
          <cell r="H755">
            <v>0.4</v>
          </cell>
          <cell r="J755">
            <v>8960</v>
          </cell>
        </row>
        <row r="756">
          <cell r="B756" t="str">
            <v>sưa2540vmd</v>
          </cell>
          <cell r="C756" t="str">
            <v>Cây sưa vượt mật độ</v>
          </cell>
          <cell r="D756" t="str">
            <v>25cm &lt; đk gốc ≤ 40cm</v>
          </cell>
          <cell r="E756">
            <v>25</v>
          </cell>
          <cell r="F756" t="str">
            <v>cây</v>
          </cell>
          <cell r="G756">
            <v>710000</v>
          </cell>
          <cell r="H756">
            <v>0.4</v>
          </cell>
          <cell r="J756">
            <v>11360</v>
          </cell>
        </row>
        <row r="757">
          <cell r="B757" t="str">
            <v>sưa4060vmd</v>
          </cell>
          <cell r="C757" t="str">
            <v>Cây sưa vượt mật độ</v>
          </cell>
          <cell r="D757" t="str">
            <v>40cm &lt; đk gốc ≤ 60cm</v>
          </cell>
          <cell r="E757">
            <v>25</v>
          </cell>
          <cell r="F757" t="str">
            <v>cây</v>
          </cell>
          <cell r="G757">
            <v>1195000</v>
          </cell>
          <cell r="H757">
            <v>0.4</v>
          </cell>
          <cell r="J757">
            <v>19120</v>
          </cell>
        </row>
        <row r="758">
          <cell r="B758" t="str">
            <v>sưa60+vmd</v>
          </cell>
          <cell r="C758" t="str">
            <v>Cây sưa vượt mật độ</v>
          </cell>
          <cell r="D758" t="str">
            <v>đk gốc từ trên 60cm</v>
          </cell>
          <cell r="E758">
            <v>25</v>
          </cell>
          <cell r="F758" t="str">
            <v>cây</v>
          </cell>
          <cell r="G758">
            <v>1410000</v>
          </cell>
          <cell r="H758">
            <v>0.4</v>
          </cell>
          <cell r="J758">
            <v>22560</v>
          </cell>
        </row>
        <row r="759">
          <cell r="C759" t="str">
            <v>Xà cừ</v>
          </cell>
          <cell r="J759" t="e">
            <v>#DIV/0!</v>
          </cell>
        </row>
        <row r="760">
          <cell r="B760" t="str">
            <v>xacu02</v>
          </cell>
          <cell r="C760" t="str">
            <v>Cây xà cừ</v>
          </cell>
          <cell r="D760" t="str">
            <v>đk gốc ≤ 2cm; H &gt; 50cm</v>
          </cell>
          <cell r="E760">
            <v>25</v>
          </cell>
          <cell r="F760" t="str">
            <v>cây</v>
          </cell>
          <cell r="G760">
            <v>35000</v>
          </cell>
          <cell r="H760">
            <v>0.5</v>
          </cell>
          <cell r="J760">
            <v>700</v>
          </cell>
        </row>
        <row r="761">
          <cell r="B761" t="str">
            <v>xacu24</v>
          </cell>
          <cell r="C761" t="str">
            <v>Cây xà cừ</v>
          </cell>
          <cell r="D761" t="str">
            <v>2cm &lt; đk gốc ≤ 4cm</v>
          </cell>
          <cell r="E761">
            <v>25</v>
          </cell>
          <cell r="F761" t="str">
            <v>cây</v>
          </cell>
          <cell r="G761">
            <v>88000</v>
          </cell>
          <cell r="H761">
            <v>0.5</v>
          </cell>
          <cell r="J761">
            <v>1760</v>
          </cell>
        </row>
        <row r="762">
          <cell r="B762" t="str">
            <v>xacu48</v>
          </cell>
          <cell r="C762" t="str">
            <v>Cây xà cừ</v>
          </cell>
          <cell r="D762" t="str">
            <v>4cm &lt; đk gốc ≤ 8cm</v>
          </cell>
          <cell r="E762">
            <v>25</v>
          </cell>
          <cell r="F762" t="str">
            <v>cây</v>
          </cell>
          <cell r="G762">
            <v>230000</v>
          </cell>
          <cell r="H762">
            <v>0.5</v>
          </cell>
          <cell r="J762">
            <v>4600</v>
          </cell>
        </row>
        <row r="763">
          <cell r="B763" t="str">
            <v>xacu815</v>
          </cell>
          <cell r="C763" t="str">
            <v>Cây xà cừ</v>
          </cell>
          <cell r="D763" t="str">
            <v>8cm &lt; đk gốc ≤ 15cm</v>
          </cell>
          <cell r="E763">
            <v>25</v>
          </cell>
          <cell r="F763" t="str">
            <v>cây</v>
          </cell>
          <cell r="G763">
            <v>400000</v>
          </cell>
          <cell r="H763">
            <v>0.8</v>
          </cell>
          <cell r="J763">
            <v>12800</v>
          </cell>
        </row>
        <row r="764">
          <cell r="B764" t="str">
            <v>xacu1525</v>
          </cell>
          <cell r="C764" t="str">
            <v>Cây xà cừ</v>
          </cell>
          <cell r="D764" t="str">
            <v>15cm &lt; đk gốc ≤ 25cm</v>
          </cell>
          <cell r="E764">
            <v>25</v>
          </cell>
          <cell r="F764" t="str">
            <v>cây</v>
          </cell>
          <cell r="G764">
            <v>560000</v>
          </cell>
          <cell r="H764">
            <v>0.8</v>
          </cell>
          <cell r="J764">
            <v>17920</v>
          </cell>
        </row>
        <row r="765">
          <cell r="B765" t="str">
            <v>xacu2540</v>
          </cell>
          <cell r="C765" t="str">
            <v>Cây xà cừ</v>
          </cell>
          <cell r="D765" t="str">
            <v>25cm &lt; đk gốc ≤ 40cm</v>
          </cell>
          <cell r="E765">
            <v>25</v>
          </cell>
          <cell r="F765" t="str">
            <v>cây</v>
          </cell>
          <cell r="G765">
            <v>710000</v>
          </cell>
          <cell r="H765">
            <v>0.8</v>
          </cell>
          <cell r="J765">
            <v>22720</v>
          </cell>
        </row>
        <row r="766">
          <cell r="B766" t="str">
            <v>xacu4060</v>
          </cell>
          <cell r="C766" t="str">
            <v>Cây xà cừ</v>
          </cell>
          <cell r="D766" t="str">
            <v>40cm &lt; đk gốc ≤ 60cm</v>
          </cell>
          <cell r="E766">
            <v>25</v>
          </cell>
          <cell r="F766" t="str">
            <v>cây</v>
          </cell>
          <cell r="G766">
            <v>1195000</v>
          </cell>
          <cell r="H766">
            <v>0.8</v>
          </cell>
          <cell r="J766">
            <v>38240</v>
          </cell>
        </row>
        <row r="767">
          <cell r="B767" t="str">
            <v>xacu60+</v>
          </cell>
          <cell r="C767" t="str">
            <v>Cây xà cừ</v>
          </cell>
          <cell r="D767" t="str">
            <v>đk gốc từ trên 60cm</v>
          </cell>
          <cell r="E767">
            <v>25</v>
          </cell>
          <cell r="F767" t="str">
            <v>cây</v>
          </cell>
          <cell r="G767">
            <v>1410000</v>
          </cell>
          <cell r="H767">
            <v>0.8</v>
          </cell>
          <cell r="J767">
            <v>45120</v>
          </cell>
        </row>
        <row r="768">
          <cell r="B768" t="str">
            <v>xacu02vmd</v>
          </cell>
          <cell r="C768" t="str">
            <v>Cây xà cừ vượt mật độ</v>
          </cell>
          <cell r="D768" t="str">
            <v>đk gốc ≤ 2cm; H &gt; 50cm</v>
          </cell>
          <cell r="E768">
            <v>25</v>
          </cell>
          <cell r="F768" t="str">
            <v>cây</v>
          </cell>
          <cell r="G768">
            <v>35000</v>
          </cell>
          <cell r="H768">
            <v>0.25</v>
          </cell>
          <cell r="J768">
            <v>350</v>
          </cell>
        </row>
        <row r="769">
          <cell r="B769" t="str">
            <v>xacu24vmd</v>
          </cell>
          <cell r="C769" t="str">
            <v>Cây xà cừ vượt mật độ</v>
          </cell>
          <cell r="D769" t="str">
            <v>2cm &lt; đk gốc ≤ 4cm</v>
          </cell>
          <cell r="E769">
            <v>25</v>
          </cell>
          <cell r="F769" t="str">
            <v>cây</v>
          </cell>
          <cell r="G769">
            <v>88000</v>
          </cell>
          <cell r="H769">
            <v>0.25</v>
          </cell>
          <cell r="J769">
            <v>880</v>
          </cell>
        </row>
        <row r="770">
          <cell r="B770" t="str">
            <v>xacu48vmd</v>
          </cell>
          <cell r="C770" t="str">
            <v>Cây xà cừ vượt mật độ</v>
          </cell>
          <cell r="D770" t="str">
            <v>4cm &lt; đk gốc ≤ 8cm</v>
          </cell>
          <cell r="E770">
            <v>25</v>
          </cell>
          <cell r="F770" t="str">
            <v>cây</v>
          </cell>
          <cell r="G770">
            <v>230000</v>
          </cell>
          <cell r="H770">
            <v>0.25</v>
          </cell>
          <cell r="J770">
            <v>2300</v>
          </cell>
        </row>
        <row r="771">
          <cell r="B771" t="str">
            <v>xacu815vmd</v>
          </cell>
          <cell r="C771" t="str">
            <v>Cây xà cừ vượt mật độ</v>
          </cell>
          <cell r="D771" t="str">
            <v>8cm &lt; đk gốc ≤ 15cm</v>
          </cell>
          <cell r="E771">
            <v>25</v>
          </cell>
          <cell r="F771" t="str">
            <v>cây</v>
          </cell>
          <cell r="G771">
            <v>400000</v>
          </cell>
          <cell r="H771">
            <v>0.4</v>
          </cell>
          <cell r="J771">
            <v>6400</v>
          </cell>
        </row>
        <row r="772">
          <cell r="B772" t="str">
            <v>xacu1525vmd</v>
          </cell>
          <cell r="C772" t="str">
            <v>Cây xà cừ vượt mật độ</v>
          </cell>
          <cell r="D772" t="str">
            <v>15cm &lt; đk gốc ≤ 25cm</v>
          </cell>
          <cell r="E772">
            <v>25</v>
          </cell>
          <cell r="F772" t="str">
            <v>cây</v>
          </cell>
          <cell r="G772">
            <v>560000</v>
          </cell>
          <cell r="H772">
            <v>0.4</v>
          </cell>
          <cell r="J772">
            <v>8960</v>
          </cell>
        </row>
        <row r="773">
          <cell r="B773" t="str">
            <v>xacu2540vmd</v>
          </cell>
          <cell r="C773" t="str">
            <v>Cây xà cừ vượt mật độ</v>
          </cell>
          <cell r="D773" t="str">
            <v>25cm &lt; đk gốc ≤ 40cm</v>
          </cell>
          <cell r="E773">
            <v>25</v>
          </cell>
          <cell r="F773" t="str">
            <v>cây</v>
          </cell>
          <cell r="G773">
            <v>710000</v>
          </cell>
          <cell r="H773">
            <v>0.4</v>
          </cell>
          <cell r="J773">
            <v>11360</v>
          </cell>
        </row>
        <row r="774">
          <cell r="B774" t="str">
            <v>xacu4060vmd</v>
          </cell>
          <cell r="C774" t="str">
            <v>Cây xà cừ vượt mật độ</v>
          </cell>
          <cell r="D774" t="str">
            <v>40cm &lt; đk gốc ≤ 60cm</v>
          </cell>
          <cell r="E774">
            <v>25</v>
          </cell>
          <cell r="F774" t="str">
            <v>cây</v>
          </cell>
          <cell r="G774">
            <v>1195000</v>
          </cell>
          <cell r="H774">
            <v>0.4</v>
          </cell>
          <cell r="J774">
            <v>19120</v>
          </cell>
        </row>
        <row r="775">
          <cell r="B775" t="str">
            <v>xacu60+vmd</v>
          </cell>
          <cell r="C775" t="str">
            <v>Cây xà cừ vượt mật độ</v>
          </cell>
          <cell r="D775" t="str">
            <v>đk gốc từ trên 60cm</v>
          </cell>
          <cell r="E775">
            <v>25</v>
          </cell>
          <cell r="F775" t="str">
            <v>cây</v>
          </cell>
          <cell r="G775">
            <v>1410000</v>
          </cell>
          <cell r="H775">
            <v>0.4</v>
          </cell>
          <cell r="J775">
            <v>22560</v>
          </cell>
        </row>
        <row r="776">
          <cell r="C776" t="str">
            <v>Cây xoan</v>
          </cell>
          <cell r="J776" t="e">
            <v>#DIV/0!</v>
          </cell>
        </row>
        <row r="777">
          <cell r="B777" t="str">
            <v>xoan02</v>
          </cell>
          <cell r="C777" t="str">
            <v>Cây xoan</v>
          </cell>
          <cell r="D777" t="str">
            <v>đk gốc ≤ 2cm; H &gt; 50cm</v>
          </cell>
          <cell r="E777">
            <v>25</v>
          </cell>
          <cell r="F777" t="str">
            <v>cây</v>
          </cell>
          <cell r="G777">
            <v>35000</v>
          </cell>
          <cell r="H777">
            <v>0.5</v>
          </cell>
          <cell r="J777">
            <v>700</v>
          </cell>
        </row>
        <row r="778">
          <cell r="B778" t="str">
            <v>xoan24</v>
          </cell>
          <cell r="C778" t="str">
            <v>Cây xoan</v>
          </cell>
          <cell r="D778" t="str">
            <v>2cm &lt; đk gốc ≤ 4cm</v>
          </cell>
          <cell r="E778">
            <v>25</v>
          </cell>
          <cell r="F778" t="str">
            <v>cây</v>
          </cell>
          <cell r="G778">
            <v>72000</v>
          </cell>
          <cell r="H778">
            <v>0.5</v>
          </cell>
          <cell r="J778">
            <v>1440</v>
          </cell>
        </row>
        <row r="779">
          <cell r="B779" t="str">
            <v>xoan48</v>
          </cell>
          <cell r="C779" t="str">
            <v>Cây xoan</v>
          </cell>
          <cell r="D779" t="str">
            <v>4cm &lt; đk gốc ≤ 8cm</v>
          </cell>
          <cell r="E779">
            <v>25</v>
          </cell>
          <cell r="F779" t="str">
            <v>cây</v>
          </cell>
          <cell r="G779">
            <v>110000</v>
          </cell>
          <cell r="H779">
            <v>0.5</v>
          </cell>
          <cell r="J779">
            <v>2200</v>
          </cell>
        </row>
        <row r="780">
          <cell r="B780" t="str">
            <v>xoan815</v>
          </cell>
          <cell r="C780" t="str">
            <v>Cây xoan</v>
          </cell>
          <cell r="D780" t="str">
            <v>8cm &lt; đk gốc ≤ 15cm</v>
          </cell>
          <cell r="E780">
            <v>25</v>
          </cell>
          <cell r="F780" t="str">
            <v>cây</v>
          </cell>
          <cell r="G780">
            <v>174000</v>
          </cell>
          <cell r="H780">
            <v>0.8</v>
          </cell>
          <cell r="J780">
            <v>5568</v>
          </cell>
        </row>
        <row r="781">
          <cell r="B781" t="str">
            <v>xoan1525</v>
          </cell>
          <cell r="C781" t="str">
            <v>Cây xoan</v>
          </cell>
          <cell r="D781" t="str">
            <v>15cm &lt; đk gốc ≤ 25cm</v>
          </cell>
          <cell r="E781">
            <v>25</v>
          </cell>
          <cell r="F781" t="str">
            <v>cây</v>
          </cell>
          <cell r="G781">
            <v>290000</v>
          </cell>
          <cell r="H781">
            <v>0.8</v>
          </cell>
          <cell r="J781">
            <v>9280</v>
          </cell>
        </row>
        <row r="782">
          <cell r="B782" t="str">
            <v>xoan2540</v>
          </cell>
          <cell r="C782" t="str">
            <v>Cây xoan</v>
          </cell>
          <cell r="D782" t="str">
            <v>25cm &lt; đk gốc ≤ 40cm</v>
          </cell>
          <cell r="E782">
            <v>25</v>
          </cell>
          <cell r="F782" t="str">
            <v>cây</v>
          </cell>
          <cell r="G782">
            <v>500000</v>
          </cell>
          <cell r="H782">
            <v>0.8</v>
          </cell>
          <cell r="J782">
            <v>16000</v>
          </cell>
        </row>
        <row r="783">
          <cell r="B783" t="str">
            <v>xoan4060</v>
          </cell>
          <cell r="C783" t="str">
            <v>Cây xoan</v>
          </cell>
          <cell r="D783" t="str">
            <v>40cm &lt; đk gốc ≤ 60cm</v>
          </cell>
          <cell r="E783">
            <v>25</v>
          </cell>
          <cell r="F783" t="str">
            <v>cây</v>
          </cell>
          <cell r="G783">
            <v>730000</v>
          </cell>
          <cell r="H783">
            <v>0.8</v>
          </cell>
          <cell r="J783">
            <v>23360</v>
          </cell>
        </row>
        <row r="784">
          <cell r="B784" t="str">
            <v>xoan60+</v>
          </cell>
          <cell r="C784" t="str">
            <v>Cây xoan</v>
          </cell>
          <cell r="D784" t="str">
            <v>đk gốc từ trên 60cm</v>
          </cell>
          <cell r="E784">
            <v>25</v>
          </cell>
          <cell r="F784" t="str">
            <v>cây</v>
          </cell>
          <cell r="G784">
            <v>980000</v>
          </cell>
          <cell r="H784">
            <v>0.8</v>
          </cell>
          <cell r="J784">
            <v>31360</v>
          </cell>
        </row>
        <row r="785">
          <cell r="B785" t="str">
            <v>xoan02vmd</v>
          </cell>
          <cell r="C785" t="str">
            <v>Cây xoan vượt mật độ</v>
          </cell>
          <cell r="D785" t="str">
            <v>đk gốc ≤ 2cm; H &gt; 50cm</v>
          </cell>
          <cell r="E785">
            <v>25</v>
          </cell>
          <cell r="F785" t="str">
            <v>cây</v>
          </cell>
          <cell r="G785">
            <v>35000</v>
          </cell>
          <cell r="H785">
            <v>0.25</v>
          </cell>
          <cell r="J785">
            <v>350</v>
          </cell>
        </row>
        <row r="786">
          <cell r="B786" t="str">
            <v>xoan24vmd</v>
          </cell>
          <cell r="C786" t="str">
            <v>Cây xoan vượt mật độ</v>
          </cell>
          <cell r="D786" t="str">
            <v>2cm &lt; đk gốc ≤ 4cm</v>
          </cell>
          <cell r="E786">
            <v>25</v>
          </cell>
          <cell r="F786" t="str">
            <v>cây</v>
          </cell>
          <cell r="G786">
            <v>72000</v>
          </cell>
          <cell r="H786">
            <v>0.25</v>
          </cell>
          <cell r="J786">
            <v>720</v>
          </cell>
        </row>
        <row r="787">
          <cell r="B787" t="str">
            <v>xoan48vmd</v>
          </cell>
          <cell r="C787" t="str">
            <v>Cây xoan vượt mật độ</v>
          </cell>
          <cell r="D787" t="str">
            <v>4cm &lt; đk gốc ≤ 8cm</v>
          </cell>
          <cell r="E787">
            <v>25</v>
          </cell>
          <cell r="F787" t="str">
            <v>cây</v>
          </cell>
          <cell r="G787">
            <v>110000</v>
          </cell>
          <cell r="H787">
            <v>0.25</v>
          </cell>
          <cell r="J787">
            <v>1100</v>
          </cell>
        </row>
        <row r="788">
          <cell r="B788" t="str">
            <v>xoan815vmd</v>
          </cell>
          <cell r="C788" t="str">
            <v>Cây xoan vượt mật độ</v>
          </cell>
          <cell r="D788" t="str">
            <v>8cm &lt; đk gốc ≤ 15cm</v>
          </cell>
          <cell r="E788">
            <v>25</v>
          </cell>
          <cell r="F788" t="str">
            <v>cây</v>
          </cell>
          <cell r="G788">
            <v>174000</v>
          </cell>
          <cell r="H788">
            <v>0.4</v>
          </cell>
          <cell r="J788">
            <v>2784</v>
          </cell>
        </row>
        <row r="789">
          <cell r="B789" t="str">
            <v>xoan1525vmd</v>
          </cell>
          <cell r="C789" t="str">
            <v>Cây xoan vượt mật độ</v>
          </cell>
          <cell r="D789" t="str">
            <v>15cm &lt; đk gốc ≤ 25cm</v>
          </cell>
          <cell r="E789">
            <v>25</v>
          </cell>
          <cell r="F789" t="str">
            <v>cây</v>
          </cell>
          <cell r="G789">
            <v>290000</v>
          </cell>
          <cell r="H789">
            <v>0.4</v>
          </cell>
          <cell r="J789">
            <v>4640</v>
          </cell>
        </row>
        <row r="790">
          <cell r="B790" t="str">
            <v>xoan2540vmd</v>
          </cell>
          <cell r="C790" t="str">
            <v>Cây xoan vượt mật độ</v>
          </cell>
          <cell r="D790" t="str">
            <v>25cm &lt; đk gốc ≤ 40cm</v>
          </cell>
          <cell r="E790">
            <v>25</v>
          </cell>
          <cell r="F790" t="str">
            <v>cây</v>
          </cell>
          <cell r="G790">
            <v>500000</v>
          </cell>
          <cell r="H790">
            <v>0.4</v>
          </cell>
          <cell r="J790">
            <v>8000</v>
          </cell>
        </row>
        <row r="791">
          <cell r="B791" t="str">
            <v>xoan4060vmd</v>
          </cell>
          <cell r="C791" t="str">
            <v>Cây xoan vượt mật độ</v>
          </cell>
          <cell r="D791" t="str">
            <v>40cm &lt; đk gốc ≤ 60cm</v>
          </cell>
          <cell r="E791">
            <v>25</v>
          </cell>
          <cell r="F791" t="str">
            <v>cây</v>
          </cell>
          <cell r="G791">
            <v>730000</v>
          </cell>
          <cell r="H791">
            <v>0.4</v>
          </cell>
          <cell r="J791">
            <v>11680</v>
          </cell>
        </row>
        <row r="792">
          <cell r="B792" t="str">
            <v>xoan60+vmd</v>
          </cell>
          <cell r="C792" t="str">
            <v>Cây xoan vượt mật độ</v>
          </cell>
          <cell r="D792" t="str">
            <v>đk gốc từ trên 60cm</v>
          </cell>
          <cell r="E792">
            <v>25</v>
          </cell>
          <cell r="F792" t="str">
            <v>cây</v>
          </cell>
          <cell r="G792">
            <v>980000</v>
          </cell>
          <cell r="H792">
            <v>0.4</v>
          </cell>
          <cell r="J792">
            <v>15680</v>
          </cell>
        </row>
        <row r="793">
          <cell r="C793" t="str">
            <v>Cây bồ đề</v>
          </cell>
          <cell r="J793" t="e">
            <v>#DIV/0!</v>
          </cell>
        </row>
        <row r="794">
          <cell r="B794" t="str">
            <v>bode02</v>
          </cell>
          <cell r="C794" t="str">
            <v>Cây bồ đề</v>
          </cell>
          <cell r="D794" t="str">
            <v>đk gốc ≤ 2cm; H &gt; 50cm</v>
          </cell>
          <cell r="E794">
            <v>25</v>
          </cell>
          <cell r="F794" t="str">
            <v>cây</v>
          </cell>
          <cell r="G794">
            <v>35000</v>
          </cell>
          <cell r="H794">
            <v>0.5</v>
          </cell>
          <cell r="J794">
            <v>700</v>
          </cell>
        </row>
        <row r="795">
          <cell r="B795" t="str">
            <v>bode24</v>
          </cell>
          <cell r="C795" t="str">
            <v>Cây bồ đề</v>
          </cell>
          <cell r="D795" t="str">
            <v>2cm &lt; đk gốc ≤ 4cm</v>
          </cell>
          <cell r="E795">
            <v>25</v>
          </cell>
          <cell r="F795" t="str">
            <v>cây</v>
          </cell>
          <cell r="G795">
            <v>72000</v>
          </cell>
          <cell r="H795">
            <v>0.5</v>
          </cell>
          <cell r="J795">
            <v>1440</v>
          </cell>
        </row>
        <row r="796">
          <cell r="B796" t="str">
            <v>bode48</v>
          </cell>
          <cell r="C796" t="str">
            <v>Cây bồ đề</v>
          </cell>
          <cell r="D796" t="str">
            <v>4cm &lt; đk gốc ≤ 8cm</v>
          </cell>
          <cell r="E796">
            <v>25</v>
          </cell>
          <cell r="F796" t="str">
            <v>cây</v>
          </cell>
          <cell r="G796">
            <v>110000</v>
          </cell>
          <cell r="H796">
            <v>0.5</v>
          </cell>
          <cell r="J796">
            <v>2200</v>
          </cell>
        </row>
        <row r="797">
          <cell r="B797" t="str">
            <v>bode815</v>
          </cell>
          <cell r="C797" t="str">
            <v>Cây bồ đề</v>
          </cell>
          <cell r="D797" t="str">
            <v>8cm &lt; đk gốc ≤ 15cm</v>
          </cell>
          <cell r="E797">
            <v>25</v>
          </cell>
          <cell r="F797" t="str">
            <v>cây</v>
          </cell>
          <cell r="G797">
            <v>174000</v>
          </cell>
          <cell r="H797">
            <v>0.8</v>
          </cell>
          <cell r="J797">
            <v>5568</v>
          </cell>
        </row>
        <row r="798">
          <cell r="B798" t="str">
            <v>bode1525</v>
          </cell>
          <cell r="C798" t="str">
            <v>Cây bồ đề</v>
          </cell>
          <cell r="D798" t="str">
            <v>15cm &lt; đk gốc ≤ 25cm</v>
          </cell>
          <cell r="E798">
            <v>25</v>
          </cell>
          <cell r="F798" t="str">
            <v>cây</v>
          </cell>
          <cell r="G798">
            <v>290000</v>
          </cell>
          <cell r="H798">
            <v>0.8</v>
          </cell>
          <cell r="J798">
            <v>9280</v>
          </cell>
        </row>
        <row r="799">
          <cell r="B799" t="str">
            <v>bode2540</v>
          </cell>
          <cell r="C799" t="str">
            <v>Cây bồ đề</v>
          </cell>
          <cell r="D799" t="str">
            <v>25cm &lt; đk gốc ≤ 40cm</v>
          </cell>
          <cell r="E799">
            <v>25</v>
          </cell>
          <cell r="F799" t="str">
            <v>cây</v>
          </cell>
          <cell r="G799">
            <v>500000</v>
          </cell>
          <cell r="H799">
            <v>0.8</v>
          </cell>
          <cell r="J799">
            <v>16000</v>
          </cell>
        </row>
        <row r="800">
          <cell r="B800" t="str">
            <v>bode4060</v>
          </cell>
          <cell r="C800" t="str">
            <v>Cây bồ đề</v>
          </cell>
          <cell r="D800" t="str">
            <v>40cm &lt; đk gốc ≤ 60cm</v>
          </cell>
          <cell r="E800">
            <v>25</v>
          </cell>
          <cell r="F800" t="str">
            <v>cây</v>
          </cell>
          <cell r="G800">
            <v>730000</v>
          </cell>
          <cell r="H800">
            <v>0.8</v>
          </cell>
          <cell r="J800">
            <v>23360</v>
          </cell>
        </row>
        <row r="801">
          <cell r="B801" t="str">
            <v>bode60+</v>
          </cell>
          <cell r="C801" t="str">
            <v>Cây bồ đề</v>
          </cell>
          <cell r="D801" t="str">
            <v>đk gốc từ trên 60cm</v>
          </cell>
          <cell r="E801">
            <v>25</v>
          </cell>
          <cell r="F801" t="str">
            <v>cây</v>
          </cell>
          <cell r="G801">
            <v>980000</v>
          </cell>
          <cell r="H801">
            <v>0.8</v>
          </cell>
          <cell r="J801">
            <v>31360</v>
          </cell>
        </row>
        <row r="802">
          <cell r="B802" t="str">
            <v>bode02vmd</v>
          </cell>
          <cell r="C802" t="str">
            <v>Cây bồ đề vượt mật độ</v>
          </cell>
          <cell r="D802" t="str">
            <v>đk gốc ≤ 2cm; H &gt; 50cm</v>
          </cell>
          <cell r="E802">
            <v>25</v>
          </cell>
          <cell r="F802" t="str">
            <v>cây</v>
          </cell>
          <cell r="G802">
            <v>35000</v>
          </cell>
          <cell r="H802">
            <v>0.25</v>
          </cell>
          <cell r="J802">
            <v>350</v>
          </cell>
        </row>
        <row r="803">
          <cell r="B803" t="str">
            <v>bode24vmd</v>
          </cell>
          <cell r="C803" t="str">
            <v>Cây bồ đề vượt mật độ</v>
          </cell>
          <cell r="D803" t="str">
            <v>2cm &lt; đk gốc ≤ 4cm</v>
          </cell>
          <cell r="E803">
            <v>25</v>
          </cell>
          <cell r="F803" t="str">
            <v>cây</v>
          </cell>
          <cell r="G803">
            <v>72000</v>
          </cell>
          <cell r="H803">
            <v>0.25</v>
          </cell>
          <cell r="J803">
            <v>720</v>
          </cell>
        </row>
        <row r="804">
          <cell r="B804" t="str">
            <v>bode48vmd</v>
          </cell>
          <cell r="C804" t="str">
            <v>Cây bồ đề vượt mật độ</v>
          </cell>
          <cell r="D804" t="str">
            <v>4cm &lt; đk gốc ≤ 8cm</v>
          </cell>
          <cell r="E804">
            <v>25</v>
          </cell>
          <cell r="F804" t="str">
            <v>cây</v>
          </cell>
          <cell r="G804">
            <v>110000</v>
          </cell>
          <cell r="H804">
            <v>0.25</v>
          </cell>
          <cell r="J804">
            <v>1100</v>
          </cell>
        </row>
        <row r="805">
          <cell r="B805" t="str">
            <v>bode815vmd</v>
          </cell>
          <cell r="C805" t="str">
            <v>Cây bồ đề vượt mật độ</v>
          </cell>
          <cell r="D805" t="str">
            <v>8cm &lt; đk gốc ≤ 15cm</v>
          </cell>
          <cell r="E805">
            <v>25</v>
          </cell>
          <cell r="F805" t="str">
            <v>cây</v>
          </cell>
          <cell r="G805">
            <v>174000</v>
          </cell>
          <cell r="H805">
            <v>0.4</v>
          </cell>
          <cell r="J805">
            <v>2784</v>
          </cell>
        </row>
        <row r="806">
          <cell r="B806" t="str">
            <v>bode1525vmd</v>
          </cell>
          <cell r="C806" t="str">
            <v>Cây bồ đề vượt mật độ</v>
          </cell>
          <cell r="D806" t="str">
            <v>15cm &lt; đk gốc ≤ 25cm</v>
          </cell>
          <cell r="E806">
            <v>25</v>
          </cell>
          <cell r="F806" t="str">
            <v>cây</v>
          </cell>
          <cell r="G806">
            <v>290000</v>
          </cell>
          <cell r="H806">
            <v>0.4</v>
          </cell>
          <cell r="J806">
            <v>4640</v>
          </cell>
        </row>
        <row r="807">
          <cell r="B807" t="str">
            <v>bode2540vmd</v>
          </cell>
          <cell r="C807" t="str">
            <v>Cây bồ đề vượt mật độ</v>
          </cell>
          <cell r="D807" t="str">
            <v>25cm &lt; đk gốc ≤ 40cm</v>
          </cell>
          <cell r="E807">
            <v>25</v>
          </cell>
          <cell r="F807" t="str">
            <v>cây</v>
          </cell>
          <cell r="G807">
            <v>500000</v>
          </cell>
          <cell r="H807">
            <v>0.4</v>
          </cell>
          <cell r="J807">
            <v>8000</v>
          </cell>
        </row>
        <row r="808">
          <cell r="B808" t="str">
            <v>bode4060vmd</v>
          </cell>
          <cell r="C808" t="str">
            <v>Cây bồ đề vượt mật độ</v>
          </cell>
          <cell r="D808" t="str">
            <v>40cm &lt; đk gốc ≤ 60cm</v>
          </cell>
          <cell r="E808">
            <v>25</v>
          </cell>
          <cell r="F808" t="str">
            <v>cây</v>
          </cell>
          <cell r="G808">
            <v>730000</v>
          </cell>
          <cell r="H808">
            <v>0.4</v>
          </cell>
          <cell r="J808">
            <v>11680</v>
          </cell>
        </row>
        <row r="809">
          <cell r="B809" t="str">
            <v>bode60+vmd</v>
          </cell>
          <cell r="C809" t="str">
            <v>Cây bồ đề vượt mật độ</v>
          </cell>
          <cell r="D809" t="str">
            <v>đk gốc từ trên 60cm</v>
          </cell>
          <cell r="E809">
            <v>25</v>
          </cell>
          <cell r="F809" t="str">
            <v>cây</v>
          </cell>
          <cell r="G809">
            <v>980000</v>
          </cell>
          <cell r="H809">
            <v>0.4</v>
          </cell>
          <cell r="J809">
            <v>15680</v>
          </cell>
        </row>
        <row r="810">
          <cell r="C810" t="str">
            <v>Cây gạo</v>
          </cell>
          <cell r="J810" t="e">
            <v>#DIV/0!</v>
          </cell>
        </row>
        <row r="811">
          <cell r="B811" t="str">
            <v>gạo02</v>
          </cell>
          <cell r="C811" t="str">
            <v>Cây gạo</v>
          </cell>
          <cell r="D811" t="str">
            <v>đk gốc ≤ 2cm; H &gt; 50cm</v>
          </cell>
          <cell r="E811">
            <v>25</v>
          </cell>
          <cell r="F811" t="str">
            <v>cây</v>
          </cell>
          <cell r="G811">
            <v>35000</v>
          </cell>
          <cell r="H811">
            <v>0.5</v>
          </cell>
          <cell r="J811">
            <v>700</v>
          </cell>
        </row>
        <row r="812">
          <cell r="B812" t="str">
            <v>gạo24</v>
          </cell>
          <cell r="C812" t="str">
            <v>Cây gạo</v>
          </cell>
          <cell r="D812" t="str">
            <v>2cm &lt; đk gốc ≤ 4cm</v>
          </cell>
          <cell r="E812">
            <v>25</v>
          </cell>
          <cell r="F812" t="str">
            <v>cây</v>
          </cell>
          <cell r="G812">
            <v>72000</v>
          </cell>
          <cell r="H812">
            <v>0.5</v>
          </cell>
          <cell r="J812">
            <v>1440</v>
          </cell>
        </row>
        <row r="813">
          <cell r="B813" t="str">
            <v>gạo48</v>
          </cell>
          <cell r="C813" t="str">
            <v>Cây gạo</v>
          </cell>
          <cell r="D813" t="str">
            <v>4cm &lt; đk gốc ≤ 8cm</v>
          </cell>
          <cell r="E813">
            <v>25</v>
          </cell>
          <cell r="F813" t="str">
            <v>cây</v>
          </cell>
          <cell r="G813">
            <v>110000</v>
          </cell>
          <cell r="H813">
            <v>0.5</v>
          </cell>
          <cell r="J813">
            <v>2200</v>
          </cell>
        </row>
        <row r="814">
          <cell r="B814" t="str">
            <v>gạo815</v>
          </cell>
          <cell r="C814" t="str">
            <v>Cây gạo</v>
          </cell>
          <cell r="D814" t="str">
            <v>8cm &lt; đk gốc ≤ 15cm</v>
          </cell>
          <cell r="E814">
            <v>25</v>
          </cell>
          <cell r="F814" t="str">
            <v>cây</v>
          </cell>
          <cell r="G814">
            <v>174000</v>
          </cell>
          <cell r="H814">
            <v>0.8</v>
          </cell>
          <cell r="J814">
            <v>5568</v>
          </cell>
        </row>
        <row r="815">
          <cell r="B815" t="str">
            <v>gạo1525</v>
          </cell>
          <cell r="C815" t="str">
            <v>Cây gạo</v>
          </cell>
          <cell r="D815" t="str">
            <v>15cm &lt; đk gốc ≤ 25cm</v>
          </cell>
          <cell r="E815">
            <v>25</v>
          </cell>
          <cell r="F815" t="str">
            <v>cây</v>
          </cell>
          <cell r="G815">
            <v>290000</v>
          </cell>
          <cell r="H815">
            <v>0.8</v>
          </cell>
          <cell r="J815">
            <v>9280</v>
          </cell>
        </row>
        <row r="816">
          <cell r="B816" t="str">
            <v>gạo2540</v>
          </cell>
          <cell r="C816" t="str">
            <v>Cây gạo</v>
          </cell>
          <cell r="D816" t="str">
            <v>25cm &lt; đk gốc ≤ 40cm</v>
          </cell>
          <cell r="E816">
            <v>25</v>
          </cell>
          <cell r="F816" t="str">
            <v>cây</v>
          </cell>
          <cell r="G816">
            <v>500000</v>
          </cell>
          <cell r="H816">
            <v>0.8</v>
          </cell>
          <cell r="J816">
            <v>16000</v>
          </cell>
        </row>
        <row r="817">
          <cell r="B817" t="str">
            <v>gạo4060</v>
          </cell>
          <cell r="C817" t="str">
            <v>Cây gạo</v>
          </cell>
          <cell r="D817" t="str">
            <v>40cm &lt; đk gốc ≤ 60cm</v>
          </cell>
          <cell r="E817">
            <v>25</v>
          </cell>
          <cell r="F817" t="str">
            <v>cây</v>
          </cell>
          <cell r="G817">
            <v>730000</v>
          </cell>
          <cell r="H817">
            <v>0.8</v>
          </cell>
          <cell r="J817">
            <v>23360</v>
          </cell>
        </row>
        <row r="818">
          <cell r="B818" t="str">
            <v>gạo60+</v>
          </cell>
          <cell r="C818" t="str">
            <v>Cây gạo</v>
          </cell>
          <cell r="D818" t="str">
            <v>đk gốc từ trên 60cm</v>
          </cell>
          <cell r="E818">
            <v>25</v>
          </cell>
          <cell r="F818" t="str">
            <v>cây</v>
          </cell>
          <cell r="G818">
            <v>980000</v>
          </cell>
          <cell r="H818">
            <v>0.8</v>
          </cell>
          <cell r="J818">
            <v>31360</v>
          </cell>
        </row>
        <row r="819">
          <cell r="B819" t="str">
            <v>gạo02vmd</v>
          </cell>
          <cell r="C819" t="str">
            <v>Cây gạo vượt mật độ</v>
          </cell>
          <cell r="D819" t="str">
            <v>đk gốc ≤ 2cm; H &gt; 50cm</v>
          </cell>
          <cell r="E819">
            <v>25</v>
          </cell>
          <cell r="F819" t="str">
            <v>cây</v>
          </cell>
          <cell r="G819">
            <v>35000</v>
          </cell>
          <cell r="H819">
            <v>0.25</v>
          </cell>
          <cell r="J819">
            <v>350</v>
          </cell>
        </row>
        <row r="820">
          <cell r="B820" t="str">
            <v>gạo24vmd</v>
          </cell>
          <cell r="C820" t="str">
            <v>Cây gạo vượt mật độ</v>
          </cell>
          <cell r="D820" t="str">
            <v>2cm &lt; đk gốc ≤ 4cm</v>
          </cell>
          <cell r="E820">
            <v>25</v>
          </cell>
          <cell r="F820" t="str">
            <v>cây</v>
          </cell>
          <cell r="G820">
            <v>72000</v>
          </cell>
          <cell r="H820">
            <v>0.25</v>
          </cell>
          <cell r="J820">
            <v>720</v>
          </cell>
        </row>
        <row r="821">
          <cell r="B821" t="str">
            <v>gạo48vmd</v>
          </cell>
          <cell r="C821" t="str">
            <v>Cây gạo vượt mật độ</v>
          </cell>
          <cell r="D821" t="str">
            <v>4cm &lt; đk gốc ≤ 8cm</v>
          </cell>
          <cell r="E821">
            <v>25</v>
          </cell>
          <cell r="F821" t="str">
            <v>cây</v>
          </cell>
          <cell r="G821">
            <v>110000</v>
          </cell>
          <cell r="H821">
            <v>0.25</v>
          </cell>
          <cell r="J821">
            <v>1100</v>
          </cell>
        </row>
        <row r="822">
          <cell r="B822" t="str">
            <v>gạo815vmd</v>
          </cell>
          <cell r="C822" t="str">
            <v>Cây gạo vượt mật độ</v>
          </cell>
          <cell r="D822" t="str">
            <v>8cm &lt; đk gốc ≤ 15cm</v>
          </cell>
          <cell r="E822">
            <v>25</v>
          </cell>
          <cell r="F822" t="str">
            <v>cây</v>
          </cell>
          <cell r="G822">
            <v>174000</v>
          </cell>
          <cell r="H822">
            <v>0.4</v>
          </cell>
          <cell r="J822">
            <v>2784</v>
          </cell>
        </row>
        <row r="823">
          <cell r="B823" t="str">
            <v>gạo1525vmd</v>
          </cell>
          <cell r="C823" t="str">
            <v>Cây gạo vượt mật độ</v>
          </cell>
          <cell r="D823" t="str">
            <v>15cm &lt; đk gốc ≤ 25cm</v>
          </cell>
          <cell r="E823">
            <v>25</v>
          </cell>
          <cell r="F823" t="str">
            <v>cây</v>
          </cell>
          <cell r="G823">
            <v>290000</v>
          </cell>
          <cell r="H823">
            <v>0.4</v>
          </cell>
          <cell r="J823">
            <v>4640</v>
          </cell>
        </row>
        <row r="824">
          <cell r="B824" t="str">
            <v>gạo2540vmd</v>
          </cell>
          <cell r="C824" t="str">
            <v>Cây gạo vượt mật độ</v>
          </cell>
          <cell r="D824" t="str">
            <v>25cm &lt; đk gốc ≤ 40cm</v>
          </cell>
          <cell r="E824">
            <v>25</v>
          </cell>
          <cell r="F824" t="str">
            <v>cây</v>
          </cell>
          <cell r="G824">
            <v>500000</v>
          </cell>
          <cell r="H824">
            <v>0.4</v>
          </cell>
          <cell r="J824">
            <v>8000</v>
          </cell>
        </row>
        <row r="825">
          <cell r="B825" t="str">
            <v>gạo4060vmd</v>
          </cell>
          <cell r="C825" t="str">
            <v>Cây gạo vượt mật độ</v>
          </cell>
          <cell r="D825" t="str">
            <v>40cm &lt; đk gốc ≤ 60cm</v>
          </cell>
          <cell r="E825">
            <v>25</v>
          </cell>
          <cell r="F825" t="str">
            <v>cây</v>
          </cell>
          <cell r="G825">
            <v>730000</v>
          </cell>
          <cell r="H825">
            <v>0.4</v>
          </cell>
          <cell r="J825">
            <v>11680</v>
          </cell>
        </row>
        <row r="826">
          <cell r="B826" t="str">
            <v>gạo60+vmd</v>
          </cell>
          <cell r="C826" t="str">
            <v>Cây gạo vượt mật độ</v>
          </cell>
          <cell r="D826" t="str">
            <v>đk gốc từ trên 60cm</v>
          </cell>
          <cell r="E826">
            <v>25</v>
          </cell>
          <cell r="F826" t="str">
            <v>cây</v>
          </cell>
          <cell r="G826">
            <v>980000</v>
          </cell>
          <cell r="H826">
            <v>0.4</v>
          </cell>
          <cell r="J826">
            <v>15680</v>
          </cell>
        </row>
        <row r="827">
          <cell r="C827" t="str">
            <v>Cây Bàng</v>
          </cell>
          <cell r="J827" t="e">
            <v>#DIV/0!</v>
          </cell>
        </row>
        <row r="828">
          <cell r="B828" t="str">
            <v>bàng02</v>
          </cell>
          <cell r="C828" t="str">
            <v>Cây bàng</v>
          </cell>
          <cell r="D828" t="str">
            <v>đk gốc ≤ 2cm; H &gt; 50cm</v>
          </cell>
          <cell r="E828">
            <v>6.666666666666667</v>
          </cell>
          <cell r="F828" t="str">
            <v>cây</v>
          </cell>
          <cell r="G828">
            <v>25000</v>
          </cell>
          <cell r="H828">
            <v>0.5</v>
          </cell>
          <cell r="J828">
            <v>1875</v>
          </cell>
        </row>
        <row r="829">
          <cell r="B829" t="str">
            <v>bàng24</v>
          </cell>
          <cell r="C829" t="str">
            <v>Cây bàng</v>
          </cell>
          <cell r="D829" t="str">
            <v>2cm &lt; đk gốc ≤ 4cm</v>
          </cell>
          <cell r="E829">
            <v>6.666666666666667</v>
          </cell>
          <cell r="F829" t="str">
            <v>cây</v>
          </cell>
          <cell r="G829">
            <v>54000</v>
          </cell>
          <cell r="H829">
            <v>0.5</v>
          </cell>
          <cell r="J829">
            <v>4050</v>
          </cell>
        </row>
        <row r="830">
          <cell r="B830" t="str">
            <v>bàng48</v>
          </cell>
          <cell r="C830" t="str">
            <v>Cây bàng</v>
          </cell>
          <cell r="D830" t="str">
            <v>4cm &lt; đk gốc ≤ 8cm</v>
          </cell>
          <cell r="E830">
            <v>6.666666666666667</v>
          </cell>
          <cell r="F830" t="str">
            <v>cây</v>
          </cell>
          <cell r="G830">
            <v>112000</v>
          </cell>
          <cell r="H830">
            <v>0.5</v>
          </cell>
          <cell r="J830">
            <v>8400</v>
          </cell>
        </row>
        <row r="831">
          <cell r="B831" t="str">
            <v>bàng815</v>
          </cell>
          <cell r="C831" t="str">
            <v>Cây bàng</v>
          </cell>
          <cell r="D831" t="str">
            <v>8cm &lt; đk gốc ≤ 15cm</v>
          </cell>
          <cell r="E831">
            <v>6.666666666666667</v>
          </cell>
          <cell r="F831" t="str">
            <v>cây</v>
          </cell>
          <cell r="G831">
            <v>228000</v>
          </cell>
          <cell r="H831">
            <v>0.8</v>
          </cell>
          <cell r="J831">
            <v>27360</v>
          </cell>
        </row>
        <row r="832">
          <cell r="B832" t="str">
            <v>bàng1525</v>
          </cell>
          <cell r="C832" t="str">
            <v>Cây bàng</v>
          </cell>
          <cell r="D832" t="str">
            <v>15cm &lt; đk gốc ≤ 25cm</v>
          </cell>
          <cell r="E832">
            <v>6.666666666666667</v>
          </cell>
          <cell r="F832" t="str">
            <v>cây</v>
          </cell>
          <cell r="G832">
            <v>378000</v>
          </cell>
          <cell r="H832">
            <v>0.8</v>
          </cell>
          <cell r="J832">
            <v>45360</v>
          </cell>
        </row>
        <row r="833">
          <cell r="B833" t="str">
            <v>bàng2540</v>
          </cell>
          <cell r="C833" t="str">
            <v>Cây bàng</v>
          </cell>
          <cell r="D833" t="str">
            <v>25cm &lt; đk gốc ≤ 40cm</v>
          </cell>
          <cell r="E833">
            <v>6.666666666666667</v>
          </cell>
          <cell r="F833" t="str">
            <v>cây</v>
          </cell>
          <cell r="G833">
            <v>520000</v>
          </cell>
          <cell r="H833">
            <v>0.8</v>
          </cell>
          <cell r="J833">
            <v>62400</v>
          </cell>
        </row>
        <row r="834">
          <cell r="B834" t="str">
            <v>bàng4060</v>
          </cell>
          <cell r="C834" t="str">
            <v>Cây bàng</v>
          </cell>
          <cell r="D834" t="str">
            <v>40cm &lt; đk gốc ≤ 60cm</v>
          </cell>
          <cell r="E834">
            <v>6.666666666666667</v>
          </cell>
          <cell r="F834" t="str">
            <v>cây</v>
          </cell>
          <cell r="G834">
            <v>710000</v>
          </cell>
          <cell r="H834">
            <v>0.8</v>
          </cell>
          <cell r="J834">
            <v>85200</v>
          </cell>
        </row>
        <row r="835">
          <cell r="B835" t="str">
            <v>bàng60+</v>
          </cell>
          <cell r="C835" t="str">
            <v>Cây bàng</v>
          </cell>
          <cell r="D835" t="str">
            <v>đk gốc từ trên 60cm</v>
          </cell>
          <cell r="E835">
            <v>6.666666666666667</v>
          </cell>
          <cell r="F835" t="str">
            <v>cây</v>
          </cell>
          <cell r="G835">
            <v>1236000</v>
          </cell>
          <cell r="H835">
            <v>0.8</v>
          </cell>
          <cell r="J835">
            <v>148320</v>
          </cell>
        </row>
        <row r="836">
          <cell r="B836" t="str">
            <v>bàng02vmd</v>
          </cell>
          <cell r="C836" t="str">
            <v>Cây bàng vượt mật độ</v>
          </cell>
          <cell r="D836" t="str">
            <v>đk gốc ≤ 2cm; H &gt; 50cm</v>
          </cell>
          <cell r="E836">
            <v>6.666666666666667</v>
          </cell>
          <cell r="F836" t="str">
            <v>cây</v>
          </cell>
          <cell r="G836">
            <v>25000</v>
          </cell>
          <cell r="H836">
            <v>0.25</v>
          </cell>
          <cell r="J836">
            <v>937.5</v>
          </cell>
        </row>
        <row r="837">
          <cell r="B837" t="str">
            <v>bàng24vmd</v>
          </cell>
          <cell r="C837" t="str">
            <v>Cây bàng vượt mật độ</v>
          </cell>
          <cell r="D837" t="str">
            <v>2cm &lt; đk gốc ≤ 4cm</v>
          </cell>
          <cell r="E837">
            <v>6.666666666666667</v>
          </cell>
          <cell r="F837" t="str">
            <v>cây</v>
          </cell>
          <cell r="G837">
            <v>54000</v>
          </cell>
          <cell r="H837">
            <v>0.25</v>
          </cell>
          <cell r="J837">
            <v>2025</v>
          </cell>
        </row>
        <row r="838">
          <cell r="B838" t="str">
            <v>bàng48vmd</v>
          </cell>
          <cell r="C838" t="str">
            <v>Cây bàng vượt mật độ</v>
          </cell>
          <cell r="D838" t="str">
            <v>4cm &lt; đk gốc ≤ 8cm</v>
          </cell>
          <cell r="E838">
            <v>6.666666666666667</v>
          </cell>
          <cell r="F838" t="str">
            <v>cây</v>
          </cell>
          <cell r="G838">
            <v>112000</v>
          </cell>
          <cell r="H838">
            <v>0.25</v>
          </cell>
          <cell r="J838">
            <v>4200</v>
          </cell>
        </row>
        <row r="839">
          <cell r="B839" t="str">
            <v>bàng815vmd</v>
          </cell>
          <cell r="C839" t="str">
            <v>Cây bàng vượt mật độ</v>
          </cell>
          <cell r="D839" t="str">
            <v>8cm &lt; đk gốc ≤ 15cm</v>
          </cell>
          <cell r="E839">
            <v>6.666666666666667</v>
          </cell>
          <cell r="F839" t="str">
            <v>cây</v>
          </cell>
          <cell r="G839">
            <v>228000</v>
          </cell>
          <cell r="H839">
            <v>0.4</v>
          </cell>
          <cell r="J839">
            <v>13680</v>
          </cell>
        </row>
        <row r="840">
          <cell r="B840" t="str">
            <v>bàng1525vmd</v>
          </cell>
          <cell r="C840" t="str">
            <v>Cây bàng vượt mật độ</v>
          </cell>
          <cell r="D840" t="str">
            <v>15cm &lt; đk gốc ≤ 25cm</v>
          </cell>
          <cell r="E840">
            <v>6.666666666666667</v>
          </cell>
          <cell r="F840" t="str">
            <v>cây</v>
          </cell>
          <cell r="G840">
            <v>378000</v>
          </cell>
          <cell r="H840">
            <v>0.4</v>
          </cell>
          <cell r="J840">
            <v>22680</v>
          </cell>
        </row>
        <row r="841">
          <cell r="B841" t="str">
            <v>bàng2540vmd</v>
          </cell>
          <cell r="C841" t="str">
            <v>Cây bàng vượt mật độ</v>
          </cell>
          <cell r="D841" t="str">
            <v>25cm &lt; đk gốc ≤ 40cm</v>
          </cell>
          <cell r="E841">
            <v>6.666666666666667</v>
          </cell>
          <cell r="F841" t="str">
            <v>cây</v>
          </cell>
          <cell r="G841">
            <v>520000</v>
          </cell>
          <cell r="H841">
            <v>0.4</v>
          </cell>
          <cell r="J841">
            <v>31200</v>
          </cell>
        </row>
        <row r="842">
          <cell r="B842" t="str">
            <v>bàng4060vmd</v>
          </cell>
          <cell r="C842" t="str">
            <v>Cây bàng vượt mật độ</v>
          </cell>
          <cell r="D842" t="str">
            <v>40cm &lt; đk gốc ≤ 60cm</v>
          </cell>
          <cell r="E842">
            <v>6.666666666666667</v>
          </cell>
          <cell r="F842" t="str">
            <v>cây</v>
          </cell>
          <cell r="G842">
            <v>710000</v>
          </cell>
          <cell r="H842">
            <v>0.4</v>
          </cell>
          <cell r="J842">
            <v>42600</v>
          </cell>
        </row>
        <row r="843">
          <cell r="B843" t="str">
            <v>bàng60+vmd</v>
          </cell>
          <cell r="C843" t="str">
            <v>Cây bàng vượt mật độ</v>
          </cell>
          <cell r="D843" t="str">
            <v>đk gốc từ trên 60cm</v>
          </cell>
          <cell r="E843">
            <v>6.666666666666667</v>
          </cell>
          <cell r="F843" t="str">
            <v>cây</v>
          </cell>
          <cell r="G843">
            <v>1236000</v>
          </cell>
          <cell r="H843">
            <v>0.4</v>
          </cell>
          <cell r="J843">
            <v>74160</v>
          </cell>
        </row>
        <row r="844">
          <cell r="C844" t="str">
            <v>Cây hoa sữa</v>
          </cell>
          <cell r="J844" t="e">
            <v>#DIV/0!</v>
          </cell>
        </row>
        <row r="845">
          <cell r="B845" t="str">
            <v>hoasua02</v>
          </cell>
          <cell r="C845" t="str">
            <v>Cây hoa sữa</v>
          </cell>
          <cell r="D845" t="str">
            <v>đk gốc ≤ 2cm; H &gt; 50cm</v>
          </cell>
          <cell r="E845">
            <v>6.666666666666667</v>
          </cell>
          <cell r="F845" t="str">
            <v>cây</v>
          </cell>
          <cell r="G845">
            <v>25000</v>
          </cell>
          <cell r="H845">
            <v>0.5</v>
          </cell>
          <cell r="J845">
            <v>1875</v>
          </cell>
        </row>
        <row r="846">
          <cell r="B846" t="str">
            <v>hoasua24</v>
          </cell>
          <cell r="C846" t="str">
            <v>Cây hoa sữa</v>
          </cell>
          <cell r="D846" t="str">
            <v>2cm &lt; đk gốc ≤ 4cm</v>
          </cell>
          <cell r="E846">
            <v>6.666666666666667</v>
          </cell>
          <cell r="F846" t="str">
            <v>cây</v>
          </cell>
          <cell r="G846">
            <v>54000</v>
          </cell>
          <cell r="H846">
            <v>0.5</v>
          </cell>
          <cell r="J846">
            <v>4050</v>
          </cell>
        </row>
        <row r="847">
          <cell r="B847" t="str">
            <v>hoasua48</v>
          </cell>
          <cell r="C847" t="str">
            <v>Cây hoa sữa</v>
          </cell>
          <cell r="D847" t="str">
            <v>4cm &lt; đk gốc ≤ 8cm</v>
          </cell>
          <cell r="E847">
            <v>6.666666666666667</v>
          </cell>
          <cell r="F847" t="str">
            <v>cây</v>
          </cell>
          <cell r="G847">
            <v>112000</v>
          </cell>
          <cell r="H847">
            <v>0.5</v>
          </cell>
          <cell r="J847">
            <v>8400</v>
          </cell>
        </row>
        <row r="848">
          <cell r="B848" t="str">
            <v>hoasua815</v>
          </cell>
          <cell r="C848" t="str">
            <v>Cây hoa sữa</v>
          </cell>
          <cell r="D848" t="str">
            <v>8cm &lt; đk gốc ≤ 15cm</v>
          </cell>
          <cell r="E848">
            <v>6.666666666666667</v>
          </cell>
          <cell r="F848" t="str">
            <v>cây</v>
          </cell>
          <cell r="G848">
            <v>228000</v>
          </cell>
          <cell r="H848">
            <v>0.8</v>
          </cell>
          <cell r="J848">
            <v>27360</v>
          </cell>
        </row>
        <row r="849">
          <cell r="B849" t="str">
            <v>hoasua1525</v>
          </cell>
          <cell r="C849" t="str">
            <v>Cây hoa sữa</v>
          </cell>
          <cell r="D849" t="str">
            <v>15cm &lt; đk gốc ≤ 25cm</v>
          </cell>
          <cell r="E849">
            <v>6.666666666666667</v>
          </cell>
          <cell r="F849" t="str">
            <v>cây</v>
          </cell>
          <cell r="G849">
            <v>378000</v>
          </cell>
          <cell r="H849">
            <v>0.8</v>
          </cell>
          <cell r="J849">
            <v>45360</v>
          </cell>
        </row>
        <row r="850">
          <cell r="B850" t="str">
            <v>hoasua2540</v>
          </cell>
          <cell r="C850" t="str">
            <v>Cây hoa sữa</v>
          </cell>
          <cell r="D850" t="str">
            <v>25cm &lt; đk gốc ≤ 40cm</v>
          </cell>
          <cell r="E850">
            <v>6.666666666666667</v>
          </cell>
          <cell r="F850" t="str">
            <v>cây</v>
          </cell>
          <cell r="G850">
            <v>520000</v>
          </cell>
          <cell r="H850">
            <v>0.8</v>
          </cell>
          <cell r="J850">
            <v>62400</v>
          </cell>
        </row>
        <row r="851">
          <cell r="B851" t="str">
            <v>hoasua4060</v>
          </cell>
          <cell r="C851" t="str">
            <v>Cây hoa sữa</v>
          </cell>
          <cell r="D851" t="str">
            <v>40cm &lt; đk gốc ≤ 60cm</v>
          </cell>
          <cell r="E851">
            <v>6.666666666666667</v>
          </cell>
          <cell r="F851" t="str">
            <v>cây</v>
          </cell>
          <cell r="G851">
            <v>710000</v>
          </cell>
          <cell r="H851">
            <v>0.8</v>
          </cell>
          <cell r="J851">
            <v>85200</v>
          </cell>
        </row>
        <row r="852">
          <cell r="B852" t="str">
            <v>hoasua60+</v>
          </cell>
          <cell r="C852" t="str">
            <v>Cây hoa sữa</v>
          </cell>
          <cell r="D852" t="str">
            <v>đk gốc từ trên 60cm</v>
          </cell>
          <cell r="E852">
            <v>6.666666666666667</v>
          </cell>
          <cell r="F852" t="str">
            <v>cây</v>
          </cell>
          <cell r="G852">
            <v>1236000</v>
          </cell>
          <cell r="H852">
            <v>0.8</v>
          </cell>
          <cell r="J852">
            <v>148320</v>
          </cell>
        </row>
        <row r="853">
          <cell r="B853" t="str">
            <v>hoasua02vmd</v>
          </cell>
          <cell r="C853" t="str">
            <v>Cây hoa sữa vượt mật độ</v>
          </cell>
          <cell r="D853" t="str">
            <v>đk gốc ≤ 2cm; H &gt; 50cm</v>
          </cell>
          <cell r="E853">
            <v>6.666666666666667</v>
          </cell>
          <cell r="F853" t="str">
            <v>cây</v>
          </cell>
          <cell r="G853">
            <v>25000</v>
          </cell>
          <cell r="H853">
            <v>0.25</v>
          </cell>
          <cell r="J853">
            <v>937.5</v>
          </cell>
        </row>
        <row r="854">
          <cell r="B854" t="str">
            <v>hoasua24vmd</v>
          </cell>
          <cell r="C854" t="str">
            <v>Cây hoa sữa vượt mật độ</v>
          </cell>
          <cell r="D854" t="str">
            <v>2cm &lt; đk gốc ≤ 4cm</v>
          </cell>
          <cell r="E854">
            <v>6.666666666666667</v>
          </cell>
          <cell r="F854" t="str">
            <v>cây</v>
          </cell>
          <cell r="G854">
            <v>54000</v>
          </cell>
          <cell r="H854">
            <v>0.25</v>
          </cell>
          <cell r="J854">
            <v>2025</v>
          </cell>
        </row>
        <row r="855">
          <cell r="B855" t="str">
            <v>hoasua48vmd</v>
          </cell>
          <cell r="C855" t="str">
            <v>Cây hoa sữa vượt mật độ</v>
          </cell>
          <cell r="D855" t="str">
            <v>4cm &lt; đk gốc ≤ 8cm</v>
          </cell>
          <cell r="E855">
            <v>6.666666666666667</v>
          </cell>
          <cell r="F855" t="str">
            <v>cây</v>
          </cell>
          <cell r="G855">
            <v>112000</v>
          </cell>
          <cell r="H855">
            <v>0.25</v>
          </cell>
          <cell r="J855">
            <v>4200</v>
          </cell>
        </row>
        <row r="856">
          <cell r="B856" t="str">
            <v>hoasua815vmd</v>
          </cell>
          <cell r="C856" t="str">
            <v>Cây hoa sữa vượt mật độ</v>
          </cell>
          <cell r="D856" t="str">
            <v>8cm &lt; đk gốc ≤ 15cm</v>
          </cell>
          <cell r="E856">
            <v>6.666666666666667</v>
          </cell>
          <cell r="F856" t="str">
            <v>cây</v>
          </cell>
          <cell r="G856">
            <v>228000</v>
          </cell>
          <cell r="H856">
            <v>0.4</v>
          </cell>
          <cell r="J856">
            <v>13680</v>
          </cell>
        </row>
        <row r="857">
          <cell r="B857" t="str">
            <v>hoasua1525vmd</v>
          </cell>
          <cell r="C857" t="str">
            <v>Cây hoa sữa vượt mật độ</v>
          </cell>
          <cell r="D857" t="str">
            <v>15cm &lt; đk gốc ≤ 25cm</v>
          </cell>
          <cell r="E857">
            <v>6.666666666666667</v>
          </cell>
          <cell r="F857" t="str">
            <v>cây</v>
          </cell>
          <cell r="G857">
            <v>378000</v>
          </cell>
          <cell r="H857">
            <v>0.4</v>
          </cell>
          <cell r="J857">
            <v>22680</v>
          </cell>
        </row>
        <row r="858">
          <cell r="B858" t="str">
            <v>hoasua2540vmd</v>
          </cell>
          <cell r="C858" t="str">
            <v>Cây hoa sữa vượt mật độ</v>
          </cell>
          <cell r="D858" t="str">
            <v>25cm &lt; đk gốc ≤ 40cm</v>
          </cell>
          <cell r="E858">
            <v>6.666666666666667</v>
          </cell>
          <cell r="F858" t="str">
            <v>cây</v>
          </cell>
          <cell r="G858">
            <v>520000</v>
          </cell>
          <cell r="H858">
            <v>0.4</v>
          </cell>
          <cell r="J858">
            <v>31200</v>
          </cell>
        </row>
        <row r="859">
          <cell r="B859" t="str">
            <v>hoasua4060vmd</v>
          </cell>
          <cell r="C859" t="str">
            <v>Cây hoa sữa vượt mật độ</v>
          </cell>
          <cell r="D859" t="str">
            <v>40cm &lt; đk gốc ≤ 60cm</v>
          </cell>
          <cell r="E859">
            <v>6.666666666666667</v>
          </cell>
          <cell r="F859" t="str">
            <v>cây</v>
          </cell>
          <cell r="G859">
            <v>710000</v>
          </cell>
          <cell r="H859">
            <v>0.4</v>
          </cell>
          <cell r="J859">
            <v>42600</v>
          </cell>
        </row>
        <row r="860">
          <cell r="B860" t="str">
            <v>hoasua60+vmd</v>
          </cell>
          <cell r="C860" t="str">
            <v>Cây hoa sữa vượt mật độ</v>
          </cell>
          <cell r="D860" t="str">
            <v>đk gốc từ trên 60cm</v>
          </cell>
          <cell r="E860">
            <v>6.666666666666667</v>
          </cell>
          <cell r="F860" t="str">
            <v>cây</v>
          </cell>
          <cell r="G860">
            <v>1236000</v>
          </cell>
          <cell r="H860">
            <v>0.4</v>
          </cell>
          <cell r="J860">
            <v>74160</v>
          </cell>
        </row>
        <row r="861">
          <cell r="C861" t="str">
            <v>Cây sấu</v>
          </cell>
          <cell r="J861" t="e">
            <v>#DIV/0!</v>
          </cell>
        </row>
        <row r="862">
          <cell r="B862" t="str">
            <v>sấu02</v>
          </cell>
          <cell r="C862" t="str">
            <v>Cây sấu</v>
          </cell>
          <cell r="D862" t="str">
            <v>đk gốc ≤ 2cm; H &gt; 50cm</v>
          </cell>
          <cell r="E862">
            <v>6.666666666666667</v>
          </cell>
          <cell r="F862" t="str">
            <v>cây</v>
          </cell>
          <cell r="G862">
            <v>25000</v>
          </cell>
          <cell r="H862">
            <v>0.5</v>
          </cell>
          <cell r="J862">
            <v>1875</v>
          </cell>
        </row>
        <row r="863">
          <cell r="B863" t="str">
            <v>sấu24</v>
          </cell>
          <cell r="C863" t="str">
            <v>Cây sấu</v>
          </cell>
          <cell r="D863" t="str">
            <v>2cm &lt; đk gốc ≤ 4cm</v>
          </cell>
          <cell r="E863">
            <v>6.666666666666667</v>
          </cell>
          <cell r="F863" t="str">
            <v>cây</v>
          </cell>
          <cell r="G863">
            <v>54000</v>
          </cell>
          <cell r="H863">
            <v>0.5</v>
          </cell>
          <cell r="J863">
            <v>4050</v>
          </cell>
        </row>
        <row r="864">
          <cell r="B864" t="str">
            <v>sấu48</v>
          </cell>
          <cell r="C864" t="str">
            <v>Cây sấu</v>
          </cell>
          <cell r="D864" t="str">
            <v>4cm &lt; đk gốc ≤ 8cm</v>
          </cell>
          <cell r="E864">
            <v>6.666666666666667</v>
          </cell>
          <cell r="F864" t="str">
            <v>cây</v>
          </cell>
          <cell r="G864">
            <v>112000</v>
          </cell>
          <cell r="H864">
            <v>0.5</v>
          </cell>
          <cell r="J864">
            <v>8400</v>
          </cell>
        </row>
        <row r="865">
          <cell r="B865" t="str">
            <v>sấu815</v>
          </cell>
          <cell r="C865" t="str">
            <v>Cây sấu</v>
          </cell>
          <cell r="D865" t="str">
            <v>8cm &lt; đk gốc ≤ 15cm</v>
          </cell>
          <cell r="E865">
            <v>6.666666666666667</v>
          </cell>
          <cell r="F865" t="str">
            <v>cây</v>
          </cell>
          <cell r="G865">
            <v>228000</v>
          </cell>
          <cell r="H865">
            <v>0.8</v>
          </cell>
          <cell r="J865">
            <v>27360</v>
          </cell>
        </row>
        <row r="866">
          <cell r="B866" t="str">
            <v>sấu1525</v>
          </cell>
          <cell r="C866" t="str">
            <v>Cây sấu</v>
          </cell>
          <cell r="D866" t="str">
            <v>15cm &lt; đk gốc ≤ 25cm</v>
          </cell>
          <cell r="E866">
            <v>6.666666666666667</v>
          </cell>
          <cell r="F866" t="str">
            <v>cây</v>
          </cell>
          <cell r="G866">
            <v>378000</v>
          </cell>
          <cell r="H866">
            <v>0.8</v>
          </cell>
          <cell r="J866">
            <v>45360</v>
          </cell>
        </row>
        <row r="867">
          <cell r="B867" t="str">
            <v>sấu2540</v>
          </cell>
          <cell r="C867" t="str">
            <v>Cây sấu</v>
          </cell>
          <cell r="D867" t="str">
            <v>25cm &lt; đk gốc ≤ 40cm</v>
          </cell>
          <cell r="E867">
            <v>6.666666666666667</v>
          </cell>
          <cell r="F867" t="str">
            <v>cây</v>
          </cell>
          <cell r="G867">
            <v>520000</v>
          </cell>
          <cell r="H867">
            <v>0.8</v>
          </cell>
          <cell r="J867">
            <v>62400</v>
          </cell>
        </row>
        <row r="868">
          <cell r="B868" t="str">
            <v>sấu4060</v>
          </cell>
          <cell r="C868" t="str">
            <v>Cây sấu</v>
          </cell>
          <cell r="D868" t="str">
            <v>40cm &lt; đk gốc ≤ 60cm</v>
          </cell>
          <cell r="E868">
            <v>6.666666666666667</v>
          </cell>
          <cell r="F868" t="str">
            <v>cây</v>
          </cell>
          <cell r="G868">
            <v>710000</v>
          </cell>
          <cell r="H868">
            <v>0.8</v>
          </cell>
          <cell r="J868">
            <v>85200</v>
          </cell>
        </row>
        <row r="869">
          <cell r="B869" t="str">
            <v>sấu60+</v>
          </cell>
          <cell r="C869" t="str">
            <v>Cây sấu</v>
          </cell>
          <cell r="D869" t="str">
            <v>đk gốc từ trên 60cm</v>
          </cell>
          <cell r="E869">
            <v>6.666666666666667</v>
          </cell>
          <cell r="F869" t="str">
            <v>cây</v>
          </cell>
          <cell r="G869">
            <v>1236000</v>
          </cell>
          <cell r="H869">
            <v>0.8</v>
          </cell>
          <cell r="J869">
            <v>148320</v>
          </cell>
        </row>
        <row r="870">
          <cell r="B870" t="str">
            <v>sấu02vmd</v>
          </cell>
          <cell r="C870" t="str">
            <v>Cây sấu vượt mật độ</v>
          </cell>
          <cell r="D870" t="str">
            <v>đk gốc ≤ 2cm; H &gt; 50cm</v>
          </cell>
          <cell r="E870">
            <v>6.666666666666667</v>
          </cell>
          <cell r="F870" t="str">
            <v>cây</v>
          </cell>
          <cell r="G870">
            <v>25000</v>
          </cell>
          <cell r="H870">
            <v>0.25</v>
          </cell>
          <cell r="J870">
            <v>937.5</v>
          </cell>
        </row>
        <row r="871">
          <cell r="B871" t="str">
            <v>sấu24vmd</v>
          </cell>
          <cell r="C871" t="str">
            <v>Cây sấu vượt mật độ</v>
          </cell>
          <cell r="D871" t="str">
            <v>2cm &lt; đk gốc ≤ 4cm</v>
          </cell>
          <cell r="E871">
            <v>6.666666666666667</v>
          </cell>
          <cell r="F871" t="str">
            <v>cây</v>
          </cell>
          <cell r="G871">
            <v>54000</v>
          </cell>
          <cell r="H871">
            <v>0.25</v>
          </cell>
          <cell r="J871">
            <v>2025</v>
          </cell>
        </row>
        <row r="872">
          <cell r="B872" t="str">
            <v>sấu48vmd</v>
          </cell>
          <cell r="C872" t="str">
            <v>Cây sấu vượt mật độ</v>
          </cell>
          <cell r="D872" t="str">
            <v>4cm &lt; đk gốc ≤ 8cm</v>
          </cell>
          <cell r="E872">
            <v>6.666666666666667</v>
          </cell>
          <cell r="F872" t="str">
            <v>cây</v>
          </cell>
          <cell r="G872">
            <v>112000</v>
          </cell>
          <cell r="H872">
            <v>0.25</v>
          </cell>
          <cell r="J872">
            <v>4200</v>
          </cell>
        </row>
        <row r="873">
          <cell r="B873" t="str">
            <v>sấu815vmd</v>
          </cell>
          <cell r="C873" t="str">
            <v>Cây sấu vượt mật độ</v>
          </cell>
          <cell r="D873" t="str">
            <v>8cm &lt; đk gốc ≤ 15cm</v>
          </cell>
          <cell r="E873">
            <v>6.666666666666667</v>
          </cell>
          <cell r="F873" t="str">
            <v>cây</v>
          </cell>
          <cell r="G873">
            <v>228000</v>
          </cell>
          <cell r="H873">
            <v>0.4</v>
          </cell>
          <cell r="J873">
            <v>13680</v>
          </cell>
        </row>
        <row r="874">
          <cell r="B874" t="str">
            <v>sấu1525vmd</v>
          </cell>
          <cell r="C874" t="str">
            <v>Cây sấu vượt mật độ</v>
          </cell>
          <cell r="D874" t="str">
            <v>15cm &lt; đk gốc ≤ 25cm</v>
          </cell>
          <cell r="E874">
            <v>6.666666666666667</v>
          </cell>
          <cell r="F874" t="str">
            <v>cây</v>
          </cell>
          <cell r="G874">
            <v>378000</v>
          </cell>
          <cell r="H874">
            <v>0.4</v>
          </cell>
          <cell r="J874">
            <v>22680</v>
          </cell>
        </row>
        <row r="875">
          <cell r="B875" t="str">
            <v>sấu2540vmd</v>
          </cell>
          <cell r="C875" t="str">
            <v>Cây sấu vượt mật độ</v>
          </cell>
          <cell r="D875" t="str">
            <v>25cm &lt; đk gốc ≤ 40cm</v>
          </cell>
          <cell r="E875">
            <v>6.666666666666667</v>
          </cell>
          <cell r="F875" t="str">
            <v>cây</v>
          </cell>
          <cell r="G875">
            <v>520000</v>
          </cell>
          <cell r="H875">
            <v>0.4</v>
          </cell>
          <cell r="J875">
            <v>31200</v>
          </cell>
        </row>
        <row r="876">
          <cell r="B876" t="str">
            <v>sấu4060vmd</v>
          </cell>
          <cell r="C876" t="str">
            <v>Cây sấu vượt mật độ</v>
          </cell>
          <cell r="D876" t="str">
            <v>40cm &lt; đk gốc ≤ 60cm</v>
          </cell>
          <cell r="E876">
            <v>6.666666666666667</v>
          </cell>
          <cell r="F876" t="str">
            <v>cây</v>
          </cell>
          <cell r="G876">
            <v>710000</v>
          </cell>
          <cell r="H876">
            <v>0.4</v>
          </cell>
          <cell r="J876">
            <v>42600</v>
          </cell>
        </row>
        <row r="877">
          <cell r="B877" t="str">
            <v>sấu60+vmd</v>
          </cell>
          <cell r="C877" t="str">
            <v>Cây sấu vượt mật độ</v>
          </cell>
          <cell r="D877" t="str">
            <v>đk gốc từ trên 60cm</v>
          </cell>
          <cell r="E877">
            <v>6.666666666666667</v>
          </cell>
          <cell r="F877" t="str">
            <v>cây</v>
          </cell>
          <cell r="G877">
            <v>1236000</v>
          </cell>
          <cell r="H877">
            <v>0.4</v>
          </cell>
          <cell r="J877">
            <v>74160</v>
          </cell>
        </row>
        <row r="878">
          <cell r="C878" t="str">
            <v>Cây phượng vĩ</v>
          </cell>
          <cell r="J878" t="e">
            <v>#DIV/0!</v>
          </cell>
        </row>
        <row r="879">
          <cell r="B879" t="str">
            <v>phuongvi02</v>
          </cell>
          <cell r="C879" t="str">
            <v>Cây phượng vĩ</v>
          </cell>
          <cell r="D879" t="str">
            <v>đk gốc ≤ 2cm; H &gt; 50cm</v>
          </cell>
          <cell r="E879">
            <v>6.666666666666667</v>
          </cell>
          <cell r="F879" t="str">
            <v>cây</v>
          </cell>
          <cell r="G879">
            <v>25000</v>
          </cell>
          <cell r="H879">
            <v>0.5</v>
          </cell>
          <cell r="J879">
            <v>1875</v>
          </cell>
        </row>
        <row r="880">
          <cell r="B880" t="str">
            <v>phuongvi24</v>
          </cell>
          <cell r="C880" t="str">
            <v>Cây phượng vĩ</v>
          </cell>
          <cell r="D880" t="str">
            <v>2cm &lt; đk gốc ≤ 4cm</v>
          </cell>
          <cell r="E880">
            <v>6.666666666666667</v>
          </cell>
          <cell r="F880" t="str">
            <v>cây</v>
          </cell>
          <cell r="G880">
            <v>54000</v>
          </cell>
          <cell r="H880">
            <v>0.5</v>
          </cell>
          <cell r="J880">
            <v>4050</v>
          </cell>
        </row>
        <row r="881">
          <cell r="B881" t="str">
            <v>phuongvi48</v>
          </cell>
          <cell r="C881" t="str">
            <v>Cây phượng vĩ</v>
          </cell>
          <cell r="D881" t="str">
            <v>4cm &lt; đk gốc ≤ 8cm</v>
          </cell>
          <cell r="E881">
            <v>6.666666666666667</v>
          </cell>
          <cell r="F881" t="str">
            <v>cây</v>
          </cell>
          <cell r="G881">
            <v>112000</v>
          </cell>
          <cell r="H881">
            <v>0.5</v>
          </cell>
          <cell r="J881">
            <v>8400</v>
          </cell>
        </row>
        <row r="882">
          <cell r="B882" t="str">
            <v>phuongvi815</v>
          </cell>
          <cell r="C882" t="str">
            <v>Cây phượng vĩ</v>
          </cell>
          <cell r="D882" t="str">
            <v>8cm &lt; đk gốc ≤ 15cm</v>
          </cell>
          <cell r="E882">
            <v>6.666666666666667</v>
          </cell>
          <cell r="F882" t="str">
            <v>cây</v>
          </cell>
          <cell r="G882">
            <v>228000</v>
          </cell>
          <cell r="H882">
            <v>0.8</v>
          </cell>
          <cell r="J882">
            <v>27360</v>
          </cell>
        </row>
        <row r="883">
          <cell r="B883" t="str">
            <v>phuongvi1525</v>
          </cell>
          <cell r="C883" t="str">
            <v>Cây phượng vĩ</v>
          </cell>
          <cell r="D883" t="str">
            <v>15cm &lt; đk gốc ≤ 25cm</v>
          </cell>
          <cell r="E883">
            <v>6.666666666666667</v>
          </cell>
          <cell r="F883" t="str">
            <v>cây</v>
          </cell>
          <cell r="G883">
            <v>378000</v>
          </cell>
          <cell r="H883">
            <v>0.8</v>
          </cell>
          <cell r="J883">
            <v>45360</v>
          </cell>
        </row>
        <row r="884">
          <cell r="B884" t="str">
            <v>phuongvi2540</v>
          </cell>
          <cell r="C884" t="str">
            <v>Cây phượng vĩ</v>
          </cell>
          <cell r="D884" t="str">
            <v>25cm &lt; đk gốc ≤ 40cm</v>
          </cell>
          <cell r="E884">
            <v>6.666666666666667</v>
          </cell>
          <cell r="F884" t="str">
            <v>cây</v>
          </cell>
          <cell r="G884">
            <v>520000</v>
          </cell>
          <cell r="H884">
            <v>0.8</v>
          </cell>
          <cell r="J884">
            <v>62400</v>
          </cell>
        </row>
        <row r="885">
          <cell r="B885" t="str">
            <v>phuongvi4060</v>
          </cell>
          <cell r="C885" t="str">
            <v>Cây phượng vĩ</v>
          </cell>
          <cell r="D885" t="str">
            <v>40cm &lt; đk gốc ≤ 60cm</v>
          </cell>
          <cell r="E885">
            <v>6.666666666666667</v>
          </cell>
          <cell r="F885" t="str">
            <v>cây</v>
          </cell>
          <cell r="G885">
            <v>710000</v>
          </cell>
          <cell r="H885">
            <v>0.8</v>
          </cell>
          <cell r="J885">
            <v>85200</v>
          </cell>
        </row>
        <row r="886">
          <cell r="B886" t="str">
            <v>phuongvi60+</v>
          </cell>
          <cell r="C886" t="str">
            <v>Cây phượng vĩ</v>
          </cell>
          <cell r="D886" t="str">
            <v>đk gốc từ trên 60cm</v>
          </cell>
          <cell r="E886">
            <v>6.666666666666667</v>
          </cell>
          <cell r="F886" t="str">
            <v>cây</v>
          </cell>
          <cell r="G886">
            <v>1236000</v>
          </cell>
          <cell r="H886">
            <v>0.8</v>
          </cell>
          <cell r="J886">
            <v>148320</v>
          </cell>
        </row>
        <row r="887">
          <cell r="B887" t="str">
            <v>phuongvi02vmd</v>
          </cell>
          <cell r="C887" t="str">
            <v>Cây phượng vĩ vượt mật độ</v>
          </cell>
          <cell r="D887" t="str">
            <v>đk gốc ≤ 2cm; H &gt; 50cm</v>
          </cell>
          <cell r="E887">
            <v>6.666666666666667</v>
          </cell>
          <cell r="F887" t="str">
            <v>cây</v>
          </cell>
          <cell r="G887">
            <v>25000</v>
          </cell>
          <cell r="H887">
            <v>0.25</v>
          </cell>
          <cell r="J887">
            <v>937.5</v>
          </cell>
        </row>
        <row r="888">
          <cell r="B888" t="str">
            <v>phuongvi24vmd</v>
          </cell>
          <cell r="C888" t="str">
            <v>Cây phượng vĩ vượt mật độ</v>
          </cell>
          <cell r="D888" t="str">
            <v>2cm &lt; đk gốc ≤ 4cm</v>
          </cell>
          <cell r="E888">
            <v>6.666666666666667</v>
          </cell>
          <cell r="F888" t="str">
            <v>cây</v>
          </cell>
          <cell r="G888">
            <v>54000</v>
          </cell>
          <cell r="H888">
            <v>0.25</v>
          </cell>
          <cell r="J888">
            <v>2025</v>
          </cell>
        </row>
        <row r="889">
          <cell r="B889" t="str">
            <v>phuongvi48vmd</v>
          </cell>
          <cell r="C889" t="str">
            <v>Cây phượng vĩ vượt mật độ</v>
          </cell>
          <cell r="D889" t="str">
            <v>4cm &lt; đk gốc ≤ 8cm</v>
          </cell>
          <cell r="E889">
            <v>6.666666666666667</v>
          </cell>
          <cell r="F889" t="str">
            <v>cây</v>
          </cell>
          <cell r="G889">
            <v>112000</v>
          </cell>
          <cell r="H889">
            <v>0.25</v>
          </cell>
          <cell r="J889">
            <v>4200</v>
          </cell>
        </row>
        <row r="890">
          <cell r="B890" t="str">
            <v>phuongvi815vmd</v>
          </cell>
          <cell r="C890" t="str">
            <v>Cây phượng vĩ vượt mật độ</v>
          </cell>
          <cell r="D890" t="str">
            <v>8cm &lt; đk gốc ≤ 15cm</v>
          </cell>
          <cell r="E890">
            <v>6.666666666666667</v>
          </cell>
          <cell r="F890" t="str">
            <v>cây</v>
          </cell>
          <cell r="G890">
            <v>228000</v>
          </cell>
          <cell r="H890">
            <v>0.4</v>
          </cell>
          <cell r="J890">
            <v>13680</v>
          </cell>
        </row>
        <row r="891">
          <cell r="B891" t="str">
            <v>phuongvi1525vmd</v>
          </cell>
          <cell r="C891" t="str">
            <v>Cây phượng vĩ vượt mật độ</v>
          </cell>
          <cell r="D891" t="str">
            <v>15cm &lt; đk gốc ≤ 25cm</v>
          </cell>
          <cell r="E891">
            <v>6.666666666666667</v>
          </cell>
          <cell r="F891" t="str">
            <v>cây</v>
          </cell>
          <cell r="G891">
            <v>378000</v>
          </cell>
          <cell r="H891">
            <v>0.4</v>
          </cell>
          <cell r="J891">
            <v>22680</v>
          </cell>
        </row>
        <row r="892">
          <cell r="B892" t="str">
            <v>phuongvi2540vmd</v>
          </cell>
          <cell r="C892" t="str">
            <v>Cây phượng vĩ vượt mật độ</v>
          </cell>
          <cell r="D892" t="str">
            <v>25cm &lt; đk gốc ≤ 40cm</v>
          </cell>
          <cell r="E892">
            <v>6.666666666666667</v>
          </cell>
          <cell r="F892" t="str">
            <v>cây</v>
          </cell>
          <cell r="G892">
            <v>520000</v>
          </cell>
          <cell r="H892">
            <v>0.4</v>
          </cell>
          <cell r="J892">
            <v>31200</v>
          </cell>
        </row>
        <row r="893">
          <cell r="B893" t="str">
            <v>phuongvi4060vmd</v>
          </cell>
          <cell r="C893" t="str">
            <v>Cây phượng vĩ vượt mật độ</v>
          </cell>
          <cell r="D893" t="str">
            <v>40cm &lt; đk gốc ≤ 60cm</v>
          </cell>
          <cell r="E893">
            <v>6.666666666666667</v>
          </cell>
          <cell r="F893" t="str">
            <v>cây</v>
          </cell>
          <cell r="G893">
            <v>710000</v>
          </cell>
          <cell r="H893">
            <v>0.4</v>
          </cell>
          <cell r="J893">
            <v>42600</v>
          </cell>
        </row>
        <row r="894">
          <cell r="B894" t="str">
            <v>phuongvi60+vmd</v>
          </cell>
          <cell r="C894" t="str">
            <v>Cây phượng vĩ vượt mật độ</v>
          </cell>
          <cell r="D894" t="str">
            <v>đk gốc từ trên 60cm</v>
          </cell>
          <cell r="E894">
            <v>6.666666666666667</v>
          </cell>
          <cell r="F894" t="str">
            <v>cây</v>
          </cell>
          <cell r="G894">
            <v>1236000</v>
          </cell>
          <cell r="H894">
            <v>0.4</v>
          </cell>
          <cell r="J894">
            <v>74160</v>
          </cell>
        </row>
        <row r="895">
          <cell r="C895" t="str">
            <v>Cây đa</v>
          </cell>
          <cell r="J895" t="e">
            <v>#DIV/0!</v>
          </cell>
        </row>
        <row r="896">
          <cell r="B896" t="str">
            <v>đa02</v>
          </cell>
          <cell r="C896" t="str">
            <v>Cây đa</v>
          </cell>
          <cell r="D896" t="str">
            <v>đk gốc ≤ 2cm; H &gt; 50cm</v>
          </cell>
          <cell r="E896">
            <v>6.666666666666667</v>
          </cell>
          <cell r="F896" t="str">
            <v>cây</v>
          </cell>
          <cell r="G896">
            <v>25000</v>
          </cell>
          <cell r="H896">
            <v>0.5</v>
          </cell>
          <cell r="J896">
            <v>1875</v>
          </cell>
        </row>
        <row r="897">
          <cell r="B897" t="str">
            <v>đa24</v>
          </cell>
          <cell r="C897" t="str">
            <v>Cây đa</v>
          </cell>
          <cell r="D897" t="str">
            <v>2cm &lt; đk gốc ≤ 4cm</v>
          </cell>
          <cell r="E897">
            <v>6.666666666666667</v>
          </cell>
          <cell r="F897" t="str">
            <v>cây</v>
          </cell>
          <cell r="G897">
            <v>54000</v>
          </cell>
          <cell r="H897">
            <v>0.5</v>
          </cell>
          <cell r="J897">
            <v>4050</v>
          </cell>
        </row>
        <row r="898">
          <cell r="B898" t="str">
            <v>đa48</v>
          </cell>
          <cell r="C898" t="str">
            <v>Cây đa</v>
          </cell>
          <cell r="D898" t="str">
            <v>4cm &lt; đk gốc ≤ 8cm</v>
          </cell>
          <cell r="E898">
            <v>6.666666666666667</v>
          </cell>
          <cell r="F898" t="str">
            <v>cây</v>
          </cell>
          <cell r="G898">
            <v>112000</v>
          </cell>
          <cell r="H898">
            <v>0.5</v>
          </cell>
          <cell r="J898">
            <v>8400</v>
          </cell>
        </row>
        <row r="899">
          <cell r="B899" t="str">
            <v>đa815</v>
          </cell>
          <cell r="C899" t="str">
            <v>Cây đa</v>
          </cell>
          <cell r="D899" t="str">
            <v>8cm &lt; đk gốc ≤ 15cm</v>
          </cell>
          <cell r="E899">
            <v>6.666666666666667</v>
          </cell>
          <cell r="F899" t="str">
            <v>cây</v>
          </cell>
          <cell r="G899">
            <v>228000</v>
          </cell>
          <cell r="H899">
            <v>0.8</v>
          </cell>
          <cell r="J899">
            <v>27360</v>
          </cell>
        </row>
        <row r="900">
          <cell r="B900" t="str">
            <v>đa1525</v>
          </cell>
          <cell r="C900" t="str">
            <v>Cây đa</v>
          </cell>
          <cell r="D900" t="str">
            <v>15cm &lt; đk gốc ≤ 25cm</v>
          </cell>
          <cell r="E900">
            <v>6.666666666666667</v>
          </cell>
          <cell r="F900" t="str">
            <v>cây</v>
          </cell>
          <cell r="G900">
            <v>378000</v>
          </cell>
          <cell r="H900">
            <v>0.8</v>
          </cell>
          <cell r="J900">
            <v>45360</v>
          </cell>
        </row>
        <row r="901">
          <cell r="B901" t="str">
            <v>đa2540</v>
          </cell>
          <cell r="C901" t="str">
            <v>Cây đa</v>
          </cell>
          <cell r="D901" t="str">
            <v>25cm &lt; đk gốc ≤ 40cm</v>
          </cell>
          <cell r="E901">
            <v>6.666666666666667</v>
          </cell>
          <cell r="F901" t="str">
            <v>cây</v>
          </cell>
          <cell r="G901">
            <v>520000</v>
          </cell>
          <cell r="H901">
            <v>0.8</v>
          </cell>
          <cell r="J901">
            <v>62400</v>
          </cell>
        </row>
        <row r="902">
          <cell r="B902" t="str">
            <v>đa4060</v>
          </cell>
          <cell r="C902" t="str">
            <v>Cây đa</v>
          </cell>
          <cell r="D902" t="str">
            <v>40cm &lt; đk gốc ≤ 60cm</v>
          </cell>
          <cell r="E902">
            <v>6.666666666666667</v>
          </cell>
          <cell r="F902" t="str">
            <v>cây</v>
          </cell>
          <cell r="G902">
            <v>710000</v>
          </cell>
          <cell r="H902">
            <v>0.8</v>
          </cell>
          <cell r="J902">
            <v>85200</v>
          </cell>
        </row>
        <row r="903">
          <cell r="B903" t="str">
            <v>đa60+</v>
          </cell>
          <cell r="C903" t="str">
            <v>Cây đa</v>
          </cell>
          <cell r="D903" t="str">
            <v>đk gốc từ trên 60cm</v>
          </cell>
          <cell r="E903">
            <v>6.666666666666667</v>
          </cell>
          <cell r="F903" t="str">
            <v>cây</v>
          </cell>
          <cell r="G903">
            <v>1236000</v>
          </cell>
          <cell r="H903">
            <v>0.8</v>
          </cell>
          <cell r="J903">
            <v>148320</v>
          </cell>
        </row>
        <row r="904">
          <cell r="B904" t="str">
            <v>đa02vmd</v>
          </cell>
          <cell r="C904" t="str">
            <v>Cây đa vượt mật độ</v>
          </cell>
          <cell r="D904" t="str">
            <v>đk gốc ≤ 2cm; H &gt; 50cm</v>
          </cell>
          <cell r="E904">
            <v>6.666666666666667</v>
          </cell>
          <cell r="F904" t="str">
            <v>cây</v>
          </cell>
          <cell r="G904">
            <v>25000</v>
          </cell>
          <cell r="H904">
            <v>0.25</v>
          </cell>
          <cell r="J904">
            <v>937.5</v>
          </cell>
        </row>
        <row r="905">
          <cell r="B905" t="str">
            <v>đa24vmd</v>
          </cell>
          <cell r="C905" t="str">
            <v>Cây đa vượt mật độ</v>
          </cell>
          <cell r="D905" t="str">
            <v>2cm &lt; đk gốc ≤ 4cm</v>
          </cell>
          <cell r="E905">
            <v>6.666666666666667</v>
          </cell>
          <cell r="F905" t="str">
            <v>cây</v>
          </cell>
          <cell r="G905">
            <v>54000</v>
          </cell>
          <cell r="H905">
            <v>0.25</v>
          </cell>
          <cell r="J905">
            <v>2025</v>
          </cell>
        </row>
        <row r="906">
          <cell r="B906" t="str">
            <v>đa48vmd</v>
          </cell>
          <cell r="C906" t="str">
            <v>Cây đa vượt mật độ</v>
          </cell>
          <cell r="D906" t="str">
            <v>4cm &lt; đk gốc ≤ 8cm</v>
          </cell>
          <cell r="E906">
            <v>6.666666666666667</v>
          </cell>
          <cell r="F906" t="str">
            <v>cây</v>
          </cell>
          <cell r="G906">
            <v>112000</v>
          </cell>
          <cell r="H906">
            <v>0.25</v>
          </cell>
          <cell r="J906">
            <v>4200</v>
          </cell>
        </row>
        <row r="907">
          <cell r="B907" t="str">
            <v>đa815vmd</v>
          </cell>
          <cell r="C907" t="str">
            <v>Cây đa vượt mật độ</v>
          </cell>
          <cell r="D907" t="str">
            <v>8cm &lt; đk gốc ≤ 15cm</v>
          </cell>
          <cell r="E907">
            <v>6.666666666666667</v>
          </cell>
          <cell r="F907" t="str">
            <v>cây</v>
          </cell>
          <cell r="G907">
            <v>228000</v>
          </cell>
          <cell r="H907">
            <v>0.4</v>
          </cell>
          <cell r="J907">
            <v>13680</v>
          </cell>
        </row>
        <row r="908">
          <cell r="B908" t="str">
            <v>đa1525vmd</v>
          </cell>
          <cell r="C908" t="str">
            <v>Cây đa vượt mật độ</v>
          </cell>
          <cell r="D908" t="str">
            <v>15cm &lt; đk gốc ≤ 25cm</v>
          </cell>
          <cell r="E908">
            <v>6.666666666666667</v>
          </cell>
          <cell r="F908" t="str">
            <v>cây</v>
          </cell>
          <cell r="G908">
            <v>378000</v>
          </cell>
          <cell r="H908">
            <v>0.4</v>
          </cell>
          <cell r="J908">
            <v>22680</v>
          </cell>
        </row>
        <row r="909">
          <cell r="B909" t="str">
            <v>đa2540vmd</v>
          </cell>
          <cell r="C909" t="str">
            <v>Cây đa vượt mật độ</v>
          </cell>
          <cell r="D909" t="str">
            <v>25cm &lt; đk gốc ≤ 40cm</v>
          </cell>
          <cell r="E909">
            <v>6.666666666666667</v>
          </cell>
          <cell r="F909" t="str">
            <v>cây</v>
          </cell>
          <cell r="G909">
            <v>520000</v>
          </cell>
          <cell r="H909">
            <v>0.4</v>
          </cell>
          <cell r="J909">
            <v>31200</v>
          </cell>
        </row>
        <row r="910">
          <cell r="B910" t="str">
            <v>đa4060vmd</v>
          </cell>
          <cell r="C910" t="str">
            <v>Cây đa vượt mật độ</v>
          </cell>
          <cell r="D910" t="str">
            <v>40cm &lt; đk gốc ≤ 60cm</v>
          </cell>
          <cell r="E910">
            <v>6.666666666666667</v>
          </cell>
          <cell r="F910" t="str">
            <v>cây</v>
          </cell>
          <cell r="G910">
            <v>710000</v>
          </cell>
          <cell r="H910">
            <v>0.4</v>
          </cell>
          <cell r="J910">
            <v>42600</v>
          </cell>
        </row>
        <row r="911">
          <cell r="B911" t="str">
            <v>đa60+vmd</v>
          </cell>
          <cell r="C911" t="str">
            <v>Cây đa vượt mật độ</v>
          </cell>
          <cell r="D911" t="str">
            <v>đk gốc từ trên 60cm</v>
          </cell>
          <cell r="E911">
            <v>6.666666666666667</v>
          </cell>
          <cell r="F911" t="str">
            <v>cây</v>
          </cell>
          <cell r="G911">
            <v>1236000</v>
          </cell>
          <cell r="H911">
            <v>0.4</v>
          </cell>
          <cell r="J911">
            <v>74160</v>
          </cell>
        </row>
        <row r="912">
          <cell r="C912" t="str">
            <v>Cây bằng lăng</v>
          </cell>
          <cell r="J912" t="e">
            <v>#DIV/0!</v>
          </cell>
        </row>
        <row r="913">
          <cell r="B913" t="str">
            <v>banglang02</v>
          </cell>
          <cell r="C913" t="str">
            <v>Cây bằng lăng</v>
          </cell>
          <cell r="D913" t="str">
            <v>đk gốc ≤ 2cm; H &gt; 50cm</v>
          </cell>
          <cell r="E913">
            <v>6.666666666666667</v>
          </cell>
          <cell r="F913" t="str">
            <v>cây</v>
          </cell>
          <cell r="G913">
            <v>25000</v>
          </cell>
          <cell r="H913">
            <v>0.5</v>
          </cell>
          <cell r="J913">
            <v>1875</v>
          </cell>
        </row>
        <row r="914">
          <cell r="B914" t="str">
            <v>banglang24</v>
          </cell>
          <cell r="C914" t="str">
            <v>Cây bằng lăng</v>
          </cell>
          <cell r="D914" t="str">
            <v>2cm &lt; đk gốc ≤ 4cm</v>
          </cell>
          <cell r="E914">
            <v>6.666666666666667</v>
          </cell>
          <cell r="F914" t="str">
            <v>cây</v>
          </cell>
          <cell r="G914">
            <v>54000</v>
          </cell>
          <cell r="H914">
            <v>0.5</v>
          </cell>
          <cell r="J914">
            <v>4050</v>
          </cell>
        </row>
        <row r="915">
          <cell r="B915" t="str">
            <v>banglang48</v>
          </cell>
          <cell r="C915" t="str">
            <v>Cây bằng lăng</v>
          </cell>
          <cell r="D915" t="str">
            <v>4cm &lt; đk gốc ≤ 8cm</v>
          </cell>
          <cell r="E915">
            <v>6.666666666666667</v>
          </cell>
          <cell r="F915" t="str">
            <v>cây</v>
          </cell>
          <cell r="G915">
            <v>112000</v>
          </cell>
          <cell r="H915">
            <v>0.5</v>
          </cell>
          <cell r="J915">
            <v>8400</v>
          </cell>
        </row>
        <row r="916">
          <cell r="B916" t="str">
            <v>banglang815</v>
          </cell>
          <cell r="C916" t="str">
            <v>Cây bằng lăng</v>
          </cell>
          <cell r="D916" t="str">
            <v>8cm &lt; đk gốc ≤ 15cm</v>
          </cell>
          <cell r="E916">
            <v>6.666666666666667</v>
          </cell>
          <cell r="F916" t="str">
            <v>cây</v>
          </cell>
          <cell r="G916">
            <v>228000</v>
          </cell>
          <cell r="H916">
            <v>0.8</v>
          </cell>
          <cell r="J916">
            <v>27360</v>
          </cell>
        </row>
        <row r="917">
          <cell r="B917" t="str">
            <v>banglang1525</v>
          </cell>
          <cell r="C917" t="str">
            <v>Cây bằng lăng</v>
          </cell>
          <cell r="D917" t="str">
            <v>15cm &lt; đk gốc ≤ 25cm</v>
          </cell>
          <cell r="E917">
            <v>6.666666666666667</v>
          </cell>
          <cell r="F917" t="str">
            <v>cây</v>
          </cell>
          <cell r="G917">
            <v>378000</v>
          </cell>
          <cell r="H917">
            <v>0.8</v>
          </cell>
          <cell r="J917">
            <v>45360</v>
          </cell>
        </row>
        <row r="918">
          <cell r="B918" t="str">
            <v>banglang2540</v>
          </cell>
          <cell r="C918" t="str">
            <v>Cây bằng lăng</v>
          </cell>
          <cell r="D918" t="str">
            <v>25cm &lt; đk gốc ≤ 40cm</v>
          </cell>
          <cell r="E918">
            <v>6.666666666666667</v>
          </cell>
          <cell r="F918" t="str">
            <v>cây</v>
          </cell>
          <cell r="G918">
            <v>520000</v>
          </cell>
          <cell r="H918">
            <v>0.8</v>
          </cell>
          <cell r="J918">
            <v>62400</v>
          </cell>
        </row>
        <row r="919">
          <cell r="B919" t="str">
            <v>banglang4060</v>
          </cell>
          <cell r="C919" t="str">
            <v>Cây bằng lăng</v>
          </cell>
          <cell r="D919" t="str">
            <v>40cm &lt; đk gốc ≤ 60cm</v>
          </cell>
          <cell r="E919">
            <v>6.666666666666667</v>
          </cell>
          <cell r="F919" t="str">
            <v>cây</v>
          </cell>
          <cell r="G919">
            <v>710000</v>
          </cell>
          <cell r="H919">
            <v>0.8</v>
          </cell>
          <cell r="J919">
            <v>85200</v>
          </cell>
        </row>
        <row r="920">
          <cell r="B920" t="str">
            <v>banglang60+</v>
          </cell>
          <cell r="C920" t="str">
            <v>Cây bằng lăng</v>
          </cell>
          <cell r="D920" t="str">
            <v>đk gốc từ trên 60cm</v>
          </cell>
          <cell r="E920">
            <v>6.666666666666667</v>
          </cell>
          <cell r="F920" t="str">
            <v>cây</v>
          </cell>
          <cell r="G920">
            <v>1236000</v>
          </cell>
          <cell r="H920">
            <v>0.8</v>
          </cell>
          <cell r="J920">
            <v>148320</v>
          </cell>
        </row>
        <row r="921">
          <cell r="B921" t="str">
            <v>banglang02vmd</v>
          </cell>
          <cell r="C921" t="str">
            <v>Cây bằng lăng vượt mật độ</v>
          </cell>
          <cell r="D921" t="str">
            <v>đk gốc ≤ 2cm; H &gt; 50cm</v>
          </cell>
          <cell r="E921">
            <v>6.666666666666667</v>
          </cell>
          <cell r="F921" t="str">
            <v>cây</v>
          </cell>
          <cell r="G921">
            <v>25000</v>
          </cell>
          <cell r="H921">
            <v>0.25</v>
          </cell>
          <cell r="J921">
            <v>937.5</v>
          </cell>
        </row>
        <row r="922">
          <cell r="B922" t="str">
            <v>banglang24vmd</v>
          </cell>
          <cell r="C922" t="str">
            <v>Cây bằng lăng vượt mật độ</v>
          </cell>
          <cell r="D922" t="str">
            <v>2cm &lt; đk gốc ≤ 4cm</v>
          </cell>
          <cell r="E922">
            <v>6.666666666666667</v>
          </cell>
          <cell r="F922" t="str">
            <v>cây</v>
          </cell>
          <cell r="G922">
            <v>54000</v>
          </cell>
          <cell r="H922">
            <v>0.25</v>
          </cell>
          <cell r="J922">
            <v>2025</v>
          </cell>
        </row>
        <row r="923">
          <cell r="B923" t="str">
            <v>banglang48vmd</v>
          </cell>
          <cell r="C923" t="str">
            <v>Cây bằng lăng vượt mật độ</v>
          </cell>
          <cell r="D923" t="str">
            <v>4cm &lt; đk gốc ≤ 8cm</v>
          </cell>
          <cell r="E923">
            <v>6.666666666666667</v>
          </cell>
          <cell r="F923" t="str">
            <v>cây</v>
          </cell>
          <cell r="G923">
            <v>112000</v>
          </cell>
          <cell r="H923">
            <v>0.25</v>
          </cell>
          <cell r="J923">
            <v>4200</v>
          </cell>
        </row>
        <row r="924">
          <cell r="B924" t="str">
            <v>banglang815vmd</v>
          </cell>
          <cell r="C924" t="str">
            <v>Cây bằng lăng vượt mật độ</v>
          </cell>
          <cell r="D924" t="str">
            <v>8cm &lt; đk gốc ≤ 15cm</v>
          </cell>
          <cell r="E924">
            <v>6.666666666666667</v>
          </cell>
          <cell r="F924" t="str">
            <v>cây</v>
          </cell>
          <cell r="G924">
            <v>228000</v>
          </cell>
          <cell r="H924">
            <v>0.4</v>
          </cell>
          <cell r="J924">
            <v>13680</v>
          </cell>
        </row>
        <row r="925">
          <cell r="B925" t="str">
            <v>banglang1525vmd</v>
          </cell>
          <cell r="C925" t="str">
            <v>Cây bằng lăng vượt mật độ</v>
          </cell>
          <cell r="D925" t="str">
            <v>15cm &lt; đk gốc ≤ 25cm</v>
          </cell>
          <cell r="E925">
            <v>6.666666666666667</v>
          </cell>
          <cell r="F925" t="str">
            <v>cây</v>
          </cell>
          <cell r="G925">
            <v>378000</v>
          </cell>
          <cell r="H925">
            <v>0.4</v>
          </cell>
          <cell r="J925">
            <v>22680</v>
          </cell>
        </row>
        <row r="926">
          <cell r="B926" t="str">
            <v>banglang2540vmd</v>
          </cell>
          <cell r="C926" t="str">
            <v>Cây bằng lăng vượt mật độ</v>
          </cell>
          <cell r="D926" t="str">
            <v>25cm &lt; đk gốc ≤ 40cm</v>
          </cell>
          <cell r="E926">
            <v>6.666666666666667</v>
          </cell>
          <cell r="F926" t="str">
            <v>cây</v>
          </cell>
          <cell r="G926">
            <v>520000</v>
          </cell>
          <cell r="H926">
            <v>0.4</v>
          </cell>
          <cell r="J926">
            <v>31200</v>
          </cell>
        </row>
        <row r="927">
          <cell r="B927" t="str">
            <v>banglang4060vmd</v>
          </cell>
          <cell r="C927" t="str">
            <v>Cây bằng lăng vượt mật độ</v>
          </cell>
          <cell r="D927" t="str">
            <v>40cm &lt; đk gốc ≤ 60cm</v>
          </cell>
          <cell r="E927">
            <v>6.666666666666667</v>
          </cell>
          <cell r="F927" t="str">
            <v>cây</v>
          </cell>
          <cell r="G927">
            <v>710000</v>
          </cell>
          <cell r="H927">
            <v>0.4</v>
          </cell>
          <cell r="J927">
            <v>42600</v>
          </cell>
        </row>
        <row r="928">
          <cell r="B928" t="str">
            <v>banglang60+vmd</v>
          </cell>
          <cell r="C928" t="str">
            <v>Cây bằng lăng vượt mật độ</v>
          </cell>
          <cell r="D928" t="str">
            <v>đk gốc từ trên 60cm</v>
          </cell>
          <cell r="E928">
            <v>6.666666666666667</v>
          </cell>
          <cell r="F928" t="str">
            <v>cây</v>
          </cell>
          <cell r="G928">
            <v>1236000</v>
          </cell>
          <cell r="H928">
            <v>0.4</v>
          </cell>
          <cell r="J928">
            <v>74160</v>
          </cell>
        </row>
        <row r="929">
          <cell r="C929" t="str">
            <v>Cây Osaka</v>
          </cell>
          <cell r="J929" t="e">
            <v>#DIV/0!</v>
          </cell>
        </row>
        <row r="930">
          <cell r="B930" t="str">
            <v>Osaka02</v>
          </cell>
          <cell r="C930" t="str">
            <v>Cây Osaka</v>
          </cell>
          <cell r="D930" t="str">
            <v>đk gốc ≤ 2cm; H &gt; 50cm</v>
          </cell>
          <cell r="E930">
            <v>6.666666666666667</v>
          </cell>
          <cell r="F930" t="str">
            <v>cây</v>
          </cell>
          <cell r="G930">
            <v>25000</v>
          </cell>
          <cell r="H930">
            <v>0.5</v>
          </cell>
          <cell r="J930">
            <v>1875</v>
          </cell>
        </row>
        <row r="931">
          <cell r="B931" t="str">
            <v>Osaka24</v>
          </cell>
          <cell r="C931" t="str">
            <v>Cây Osaka</v>
          </cell>
          <cell r="D931" t="str">
            <v>2cm &lt; đk gốc ≤ 4cm</v>
          </cell>
          <cell r="E931">
            <v>6.666666666666667</v>
          </cell>
          <cell r="F931" t="str">
            <v>cây</v>
          </cell>
          <cell r="G931">
            <v>54000</v>
          </cell>
          <cell r="H931">
            <v>0.5</v>
          </cell>
          <cell r="J931">
            <v>4050</v>
          </cell>
        </row>
        <row r="932">
          <cell r="B932" t="str">
            <v>Osaka48</v>
          </cell>
          <cell r="C932" t="str">
            <v>Cây Osaka</v>
          </cell>
          <cell r="D932" t="str">
            <v>4cm &lt; đk gốc ≤ 8cm</v>
          </cell>
          <cell r="E932">
            <v>6.666666666666667</v>
          </cell>
          <cell r="F932" t="str">
            <v>cây</v>
          </cell>
          <cell r="G932">
            <v>112000</v>
          </cell>
          <cell r="H932">
            <v>0.5</v>
          </cell>
          <cell r="J932">
            <v>8400</v>
          </cell>
        </row>
        <row r="933">
          <cell r="B933" t="str">
            <v>Osaka815</v>
          </cell>
          <cell r="C933" t="str">
            <v>Cây Osaka</v>
          </cell>
          <cell r="D933" t="str">
            <v>8cm &lt; đk gốc ≤ 15cm</v>
          </cell>
          <cell r="E933">
            <v>6.666666666666667</v>
          </cell>
          <cell r="F933" t="str">
            <v>cây</v>
          </cell>
          <cell r="G933">
            <v>228000</v>
          </cell>
          <cell r="H933">
            <v>0.8</v>
          </cell>
          <cell r="J933">
            <v>27360</v>
          </cell>
        </row>
        <row r="934">
          <cell r="B934" t="str">
            <v>Osaka1525</v>
          </cell>
          <cell r="C934" t="str">
            <v>Cây Osaka</v>
          </cell>
          <cell r="D934" t="str">
            <v>15cm &lt; đk gốc ≤ 25cm</v>
          </cell>
          <cell r="E934">
            <v>6.666666666666667</v>
          </cell>
          <cell r="F934" t="str">
            <v>cây</v>
          </cell>
          <cell r="G934">
            <v>378000</v>
          </cell>
          <cell r="H934">
            <v>0.8</v>
          </cell>
          <cell r="J934">
            <v>45360</v>
          </cell>
        </row>
        <row r="935">
          <cell r="B935" t="str">
            <v>Osaka2540</v>
          </cell>
          <cell r="C935" t="str">
            <v>Cây Osaka</v>
          </cell>
          <cell r="D935" t="str">
            <v>25cm &lt; đk gốc ≤ 40cm</v>
          </cell>
          <cell r="E935">
            <v>6.666666666666667</v>
          </cell>
          <cell r="F935" t="str">
            <v>cây</v>
          </cell>
          <cell r="G935">
            <v>520000</v>
          </cell>
          <cell r="H935">
            <v>0.8</v>
          </cell>
          <cell r="J935">
            <v>62400</v>
          </cell>
        </row>
        <row r="936">
          <cell r="B936" t="str">
            <v>Osaka4060</v>
          </cell>
          <cell r="C936" t="str">
            <v>Cây Osaka</v>
          </cell>
          <cell r="D936" t="str">
            <v>40cm &lt; đk gốc ≤ 60cm</v>
          </cell>
          <cell r="E936">
            <v>6.666666666666667</v>
          </cell>
          <cell r="F936" t="str">
            <v>cây</v>
          </cell>
          <cell r="G936">
            <v>710000</v>
          </cell>
          <cell r="H936">
            <v>0.8</v>
          </cell>
          <cell r="J936">
            <v>85200</v>
          </cell>
        </row>
        <row r="937">
          <cell r="B937" t="str">
            <v>Osaka60+</v>
          </cell>
          <cell r="C937" t="str">
            <v>Cây Osaka</v>
          </cell>
          <cell r="D937" t="str">
            <v>đk gốc từ trên 60cm</v>
          </cell>
          <cell r="E937">
            <v>6.666666666666667</v>
          </cell>
          <cell r="F937" t="str">
            <v>cây</v>
          </cell>
          <cell r="G937">
            <v>1236000</v>
          </cell>
          <cell r="H937">
            <v>0.8</v>
          </cell>
          <cell r="J937">
            <v>148320</v>
          </cell>
        </row>
        <row r="938">
          <cell r="B938" t="str">
            <v>Osaka02vmd</v>
          </cell>
          <cell r="C938" t="str">
            <v>Cây Osaka vượt mật độ</v>
          </cell>
          <cell r="D938" t="str">
            <v>đk gốc ≤ 2cm; H &gt; 50cm</v>
          </cell>
          <cell r="E938">
            <v>6.666666666666667</v>
          </cell>
          <cell r="F938" t="str">
            <v>cây</v>
          </cell>
          <cell r="G938">
            <v>25000</v>
          </cell>
          <cell r="H938">
            <v>0.25</v>
          </cell>
          <cell r="J938">
            <v>937.5</v>
          </cell>
        </row>
        <row r="939">
          <cell r="B939" t="str">
            <v>Osaka24vmd</v>
          </cell>
          <cell r="C939" t="str">
            <v>Cây Osaka vượt mật độ</v>
          </cell>
          <cell r="D939" t="str">
            <v>2cm &lt; đk gốc ≤ 4cm</v>
          </cell>
          <cell r="E939">
            <v>6.666666666666667</v>
          </cell>
          <cell r="F939" t="str">
            <v>cây</v>
          </cell>
          <cell r="G939">
            <v>54000</v>
          </cell>
          <cell r="H939">
            <v>0.25</v>
          </cell>
          <cell r="J939">
            <v>2025</v>
          </cell>
        </row>
        <row r="940">
          <cell r="B940" t="str">
            <v>Osaka48vmd</v>
          </cell>
          <cell r="C940" t="str">
            <v>Cây Osaka vượt mật độ</v>
          </cell>
          <cell r="D940" t="str">
            <v>4cm &lt; đk gốc ≤ 8cm</v>
          </cell>
          <cell r="E940">
            <v>6.666666666666667</v>
          </cell>
          <cell r="F940" t="str">
            <v>cây</v>
          </cell>
          <cell r="G940">
            <v>112000</v>
          </cell>
          <cell r="H940">
            <v>0.25</v>
          </cell>
          <cell r="J940">
            <v>4200</v>
          </cell>
        </row>
        <row r="941">
          <cell r="B941" t="str">
            <v>Osaka815vmd</v>
          </cell>
          <cell r="C941" t="str">
            <v>Cây Osaka vượt mật độ</v>
          </cell>
          <cell r="D941" t="str">
            <v>8cm &lt; đk gốc ≤ 15cm</v>
          </cell>
          <cell r="E941">
            <v>6.666666666666667</v>
          </cell>
          <cell r="F941" t="str">
            <v>cây</v>
          </cell>
          <cell r="G941">
            <v>228000</v>
          </cell>
          <cell r="H941">
            <v>0.4</v>
          </cell>
          <cell r="J941">
            <v>13680</v>
          </cell>
        </row>
        <row r="942">
          <cell r="B942" t="str">
            <v>Osaka1525vmd</v>
          </cell>
          <cell r="C942" t="str">
            <v>Cây Osaka vượt mật độ</v>
          </cell>
          <cell r="D942" t="str">
            <v>15cm &lt; đk gốc ≤ 25cm</v>
          </cell>
          <cell r="E942">
            <v>6.666666666666667</v>
          </cell>
          <cell r="F942" t="str">
            <v>cây</v>
          </cell>
          <cell r="G942">
            <v>378000</v>
          </cell>
          <cell r="H942">
            <v>0.4</v>
          </cell>
          <cell r="J942">
            <v>22680</v>
          </cell>
        </row>
        <row r="943">
          <cell r="B943" t="str">
            <v>Osaka2540vmd</v>
          </cell>
          <cell r="C943" t="str">
            <v>Cây Osaka vượt mật độ</v>
          </cell>
          <cell r="D943" t="str">
            <v>25cm &lt; đk gốc ≤ 40cm</v>
          </cell>
          <cell r="E943">
            <v>6.666666666666667</v>
          </cell>
          <cell r="F943" t="str">
            <v>cây</v>
          </cell>
          <cell r="G943">
            <v>520000</v>
          </cell>
          <cell r="H943">
            <v>0.4</v>
          </cell>
          <cell r="J943">
            <v>31200</v>
          </cell>
        </row>
        <row r="944">
          <cell r="B944" t="str">
            <v>Osaka4060vmd</v>
          </cell>
          <cell r="C944" t="str">
            <v>Cây Osaka vượt mật độ</v>
          </cell>
          <cell r="D944" t="str">
            <v>40cm &lt; đk gốc ≤ 60cm</v>
          </cell>
          <cell r="E944">
            <v>6.666666666666667</v>
          </cell>
          <cell r="F944" t="str">
            <v>cây</v>
          </cell>
          <cell r="G944">
            <v>710000</v>
          </cell>
          <cell r="H944">
            <v>0.4</v>
          </cell>
          <cell r="J944">
            <v>42600</v>
          </cell>
        </row>
        <row r="945">
          <cell r="B945" t="str">
            <v>Osaka60+vmd</v>
          </cell>
          <cell r="C945" t="str">
            <v>Cây Osaka vượt mật độ</v>
          </cell>
          <cell r="D945" t="str">
            <v>đk gốc từ trên 60cm</v>
          </cell>
          <cell r="E945">
            <v>6.666666666666667</v>
          </cell>
          <cell r="F945" t="str">
            <v>cây</v>
          </cell>
          <cell r="G945">
            <v>1236000</v>
          </cell>
          <cell r="H945">
            <v>0.4</v>
          </cell>
          <cell r="J945">
            <v>74160</v>
          </cell>
        </row>
        <row r="946">
          <cell r="C946" t="str">
            <v>Cây ngọc lan</v>
          </cell>
          <cell r="J946" t="e">
            <v>#DIV/0!</v>
          </cell>
        </row>
        <row r="947">
          <cell r="B947" t="str">
            <v>ngoclan02</v>
          </cell>
          <cell r="C947" t="str">
            <v>Cây ngọc lan</v>
          </cell>
          <cell r="D947" t="str">
            <v>đk gốc ≤ 2cm; H &gt; 50cm</v>
          </cell>
          <cell r="E947">
            <v>6.666666666666667</v>
          </cell>
          <cell r="F947" t="str">
            <v>cây</v>
          </cell>
          <cell r="G947">
            <v>25000</v>
          </cell>
          <cell r="H947">
            <v>0.5</v>
          </cell>
          <cell r="J947">
            <v>1875</v>
          </cell>
        </row>
        <row r="948">
          <cell r="B948" t="str">
            <v>ngoclan24</v>
          </cell>
          <cell r="C948" t="str">
            <v>Cây ngọc lan</v>
          </cell>
          <cell r="D948" t="str">
            <v>2cm &lt; đk gốc ≤ 4cm</v>
          </cell>
          <cell r="E948">
            <v>6.666666666666667</v>
          </cell>
          <cell r="F948" t="str">
            <v>cây</v>
          </cell>
          <cell r="G948">
            <v>54000</v>
          </cell>
          <cell r="H948">
            <v>0.5</v>
          </cell>
          <cell r="J948">
            <v>4050</v>
          </cell>
        </row>
        <row r="949">
          <cell r="B949" t="str">
            <v>ngoclan48</v>
          </cell>
          <cell r="C949" t="str">
            <v>Cây ngọc lan</v>
          </cell>
          <cell r="D949" t="str">
            <v>4cm &lt; đk gốc ≤ 8cm</v>
          </cell>
          <cell r="E949">
            <v>6.666666666666667</v>
          </cell>
          <cell r="F949" t="str">
            <v>cây</v>
          </cell>
          <cell r="G949">
            <v>112000</v>
          </cell>
          <cell r="H949">
            <v>0.5</v>
          </cell>
          <cell r="J949">
            <v>8400</v>
          </cell>
        </row>
        <row r="950">
          <cell r="B950" t="str">
            <v>ngoclan815</v>
          </cell>
          <cell r="C950" t="str">
            <v>Cây ngọc lan</v>
          </cell>
          <cell r="D950" t="str">
            <v>8cm &lt; đk gốc ≤ 15cm</v>
          </cell>
          <cell r="E950">
            <v>6.666666666666667</v>
          </cell>
          <cell r="F950" t="str">
            <v>cây</v>
          </cell>
          <cell r="G950">
            <v>228000</v>
          </cell>
          <cell r="H950">
            <v>0.8</v>
          </cell>
          <cell r="J950">
            <v>27360</v>
          </cell>
        </row>
        <row r="951">
          <cell r="B951" t="str">
            <v>ngoclan1525</v>
          </cell>
          <cell r="C951" t="str">
            <v>Cây ngọc lan</v>
          </cell>
          <cell r="D951" t="str">
            <v>15cm &lt; đk gốc ≤ 25cm</v>
          </cell>
          <cell r="E951">
            <v>6.666666666666667</v>
          </cell>
          <cell r="F951" t="str">
            <v>cây</v>
          </cell>
          <cell r="G951">
            <v>378000</v>
          </cell>
          <cell r="H951">
            <v>0.8</v>
          </cell>
          <cell r="J951">
            <v>45360</v>
          </cell>
        </row>
        <row r="952">
          <cell r="B952" t="str">
            <v>ngoclan2540</v>
          </cell>
          <cell r="C952" t="str">
            <v>Cây ngọc lan</v>
          </cell>
          <cell r="D952" t="str">
            <v>25cm &lt; đk gốc ≤ 40cm</v>
          </cell>
          <cell r="E952">
            <v>6.666666666666667</v>
          </cell>
          <cell r="F952" t="str">
            <v>cây</v>
          </cell>
          <cell r="G952">
            <v>520000</v>
          </cell>
          <cell r="H952">
            <v>0.8</v>
          </cell>
          <cell r="J952">
            <v>62400</v>
          </cell>
        </row>
        <row r="953">
          <cell r="B953" t="str">
            <v>ngoclan4060</v>
          </cell>
          <cell r="C953" t="str">
            <v>Cây ngọc lan</v>
          </cell>
          <cell r="D953" t="str">
            <v>40cm &lt; đk gốc ≤ 60cm</v>
          </cell>
          <cell r="E953">
            <v>6.666666666666667</v>
          </cell>
          <cell r="F953" t="str">
            <v>cây</v>
          </cell>
          <cell r="G953">
            <v>710000</v>
          </cell>
          <cell r="H953">
            <v>0.8</v>
          </cell>
          <cell r="J953">
            <v>85200</v>
          </cell>
        </row>
        <row r="954">
          <cell r="B954" t="str">
            <v>ngoclan60+</v>
          </cell>
          <cell r="C954" t="str">
            <v>Cây ngọc lan</v>
          </cell>
          <cell r="D954" t="str">
            <v>đk gốc từ trên 60cm</v>
          </cell>
          <cell r="E954">
            <v>6.666666666666667</v>
          </cell>
          <cell r="F954" t="str">
            <v>cây</v>
          </cell>
          <cell r="G954">
            <v>1236000</v>
          </cell>
          <cell r="H954">
            <v>0.8</v>
          </cell>
          <cell r="J954">
            <v>148320</v>
          </cell>
        </row>
        <row r="955">
          <cell r="B955" t="str">
            <v>ngoclan02vmd</v>
          </cell>
          <cell r="C955" t="str">
            <v>Cây ngọc lan vượt mật độ</v>
          </cell>
          <cell r="D955" t="str">
            <v>đk gốc ≤ 2cm; H &gt; 50cm</v>
          </cell>
          <cell r="E955">
            <v>6.666666666666667</v>
          </cell>
          <cell r="F955" t="str">
            <v>cây</v>
          </cell>
          <cell r="G955">
            <v>25000</v>
          </cell>
          <cell r="H955">
            <v>0.25</v>
          </cell>
          <cell r="J955">
            <v>937.5</v>
          </cell>
        </row>
        <row r="956">
          <cell r="B956" t="str">
            <v>ngoclan24vmd</v>
          </cell>
          <cell r="C956" t="str">
            <v>Cây ngọc lan vượt mật độ</v>
          </cell>
          <cell r="D956" t="str">
            <v>2cm &lt; đk gốc ≤ 4cm</v>
          </cell>
          <cell r="E956">
            <v>6.666666666666667</v>
          </cell>
          <cell r="F956" t="str">
            <v>cây</v>
          </cell>
          <cell r="G956">
            <v>54000</v>
          </cell>
          <cell r="H956">
            <v>0.25</v>
          </cell>
          <cell r="J956">
            <v>2025</v>
          </cell>
        </row>
        <row r="957">
          <cell r="B957" t="str">
            <v>ngoclan48vmd</v>
          </cell>
          <cell r="C957" t="str">
            <v>Cây ngọc lan vượt mật độ</v>
          </cell>
          <cell r="D957" t="str">
            <v>4cm &lt; đk gốc ≤ 8cm</v>
          </cell>
          <cell r="E957">
            <v>6.666666666666667</v>
          </cell>
          <cell r="F957" t="str">
            <v>cây</v>
          </cell>
          <cell r="G957">
            <v>112000</v>
          </cell>
          <cell r="H957">
            <v>0.25</v>
          </cell>
          <cell r="J957">
            <v>4200</v>
          </cell>
        </row>
        <row r="958">
          <cell r="B958" t="str">
            <v>ngoclan815vmd</v>
          </cell>
          <cell r="C958" t="str">
            <v>Cây ngọc lan vượt mật độ</v>
          </cell>
          <cell r="D958" t="str">
            <v>8cm &lt; đk gốc ≤ 15cm</v>
          </cell>
          <cell r="E958">
            <v>6.666666666666667</v>
          </cell>
          <cell r="F958" t="str">
            <v>cây</v>
          </cell>
          <cell r="G958">
            <v>228000</v>
          </cell>
          <cell r="H958">
            <v>0.4</v>
          </cell>
          <cell r="J958">
            <v>13680</v>
          </cell>
        </row>
        <row r="959">
          <cell r="B959" t="str">
            <v>ngoclan1525vmd</v>
          </cell>
          <cell r="C959" t="str">
            <v>Cây ngọc lan vượt mật độ</v>
          </cell>
          <cell r="D959" t="str">
            <v>15cm &lt; đk gốc ≤ 25cm</v>
          </cell>
          <cell r="E959">
            <v>6.666666666666667</v>
          </cell>
          <cell r="F959" t="str">
            <v>cây</v>
          </cell>
          <cell r="G959">
            <v>378000</v>
          </cell>
          <cell r="H959">
            <v>0.4</v>
          </cell>
          <cell r="J959">
            <v>22680</v>
          </cell>
        </row>
        <row r="960">
          <cell r="B960" t="str">
            <v>ngoclan2540vmd</v>
          </cell>
          <cell r="C960" t="str">
            <v>Cây ngọc lan vượt mật độ</v>
          </cell>
          <cell r="D960" t="str">
            <v>25cm &lt; đk gốc ≤ 40cm</v>
          </cell>
          <cell r="E960">
            <v>6.666666666666667</v>
          </cell>
          <cell r="F960" t="str">
            <v>cây</v>
          </cell>
          <cell r="G960">
            <v>520000</v>
          </cell>
          <cell r="H960">
            <v>0.4</v>
          </cell>
          <cell r="J960">
            <v>31200</v>
          </cell>
        </row>
        <row r="961">
          <cell r="B961" t="str">
            <v>ngoclan4060vmd</v>
          </cell>
          <cell r="C961" t="str">
            <v>Cây ngọc lan vượt mật độ</v>
          </cell>
          <cell r="D961" t="str">
            <v>40cm &lt; đk gốc ≤ 60cm</v>
          </cell>
          <cell r="E961">
            <v>6.666666666666667</v>
          </cell>
          <cell r="F961" t="str">
            <v>cây</v>
          </cell>
          <cell r="G961">
            <v>710000</v>
          </cell>
          <cell r="H961">
            <v>0.4</v>
          </cell>
          <cell r="J961">
            <v>42600</v>
          </cell>
        </row>
        <row r="962">
          <cell r="B962" t="str">
            <v>ngoclan60+vmd</v>
          </cell>
          <cell r="C962" t="str">
            <v>Cây ngọc lan vượt mật độ</v>
          </cell>
          <cell r="D962" t="str">
            <v>đk gốc từ trên 60cm</v>
          </cell>
          <cell r="E962">
            <v>6.666666666666667</v>
          </cell>
          <cell r="F962" t="str">
            <v>cây</v>
          </cell>
          <cell r="G962">
            <v>1236000</v>
          </cell>
          <cell r="H962">
            <v>0.4</v>
          </cell>
          <cell r="J962">
            <v>74160</v>
          </cell>
        </row>
        <row r="963">
          <cell r="C963" t="str">
            <v>Cây liễu</v>
          </cell>
          <cell r="J963" t="e">
            <v>#DIV/0!</v>
          </cell>
        </row>
        <row r="964">
          <cell r="B964" t="str">
            <v>liễu02</v>
          </cell>
          <cell r="C964" t="str">
            <v>Cây liễu</v>
          </cell>
          <cell r="D964" t="str">
            <v>đk gốc ≤ 2cm; H &gt; 50cm</v>
          </cell>
          <cell r="E964">
            <v>6.666666666666667</v>
          </cell>
          <cell r="F964" t="str">
            <v>cây</v>
          </cell>
          <cell r="G964">
            <v>25000</v>
          </cell>
          <cell r="H964">
            <v>0.5</v>
          </cell>
          <cell r="J964">
            <v>1875</v>
          </cell>
        </row>
        <row r="965">
          <cell r="B965" t="str">
            <v>liễu24</v>
          </cell>
          <cell r="C965" t="str">
            <v>Cây liễu</v>
          </cell>
          <cell r="D965" t="str">
            <v>2cm &lt; đk gốc ≤ 4cm</v>
          </cell>
          <cell r="E965">
            <v>6.666666666666667</v>
          </cell>
          <cell r="F965" t="str">
            <v>cây</v>
          </cell>
          <cell r="G965">
            <v>54000</v>
          </cell>
          <cell r="H965">
            <v>0.5</v>
          </cell>
          <cell r="J965">
            <v>4050</v>
          </cell>
        </row>
        <row r="966">
          <cell r="B966" t="str">
            <v>liễu48</v>
          </cell>
          <cell r="C966" t="str">
            <v>Cây liễu</v>
          </cell>
          <cell r="D966" t="str">
            <v>4cm &lt; đk gốc ≤ 8cm</v>
          </cell>
          <cell r="E966">
            <v>6.666666666666667</v>
          </cell>
          <cell r="F966" t="str">
            <v>cây</v>
          </cell>
          <cell r="G966">
            <v>112000</v>
          </cell>
          <cell r="H966">
            <v>0.5</v>
          </cell>
          <cell r="J966">
            <v>8400</v>
          </cell>
        </row>
        <row r="967">
          <cell r="B967" t="str">
            <v>liễu815</v>
          </cell>
          <cell r="C967" t="str">
            <v>Cây liễu</v>
          </cell>
          <cell r="D967" t="str">
            <v>8cm &lt; đk gốc ≤ 15cm</v>
          </cell>
          <cell r="E967">
            <v>6.666666666666667</v>
          </cell>
          <cell r="F967" t="str">
            <v>cây</v>
          </cell>
          <cell r="G967">
            <v>228000</v>
          </cell>
          <cell r="H967">
            <v>0.8</v>
          </cell>
          <cell r="J967">
            <v>27360</v>
          </cell>
        </row>
        <row r="968">
          <cell r="B968" t="str">
            <v>liễu1525</v>
          </cell>
          <cell r="C968" t="str">
            <v>Cây liễu</v>
          </cell>
          <cell r="D968" t="str">
            <v>15cm &lt; đk gốc ≤ 25cm</v>
          </cell>
          <cell r="E968">
            <v>6.666666666666667</v>
          </cell>
          <cell r="F968" t="str">
            <v>cây</v>
          </cell>
          <cell r="G968">
            <v>378000</v>
          </cell>
          <cell r="H968">
            <v>0.8</v>
          </cell>
          <cell r="J968">
            <v>45360</v>
          </cell>
        </row>
        <row r="969">
          <cell r="B969" t="str">
            <v>liễu2540</v>
          </cell>
          <cell r="C969" t="str">
            <v>Cây liễu</v>
          </cell>
          <cell r="D969" t="str">
            <v>25cm &lt; đk gốc ≤ 40cm</v>
          </cell>
          <cell r="E969">
            <v>6.666666666666667</v>
          </cell>
          <cell r="F969" t="str">
            <v>cây</v>
          </cell>
          <cell r="G969">
            <v>520000</v>
          </cell>
          <cell r="H969">
            <v>0.8</v>
          </cell>
          <cell r="J969">
            <v>62400</v>
          </cell>
        </row>
        <row r="970">
          <cell r="B970" t="str">
            <v>liễu4060</v>
          </cell>
          <cell r="C970" t="str">
            <v>Cây liễu</v>
          </cell>
          <cell r="D970" t="str">
            <v>40cm &lt; đk gốc ≤ 60cm</v>
          </cell>
          <cell r="E970">
            <v>6.666666666666667</v>
          </cell>
          <cell r="F970" t="str">
            <v>cây</v>
          </cell>
          <cell r="G970">
            <v>710000</v>
          </cell>
          <cell r="H970">
            <v>0.8</v>
          </cell>
          <cell r="J970">
            <v>85200</v>
          </cell>
        </row>
        <row r="971">
          <cell r="B971" t="str">
            <v>liễu60+</v>
          </cell>
          <cell r="C971" t="str">
            <v>Cây liễu</v>
          </cell>
          <cell r="D971" t="str">
            <v>đk gốc từ trên 60cm</v>
          </cell>
          <cell r="E971">
            <v>6.666666666666667</v>
          </cell>
          <cell r="F971" t="str">
            <v>cây</v>
          </cell>
          <cell r="G971">
            <v>1236000</v>
          </cell>
          <cell r="H971">
            <v>0.8</v>
          </cell>
          <cell r="J971">
            <v>148320</v>
          </cell>
        </row>
        <row r="972">
          <cell r="B972" t="str">
            <v>liễu02vmd</v>
          </cell>
          <cell r="C972" t="str">
            <v>Cây liễu vượt mật độ</v>
          </cell>
          <cell r="D972" t="str">
            <v>đk gốc ≤ 2cm; H &gt; 50cm</v>
          </cell>
          <cell r="E972">
            <v>6.666666666666667</v>
          </cell>
          <cell r="F972" t="str">
            <v>cây</v>
          </cell>
          <cell r="G972">
            <v>25000</v>
          </cell>
          <cell r="H972">
            <v>0.25</v>
          </cell>
          <cell r="J972">
            <v>937.5</v>
          </cell>
        </row>
        <row r="973">
          <cell r="B973" t="str">
            <v>liễu24vmd</v>
          </cell>
          <cell r="C973" t="str">
            <v>Cây liễu vượt mật độ</v>
          </cell>
          <cell r="D973" t="str">
            <v>2cm &lt; đk gốc ≤ 4cm</v>
          </cell>
          <cell r="E973">
            <v>6.666666666666667</v>
          </cell>
          <cell r="F973" t="str">
            <v>cây</v>
          </cell>
          <cell r="G973">
            <v>54000</v>
          </cell>
          <cell r="H973">
            <v>0.25</v>
          </cell>
          <cell r="J973">
            <v>2025</v>
          </cell>
        </row>
        <row r="974">
          <cell r="B974" t="str">
            <v>liễu48vmd</v>
          </cell>
          <cell r="C974" t="str">
            <v>Cây liễu vượt mật độ</v>
          </cell>
          <cell r="D974" t="str">
            <v>4cm &lt; đk gốc ≤ 8cm</v>
          </cell>
          <cell r="E974">
            <v>6.666666666666667</v>
          </cell>
          <cell r="F974" t="str">
            <v>cây</v>
          </cell>
          <cell r="G974">
            <v>112000</v>
          </cell>
          <cell r="H974">
            <v>0.25</v>
          </cell>
          <cell r="J974">
            <v>4200</v>
          </cell>
        </row>
        <row r="975">
          <cell r="B975" t="str">
            <v>liễu815vmd</v>
          </cell>
          <cell r="C975" t="str">
            <v>Cây liễu vượt mật độ</v>
          </cell>
          <cell r="D975" t="str">
            <v>8cm &lt; đk gốc ≤ 15cm</v>
          </cell>
          <cell r="E975">
            <v>6.666666666666667</v>
          </cell>
          <cell r="F975" t="str">
            <v>cây</v>
          </cell>
          <cell r="G975">
            <v>228000</v>
          </cell>
          <cell r="H975">
            <v>0.4</v>
          </cell>
          <cell r="J975">
            <v>13680</v>
          </cell>
        </row>
        <row r="976">
          <cell r="B976" t="str">
            <v>liễu1525vmd</v>
          </cell>
          <cell r="C976" t="str">
            <v>Cây liễu vượt mật độ</v>
          </cell>
          <cell r="D976" t="str">
            <v>15cm &lt; đk gốc ≤ 25cm</v>
          </cell>
          <cell r="E976">
            <v>6.666666666666667</v>
          </cell>
          <cell r="F976" t="str">
            <v>cây</v>
          </cell>
          <cell r="G976">
            <v>378000</v>
          </cell>
          <cell r="H976">
            <v>0.4</v>
          </cell>
          <cell r="J976">
            <v>22680</v>
          </cell>
        </row>
        <row r="977">
          <cell r="B977" t="str">
            <v>liễu2540vmd</v>
          </cell>
          <cell r="C977" t="str">
            <v>Cây liễu vượt mật độ</v>
          </cell>
          <cell r="D977" t="str">
            <v>25cm &lt; đk gốc ≤ 40cm</v>
          </cell>
          <cell r="E977">
            <v>6.666666666666667</v>
          </cell>
          <cell r="F977" t="str">
            <v>cây</v>
          </cell>
          <cell r="G977">
            <v>520000</v>
          </cell>
          <cell r="H977">
            <v>0.4</v>
          </cell>
          <cell r="J977">
            <v>31200</v>
          </cell>
        </row>
        <row r="978">
          <cell r="B978" t="str">
            <v>liễu4060vmd</v>
          </cell>
          <cell r="C978" t="str">
            <v>Cây liễu vượt mật độ</v>
          </cell>
          <cell r="D978" t="str">
            <v>40cm &lt; đk gốc ≤ 60cm</v>
          </cell>
          <cell r="E978">
            <v>6.666666666666667</v>
          </cell>
          <cell r="F978" t="str">
            <v>cây</v>
          </cell>
          <cell r="G978">
            <v>710000</v>
          </cell>
          <cell r="H978">
            <v>0.4</v>
          </cell>
          <cell r="J978">
            <v>42600</v>
          </cell>
        </row>
        <row r="979">
          <cell r="B979" t="str">
            <v>liễu60+vmd</v>
          </cell>
          <cell r="C979" t="str">
            <v>Cây liễu vượt mật độ</v>
          </cell>
          <cell r="D979" t="str">
            <v>đk gốc từ trên 60cm</v>
          </cell>
          <cell r="E979">
            <v>6.666666666666667</v>
          </cell>
          <cell r="F979" t="str">
            <v>cây</v>
          </cell>
          <cell r="G979">
            <v>1236000</v>
          </cell>
          <cell r="H979">
            <v>0.4</v>
          </cell>
          <cell r="J979">
            <v>74160</v>
          </cell>
        </row>
        <row r="980">
          <cell r="C980" t="str">
            <v>Cây lộc vừng</v>
          </cell>
          <cell r="J980" t="e">
            <v>#DIV/0!</v>
          </cell>
        </row>
        <row r="981">
          <cell r="B981" t="str">
            <v>locvung02</v>
          </cell>
          <cell r="C981" t="str">
            <v>Cây lộc vừng</v>
          </cell>
          <cell r="D981" t="str">
            <v>đk gốc ≤ 2cm; H &gt; 50cm</v>
          </cell>
          <cell r="E981">
            <v>6.666666666666667</v>
          </cell>
          <cell r="F981" t="str">
            <v>cây</v>
          </cell>
          <cell r="G981">
            <v>25000</v>
          </cell>
          <cell r="H981">
            <v>0.5</v>
          </cell>
          <cell r="J981">
            <v>1875</v>
          </cell>
        </row>
        <row r="982">
          <cell r="B982" t="str">
            <v>locvung24</v>
          </cell>
          <cell r="C982" t="str">
            <v>Cây lộc vừng</v>
          </cell>
          <cell r="D982" t="str">
            <v>2cm &lt; đk gốc ≤ 4cm</v>
          </cell>
          <cell r="E982">
            <v>6.666666666666667</v>
          </cell>
          <cell r="F982" t="str">
            <v>cây</v>
          </cell>
          <cell r="G982">
            <v>54000</v>
          </cell>
          <cell r="H982">
            <v>0.5</v>
          </cell>
          <cell r="J982">
            <v>4050</v>
          </cell>
        </row>
        <row r="983">
          <cell r="B983" t="str">
            <v>locvung48</v>
          </cell>
          <cell r="C983" t="str">
            <v>Cây lộc vừng</v>
          </cell>
          <cell r="D983" t="str">
            <v>4cm &lt; đk gốc ≤ 8cm</v>
          </cell>
          <cell r="E983">
            <v>6.666666666666667</v>
          </cell>
          <cell r="F983" t="str">
            <v>cây</v>
          </cell>
          <cell r="G983">
            <v>112000</v>
          </cell>
          <cell r="H983">
            <v>0.5</v>
          </cell>
          <cell r="J983">
            <v>8400</v>
          </cell>
        </row>
        <row r="984">
          <cell r="B984" t="str">
            <v>locvung815</v>
          </cell>
          <cell r="C984" t="str">
            <v>Cây lộc vừng</v>
          </cell>
          <cell r="D984" t="str">
            <v>8cm &lt; đk gốc ≤ 15cm</v>
          </cell>
          <cell r="E984">
            <v>6.666666666666667</v>
          </cell>
          <cell r="F984" t="str">
            <v>cây</v>
          </cell>
          <cell r="G984">
            <v>228000</v>
          </cell>
          <cell r="H984">
            <v>0.8</v>
          </cell>
          <cell r="J984">
            <v>27360</v>
          </cell>
        </row>
        <row r="985">
          <cell r="B985" t="str">
            <v>locvung1525</v>
          </cell>
          <cell r="C985" t="str">
            <v>Cây lộc vừng</v>
          </cell>
          <cell r="D985" t="str">
            <v>15cm &lt; đk gốc ≤ 25cm</v>
          </cell>
          <cell r="E985">
            <v>6.666666666666667</v>
          </cell>
          <cell r="F985" t="str">
            <v>cây</v>
          </cell>
          <cell r="G985">
            <v>378000</v>
          </cell>
          <cell r="H985">
            <v>0.8</v>
          </cell>
          <cell r="J985">
            <v>45360</v>
          </cell>
        </row>
        <row r="986">
          <cell r="B986" t="str">
            <v>locvung2540</v>
          </cell>
          <cell r="C986" t="str">
            <v>Cây lộc vừng</v>
          </cell>
          <cell r="D986" t="str">
            <v>25cm &lt; đk gốc ≤ 40cm</v>
          </cell>
          <cell r="E986">
            <v>6.666666666666667</v>
          </cell>
          <cell r="F986" t="str">
            <v>cây</v>
          </cell>
          <cell r="G986">
            <v>520000</v>
          </cell>
          <cell r="H986">
            <v>0.8</v>
          </cell>
          <cell r="J986">
            <v>62400</v>
          </cell>
        </row>
        <row r="987">
          <cell r="B987" t="str">
            <v>locvung4060</v>
          </cell>
          <cell r="C987" t="str">
            <v>Cây lộc vừng</v>
          </cell>
          <cell r="D987" t="str">
            <v>40cm &lt; đk gốc ≤ 60cm</v>
          </cell>
          <cell r="E987">
            <v>6.666666666666667</v>
          </cell>
          <cell r="F987" t="str">
            <v>cây</v>
          </cell>
          <cell r="G987">
            <v>710000</v>
          </cell>
          <cell r="H987">
            <v>0.8</v>
          </cell>
          <cell r="J987">
            <v>85200</v>
          </cell>
        </row>
        <row r="988">
          <cell r="B988" t="str">
            <v>locvung60+</v>
          </cell>
          <cell r="C988" t="str">
            <v>Cây lộc vừng</v>
          </cell>
          <cell r="D988" t="str">
            <v>đk gốc từ trên 60cm</v>
          </cell>
          <cell r="E988">
            <v>6.666666666666667</v>
          </cell>
          <cell r="F988" t="str">
            <v>cây</v>
          </cell>
          <cell r="G988">
            <v>1236000</v>
          </cell>
          <cell r="H988">
            <v>0.8</v>
          </cell>
          <cell r="J988">
            <v>148320</v>
          </cell>
        </row>
        <row r="989">
          <cell r="B989" t="str">
            <v>locvung02vmd</v>
          </cell>
          <cell r="C989" t="str">
            <v>Cây lộc vừng vượt mật độ</v>
          </cell>
          <cell r="D989" t="str">
            <v>đk gốc ≤ 2cm; H &gt; 50cm</v>
          </cell>
          <cell r="E989">
            <v>6.666666666666667</v>
          </cell>
          <cell r="F989" t="str">
            <v>cây</v>
          </cell>
          <cell r="G989">
            <v>25000</v>
          </cell>
          <cell r="H989">
            <v>0.25</v>
          </cell>
          <cell r="J989">
            <v>937.5</v>
          </cell>
        </row>
        <row r="990">
          <cell r="B990" t="str">
            <v>locvung24vmd</v>
          </cell>
          <cell r="C990" t="str">
            <v>Cây lộc vừng vượt mật độ</v>
          </cell>
          <cell r="D990" t="str">
            <v>2cm &lt; đk gốc ≤ 4cm</v>
          </cell>
          <cell r="E990">
            <v>6.666666666666667</v>
          </cell>
          <cell r="F990" t="str">
            <v>cây</v>
          </cell>
          <cell r="G990">
            <v>54000</v>
          </cell>
          <cell r="H990">
            <v>0.25</v>
          </cell>
          <cell r="J990">
            <v>2025</v>
          </cell>
        </row>
        <row r="991">
          <cell r="B991" t="str">
            <v>locvung48vmd</v>
          </cell>
          <cell r="C991" t="str">
            <v>Cây lộc vừng vượt mật độ</v>
          </cell>
          <cell r="D991" t="str">
            <v>4cm &lt; đk gốc ≤ 8cm</v>
          </cell>
          <cell r="E991">
            <v>6.666666666666667</v>
          </cell>
          <cell r="F991" t="str">
            <v>cây</v>
          </cell>
          <cell r="G991">
            <v>112000</v>
          </cell>
          <cell r="H991">
            <v>0.25</v>
          </cell>
          <cell r="J991">
            <v>4200</v>
          </cell>
        </row>
        <row r="992">
          <cell r="B992" t="str">
            <v>locvung815vmd</v>
          </cell>
          <cell r="C992" t="str">
            <v>Cây lộc vừng vượt mật độ</v>
          </cell>
          <cell r="D992" t="str">
            <v>8cm &lt; đk gốc ≤ 15cm</v>
          </cell>
          <cell r="E992">
            <v>6.666666666666667</v>
          </cell>
          <cell r="F992" t="str">
            <v>cây</v>
          </cell>
          <cell r="G992">
            <v>228000</v>
          </cell>
          <cell r="H992">
            <v>0.4</v>
          </cell>
          <cell r="J992">
            <v>13680</v>
          </cell>
        </row>
        <row r="993">
          <cell r="B993" t="str">
            <v>locvung1525vmd</v>
          </cell>
          <cell r="C993" t="str">
            <v>Cây lộc vừng vượt mật độ</v>
          </cell>
          <cell r="D993" t="str">
            <v>15cm &lt; đk gốc ≤ 25cm</v>
          </cell>
          <cell r="E993">
            <v>6.666666666666667</v>
          </cell>
          <cell r="F993" t="str">
            <v>cây</v>
          </cell>
          <cell r="G993">
            <v>378000</v>
          </cell>
          <cell r="H993">
            <v>0.4</v>
          </cell>
          <cell r="J993">
            <v>22680</v>
          </cell>
        </row>
        <row r="994">
          <cell r="B994" t="str">
            <v>locvung2540vmd</v>
          </cell>
          <cell r="C994" t="str">
            <v>Cây lộc vừng vượt mật độ</v>
          </cell>
          <cell r="D994" t="str">
            <v>25cm &lt; đk gốc ≤ 40cm</v>
          </cell>
          <cell r="E994">
            <v>6.666666666666667</v>
          </cell>
          <cell r="F994" t="str">
            <v>cây</v>
          </cell>
          <cell r="G994">
            <v>520000</v>
          </cell>
          <cell r="H994">
            <v>0.4</v>
          </cell>
          <cell r="J994">
            <v>31200</v>
          </cell>
        </row>
        <row r="995">
          <cell r="B995" t="str">
            <v>locvung4060vmd</v>
          </cell>
          <cell r="C995" t="str">
            <v>Cây lộc vừng vượt mật độ</v>
          </cell>
          <cell r="D995" t="str">
            <v>40cm &lt; đk gốc ≤ 60cm</v>
          </cell>
          <cell r="E995">
            <v>6.666666666666667</v>
          </cell>
          <cell r="F995" t="str">
            <v>cây</v>
          </cell>
          <cell r="G995">
            <v>710000</v>
          </cell>
          <cell r="H995">
            <v>0.4</v>
          </cell>
          <cell r="J995">
            <v>42600</v>
          </cell>
        </row>
        <row r="996">
          <cell r="B996" t="str">
            <v>locvung60+vmd</v>
          </cell>
          <cell r="C996" t="str">
            <v>Cây lộc vừng vượt mật độ</v>
          </cell>
          <cell r="D996" t="str">
            <v>đk gốc từ trên 60cm</v>
          </cell>
          <cell r="E996">
            <v>6.666666666666667</v>
          </cell>
          <cell r="F996" t="str">
            <v>cây</v>
          </cell>
          <cell r="G996">
            <v>1236000</v>
          </cell>
          <cell r="H996">
            <v>0.4</v>
          </cell>
          <cell r="J996">
            <v>74160</v>
          </cell>
        </row>
        <row r="997">
          <cell r="B997" t="str">
            <v>Cauaq1215vmd</v>
          </cell>
          <cell r="C997" t="str">
            <v>Cau ăn quả vượt mật độ</v>
          </cell>
          <cell r="D997" t="str">
            <v>12cm ≤ đk gốc &lt; 15cm</v>
          </cell>
          <cell r="E997">
            <v>10</v>
          </cell>
          <cell r="F997" t="str">
            <v>cây</v>
          </cell>
          <cell r="G997">
            <v>190000</v>
          </cell>
          <cell r="H997">
            <v>0.4</v>
          </cell>
          <cell r="J997">
            <v>7600</v>
          </cell>
        </row>
        <row r="998">
          <cell r="B998" t="str">
            <v>Cauaq1520vmd</v>
          </cell>
          <cell r="C998" t="str">
            <v>Cau ăn quả vượt mật độ</v>
          </cell>
          <cell r="D998" t="str">
            <v>15cm ≤ đk gốc &lt; 20cm</v>
          </cell>
          <cell r="E998">
            <v>10</v>
          </cell>
          <cell r="F998" t="str">
            <v>cây</v>
          </cell>
          <cell r="G998">
            <v>240000</v>
          </cell>
          <cell r="H998">
            <v>0.4</v>
          </cell>
          <cell r="J998">
            <v>9600</v>
          </cell>
        </row>
        <row r="999">
          <cell r="B999" t="str">
            <v>Cauaq2025vmd</v>
          </cell>
          <cell r="C999" t="str">
            <v>Cau ăn quả vượt mật độ</v>
          </cell>
          <cell r="D999" t="str">
            <v>20cm ≤ đk gốc &lt; 25cm</v>
          </cell>
          <cell r="E999">
            <v>10</v>
          </cell>
          <cell r="F999" t="str">
            <v>cây</v>
          </cell>
          <cell r="G999">
            <v>320000</v>
          </cell>
          <cell r="H999">
            <v>0.4</v>
          </cell>
          <cell r="J999">
            <v>12800</v>
          </cell>
        </row>
        <row r="1000">
          <cell r="B1000" t="str">
            <v>Cauaq2530vmd</v>
          </cell>
          <cell r="C1000" t="str">
            <v>Cau ăn quả vượt mật độ</v>
          </cell>
          <cell r="D1000" t="str">
            <v>25cm ≤ đk gốc &lt; 30cm</v>
          </cell>
          <cell r="E1000">
            <v>10</v>
          </cell>
          <cell r="F1000" t="str">
            <v>cây</v>
          </cell>
          <cell r="G1000">
            <v>330000</v>
          </cell>
          <cell r="H1000">
            <v>0.4</v>
          </cell>
          <cell r="J1000">
            <v>13200</v>
          </cell>
        </row>
        <row r="1001">
          <cell r="B1001" t="str">
            <v>Cauaq3035vmd</v>
          </cell>
          <cell r="C1001" t="str">
            <v>Cau ăn quả vượt mật độ</v>
          </cell>
          <cell r="D1001" t="str">
            <v>30cm ≤ đk gốc ≤ 35cm</v>
          </cell>
          <cell r="E1001">
            <v>10</v>
          </cell>
          <cell r="F1001" t="str">
            <v>cây</v>
          </cell>
          <cell r="G1001">
            <v>400000</v>
          </cell>
          <cell r="H1001">
            <v>0.4</v>
          </cell>
          <cell r="J1001">
            <v>16000</v>
          </cell>
        </row>
        <row r="1002">
          <cell r="B1002" t="str">
            <v>Cauaq35+vmd</v>
          </cell>
          <cell r="C1002" t="str">
            <v>Cau ăn quả vượt mật độ</v>
          </cell>
          <cell r="D1002" t="str">
            <v>đk gốc 35cm trở lên</v>
          </cell>
          <cell r="E1002">
            <v>10</v>
          </cell>
          <cell r="F1002" t="str">
            <v>cây</v>
          </cell>
          <cell r="G1002">
            <v>430000</v>
          </cell>
          <cell r="H1002">
            <v>0.4</v>
          </cell>
          <cell r="J1002">
            <v>17200</v>
          </cell>
        </row>
        <row r="1003">
          <cell r="C1003" t="str">
            <v>Cau ăn quả</v>
          </cell>
          <cell r="J1003" t="e">
            <v>#DIV/0!</v>
          </cell>
        </row>
        <row r="1004">
          <cell r="B1004" t="str">
            <v>Cauaq02</v>
          </cell>
          <cell r="C1004" t="str">
            <v>Cau ăn quả</v>
          </cell>
          <cell r="D1004" t="str">
            <v>đk gốc &lt; 2cm</v>
          </cell>
          <cell r="E1004">
            <v>10</v>
          </cell>
          <cell r="F1004" t="str">
            <v>cây</v>
          </cell>
          <cell r="G1004">
            <v>60000</v>
          </cell>
          <cell r="H1004">
            <v>0.5</v>
          </cell>
          <cell r="J1004">
            <v>3000</v>
          </cell>
        </row>
        <row r="1005">
          <cell r="B1005" t="str">
            <v>Cauaq26</v>
          </cell>
          <cell r="C1005" t="str">
            <v>Cau ăn quả</v>
          </cell>
          <cell r="D1005" t="str">
            <v>2cm ≤ đk gốc &lt; 6cm</v>
          </cell>
          <cell r="E1005">
            <v>10</v>
          </cell>
          <cell r="F1005" t="str">
            <v>cây</v>
          </cell>
          <cell r="G1005">
            <v>75000</v>
          </cell>
          <cell r="H1005">
            <v>0.5</v>
          </cell>
          <cell r="J1005">
            <v>3750</v>
          </cell>
        </row>
        <row r="1006">
          <cell r="B1006" t="str">
            <v>Cauaq69</v>
          </cell>
          <cell r="C1006" t="str">
            <v>Cau ăn quả</v>
          </cell>
          <cell r="D1006" t="str">
            <v>6cm ≤ đk gốc &lt; 9cm</v>
          </cell>
          <cell r="E1006">
            <v>10</v>
          </cell>
          <cell r="F1006" t="str">
            <v>cây</v>
          </cell>
          <cell r="G1006">
            <v>95000</v>
          </cell>
          <cell r="H1006">
            <v>0.5</v>
          </cell>
          <cell r="J1006">
            <v>4750</v>
          </cell>
        </row>
        <row r="1007">
          <cell r="B1007" t="str">
            <v>Cauaq912</v>
          </cell>
          <cell r="C1007" t="str">
            <v>Cau ăn quả</v>
          </cell>
          <cell r="D1007" t="str">
            <v>9cm ≤ đk gốc &lt; 12cm</v>
          </cell>
          <cell r="E1007">
            <v>10</v>
          </cell>
          <cell r="F1007" t="str">
            <v>cây</v>
          </cell>
          <cell r="G1007">
            <v>140000</v>
          </cell>
          <cell r="H1007">
            <v>0.8</v>
          </cell>
          <cell r="J1007">
            <v>11200</v>
          </cell>
        </row>
        <row r="1008">
          <cell r="B1008" t="str">
            <v>Cauaq1215</v>
          </cell>
          <cell r="C1008" t="str">
            <v>Cau ăn quả</v>
          </cell>
          <cell r="D1008" t="str">
            <v>12cm ≤ đk gốc &lt; 15cm</v>
          </cell>
          <cell r="E1008">
            <v>10</v>
          </cell>
          <cell r="F1008" t="str">
            <v>cây</v>
          </cell>
          <cell r="G1008">
            <v>190000</v>
          </cell>
          <cell r="H1008">
            <v>0.8</v>
          </cell>
          <cell r="J1008">
            <v>15200</v>
          </cell>
        </row>
        <row r="1009">
          <cell r="B1009" t="str">
            <v>Cauaq1520</v>
          </cell>
          <cell r="C1009" t="str">
            <v>Cau ăn quả</v>
          </cell>
          <cell r="D1009" t="str">
            <v>15cm ≤ đk gốc &lt; 20cm</v>
          </cell>
          <cell r="E1009">
            <v>10</v>
          </cell>
          <cell r="F1009" t="str">
            <v>cây</v>
          </cell>
          <cell r="G1009">
            <v>240000</v>
          </cell>
          <cell r="H1009">
            <v>0.8</v>
          </cell>
          <cell r="J1009">
            <v>19200</v>
          </cell>
        </row>
        <row r="1010">
          <cell r="B1010" t="str">
            <v>Cauaq2025</v>
          </cell>
          <cell r="C1010" t="str">
            <v>Cau ăn quả</v>
          </cell>
          <cell r="D1010" t="str">
            <v>20cm ≤ đk gốc &lt; 25cm</v>
          </cell>
          <cell r="E1010">
            <v>10</v>
          </cell>
          <cell r="F1010" t="str">
            <v>cây</v>
          </cell>
          <cell r="G1010">
            <v>320000</v>
          </cell>
          <cell r="H1010">
            <v>0.8</v>
          </cell>
          <cell r="J1010">
            <v>25600</v>
          </cell>
        </row>
        <row r="1011">
          <cell r="B1011" t="str">
            <v>Cauaq2530</v>
          </cell>
          <cell r="C1011" t="str">
            <v>Cau ăn quả</v>
          </cell>
          <cell r="D1011" t="str">
            <v>25cm ≤ đk gốc &lt; 30cm</v>
          </cell>
          <cell r="E1011">
            <v>10</v>
          </cell>
          <cell r="F1011" t="str">
            <v>cây</v>
          </cell>
          <cell r="G1011">
            <v>330000</v>
          </cell>
          <cell r="H1011">
            <v>0.8</v>
          </cell>
          <cell r="J1011">
            <v>26400</v>
          </cell>
        </row>
        <row r="1012">
          <cell r="B1012" t="str">
            <v>Cauaq3035</v>
          </cell>
          <cell r="C1012" t="str">
            <v>Cau ăn quả</v>
          </cell>
          <cell r="D1012" t="str">
            <v>30cm ≤ đk gốc ≤ 35cm</v>
          </cell>
          <cell r="E1012">
            <v>10</v>
          </cell>
          <cell r="F1012" t="str">
            <v>cây</v>
          </cell>
          <cell r="G1012">
            <v>400000</v>
          </cell>
          <cell r="H1012">
            <v>0.8</v>
          </cell>
          <cell r="J1012">
            <v>32000</v>
          </cell>
        </row>
        <row r="1013">
          <cell r="B1013" t="str">
            <v>Cauaq35+</v>
          </cell>
          <cell r="C1013" t="str">
            <v>Cau ăn quả</v>
          </cell>
          <cell r="D1013" t="str">
            <v>đk gốc 35cm trở lên</v>
          </cell>
          <cell r="E1013">
            <v>10</v>
          </cell>
          <cell r="F1013" t="str">
            <v>cây</v>
          </cell>
          <cell r="G1013">
            <v>430000</v>
          </cell>
          <cell r="H1013">
            <v>0.8</v>
          </cell>
          <cell r="J1013">
            <v>34400</v>
          </cell>
        </row>
        <row r="1014">
          <cell r="C1014" t="str">
            <v>Cây vối</v>
          </cell>
          <cell r="J1014" t="e">
            <v>#DIV/0!</v>
          </cell>
        </row>
        <row r="1015">
          <cell r="B1015" t="str">
            <v>vối02</v>
          </cell>
          <cell r="C1015" t="str">
            <v>Cây vối</v>
          </cell>
          <cell r="D1015" t="str">
            <v>đk gốc ≤ 2cm; H &gt; 50cm</v>
          </cell>
          <cell r="E1015">
            <v>6.666666666666667</v>
          </cell>
          <cell r="F1015" t="str">
            <v>cây</v>
          </cell>
          <cell r="G1015">
            <v>25000</v>
          </cell>
          <cell r="H1015">
            <v>0.5</v>
          </cell>
          <cell r="J1015">
            <v>1875</v>
          </cell>
        </row>
        <row r="1016">
          <cell r="B1016" t="str">
            <v>vối24</v>
          </cell>
          <cell r="C1016" t="str">
            <v>Cây vối</v>
          </cell>
          <cell r="D1016" t="str">
            <v>2cm &lt; đk gốc ≤ 4cm</v>
          </cell>
          <cell r="E1016">
            <v>6.666666666666667</v>
          </cell>
          <cell r="F1016" t="str">
            <v>cây</v>
          </cell>
          <cell r="G1016">
            <v>54000</v>
          </cell>
          <cell r="H1016">
            <v>0.5</v>
          </cell>
          <cell r="J1016">
            <v>4050</v>
          </cell>
        </row>
        <row r="1017">
          <cell r="B1017" t="str">
            <v>vối48</v>
          </cell>
          <cell r="C1017" t="str">
            <v>Cây vối</v>
          </cell>
          <cell r="D1017" t="str">
            <v>4cm &lt; đk gốc ≤ 8cm</v>
          </cell>
          <cell r="E1017">
            <v>6.666666666666667</v>
          </cell>
          <cell r="F1017" t="str">
            <v>cây</v>
          </cell>
          <cell r="G1017">
            <v>112000</v>
          </cell>
          <cell r="H1017">
            <v>0.5</v>
          </cell>
          <cell r="J1017">
            <v>8400</v>
          </cell>
        </row>
        <row r="1018">
          <cell r="B1018" t="str">
            <v>vối815</v>
          </cell>
          <cell r="C1018" t="str">
            <v>Cây vối</v>
          </cell>
          <cell r="D1018" t="str">
            <v>8cm &lt; đk gốc ≤ 15cm</v>
          </cell>
          <cell r="E1018">
            <v>6.666666666666667</v>
          </cell>
          <cell r="F1018" t="str">
            <v>cây</v>
          </cell>
          <cell r="G1018">
            <v>228000</v>
          </cell>
          <cell r="H1018">
            <v>0.8</v>
          </cell>
          <cell r="J1018">
            <v>27360</v>
          </cell>
        </row>
        <row r="1019">
          <cell r="B1019" t="str">
            <v>vối1525</v>
          </cell>
          <cell r="C1019" t="str">
            <v>Cây vối</v>
          </cell>
          <cell r="D1019" t="str">
            <v>15cm &lt; đk gốc ≤ 25cm</v>
          </cell>
          <cell r="E1019">
            <v>6.666666666666667</v>
          </cell>
          <cell r="F1019" t="str">
            <v>cây</v>
          </cell>
          <cell r="G1019">
            <v>378000</v>
          </cell>
          <cell r="H1019">
            <v>0.8</v>
          </cell>
          <cell r="J1019">
            <v>45360</v>
          </cell>
        </row>
        <row r="1020">
          <cell r="B1020" t="str">
            <v>vối2540</v>
          </cell>
          <cell r="C1020" t="str">
            <v>Cây vối</v>
          </cell>
          <cell r="D1020" t="str">
            <v>25cm &lt; đk gốc ≤ 40cm</v>
          </cell>
          <cell r="E1020">
            <v>6.666666666666667</v>
          </cell>
          <cell r="F1020" t="str">
            <v>cây</v>
          </cell>
          <cell r="G1020">
            <v>520000</v>
          </cell>
          <cell r="H1020">
            <v>0.8</v>
          </cell>
          <cell r="J1020">
            <v>62400</v>
          </cell>
        </row>
        <row r="1021">
          <cell r="B1021" t="str">
            <v>vối4060</v>
          </cell>
          <cell r="C1021" t="str">
            <v>Cây vối</v>
          </cell>
          <cell r="D1021" t="str">
            <v>40cm &lt; đk gốc ≤ 60cm</v>
          </cell>
          <cell r="E1021">
            <v>6.666666666666667</v>
          </cell>
          <cell r="F1021" t="str">
            <v>cây</v>
          </cell>
          <cell r="G1021">
            <v>710000</v>
          </cell>
          <cell r="H1021">
            <v>0.8</v>
          </cell>
          <cell r="J1021">
            <v>85200</v>
          </cell>
        </row>
        <row r="1022">
          <cell r="B1022" t="str">
            <v>vối60+</v>
          </cell>
          <cell r="C1022" t="str">
            <v>Cây vối</v>
          </cell>
          <cell r="D1022" t="str">
            <v>đk gốc từ trên 60cm</v>
          </cell>
          <cell r="E1022">
            <v>6.666666666666667</v>
          </cell>
          <cell r="F1022" t="str">
            <v>cây</v>
          </cell>
          <cell r="G1022">
            <v>1236000</v>
          </cell>
          <cell r="H1022">
            <v>0.8</v>
          </cell>
          <cell r="J1022">
            <v>148320</v>
          </cell>
        </row>
        <row r="1023">
          <cell r="B1023" t="str">
            <v>vối02vmd</v>
          </cell>
          <cell r="C1023" t="str">
            <v>Cây vối vượt mật độ</v>
          </cell>
          <cell r="D1023" t="str">
            <v>đk gốc ≤ 2cm; H &gt; 50cm</v>
          </cell>
          <cell r="E1023">
            <v>6.666666666666667</v>
          </cell>
          <cell r="F1023" t="str">
            <v>cây</v>
          </cell>
          <cell r="G1023">
            <v>25000</v>
          </cell>
          <cell r="H1023">
            <v>0.25</v>
          </cell>
          <cell r="J1023">
            <v>937.5</v>
          </cell>
        </row>
        <row r="1024">
          <cell r="B1024" t="str">
            <v>vối24vmd</v>
          </cell>
          <cell r="C1024" t="str">
            <v>Cây vối vượt mật độ</v>
          </cell>
          <cell r="D1024" t="str">
            <v>2cm &lt; đk gốc ≤ 4cm</v>
          </cell>
          <cell r="E1024">
            <v>6.666666666666667</v>
          </cell>
          <cell r="F1024" t="str">
            <v>cây</v>
          </cell>
          <cell r="G1024">
            <v>54000</v>
          </cell>
          <cell r="H1024">
            <v>0.25</v>
          </cell>
          <cell r="J1024">
            <v>2025</v>
          </cell>
        </row>
        <row r="1025">
          <cell r="B1025" t="str">
            <v>vối48vmd</v>
          </cell>
          <cell r="C1025" t="str">
            <v>Cây vối vượt mật độ</v>
          </cell>
          <cell r="D1025" t="str">
            <v>4cm &lt; đk gốc ≤ 8cm</v>
          </cell>
          <cell r="E1025">
            <v>6.666666666666667</v>
          </cell>
          <cell r="F1025" t="str">
            <v>cây</v>
          </cell>
          <cell r="G1025">
            <v>112000</v>
          </cell>
          <cell r="H1025">
            <v>0.25</v>
          </cell>
          <cell r="J1025">
            <v>4200</v>
          </cell>
        </row>
        <row r="1026">
          <cell r="B1026" t="str">
            <v>vối815vmd</v>
          </cell>
          <cell r="C1026" t="str">
            <v>Cây vối vượt mật độ</v>
          </cell>
          <cell r="D1026" t="str">
            <v>8cm &lt; đk gốc ≤ 15cm</v>
          </cell>
          <cell r="E1026">
            <v>6.666666666666667</v>
          </cell>
          <cell r="F1026" t="str">
            <v>cây</v>
          </cell>
          <cell r="G1026">
            <v>228000</v>
          </cell>
          <cell r="H1026">
            <v>0.4</v>
          </cell>
          <cell r="J1026">
            <v>13680</v>
          </cell>
        </row>
        <row r="1027">
          <cell r="B1027" t="str">
            <v>vối1525vmd</v>
          </cell>
          <cell r="C1027" t="str">
            <v>Cây vối vượt mật độ</v>
          </cell>
          <cell r="D1027" t="str">
            <v>15cm &lt; đk gốc ≤ 25cm</v>
          </cell>
          <cell r="E1027">
            <v>6.666666666666667</v>
          </cell>
          <cell r="F1027" t="str">
            <v>cây</v>
          </cell>
          <cell r="G1027">
            <v>378000</v>
          </cell>
          <cell r="H1027">
            <v>0.4</v>
          </cell>
          <cell r="J1027">
            <v>22680</v>
          </cell>
        </row>
        <row r="1028">
          <cell r="B1028" t="str">
            <v>vối2540vmd</v>
          </cell>
          <cell r="C1028" t="str">
            <v>Cây vối vượt mật độ</v>
          </cell>
          <cell r="D1028" t="str">
            <v>25cm &lt; đk gốc ≤ 40cm</v>
          </cell>
          <cell r="E1028">
            <v>6.666666666666667</v>
          </cell>
          <cell r="F1028" t="str">
            <v>cây</v>
          </cell>
          <cell r="G1028">
            <v>520000</v>
          </cell>
          <cell r="H1028">
            <v>0.4</v>
          </cell>
          <cell r="J1028">
            <v>31200</v>
          </cell>
        </row>
        <row r="1029">
          <cell r="B1029" t="str">
            <v>vối4060vmd</v>
          </cell>
          <cell r="C1029" t="str">
            <v>Cây vối vượt mật độ</v>
          </cell>
          <cell r="D1029" t="str">
            <v>40cm &lt; đk gốc ≤ 60cm</v>
          </cell>
          <cell r="E1029">
            <v>6.666666666666667</v>
          </cell>
          <cell r="F1029" t="str">
            <v>cây</v>
          </cell>
          <cell r="G1029">
            <v>710000</v>
          </cell>
          <cell r="H1029">
            <v>0.4</v>
          </cell>
          <cell r="J1029">
            <v>42600</v>
          </cell>
        </row>
        <row r="1030">
          <cell r="B1030" t="str">
            <v>vối60+vmd</v>
          </cell>
          <cell r="C1030" t="str">
            <v>Cây vối vượt mật độ</v>
          </cell>
          <cell r="D1030" t="str">
            <v>đk gốc từ trên 60cm</v>
          </cell>
          <cell r="E1030">
            <v>6.666666666666667</v>
          </cell>
          <cell r="F1030" t="str">
            <v>cây</v>
          </cell>
          <cell r="G1030">
            <v>1236000</v>
          </cell>
          <cell r="H1030">
            <v>0.4</v>
          </cell>
          <cell r="J1030">
            <v>74160</v>
          </cell>
        </row>
        <row r="1031">
          <cell r="C1031" t="str">
            <v>Cây tùng</v>
          </cell>
          <cell r="J1031" t="e">
            <v>#DIV/0!</v>
          </cell>
        </row>
        <row r="1032">
          <cell r="B1032" t="str">
            <v>tùng02</v>
          </cell>
          <cell r="C1032" t="str">
            <v>Cây tùng</v>
          </cell>
          <cell r="D1032" t="str">
            <v>đk gốc ≤ 2cm; H &gt; 50cm</v>
          </cell>
          <cell r="E1032">
            <v>6.666666666666667</v>
          </cell>
          <cell r="F1032" t="str">
            <v>cây</v>
          </cell>
          <cell r="G1032">
            <v>25000</v>
          </cell>
          <cell r="H1032">
            <v>0.5</v>
          </cell>
          <cell r="J1032">
            <v>1875</v>
          </cell>
        </row>
        <row r="1033">
          <cell r="B1033" t="str">
            <v>tùng24</v>
          </cell>
          <cell r="C1033" t="str">
            <v>Cây tùng</v>
          </cell>
          <cell r="D1033" t="str">
            <v>2cm &lt; đk gốc ≤ 4cm</v>
          </cell>
          <cell r="E1033">
            <v>6.666666666666667</v>
          </cell>
          <cell r="F1033" t="str">
            <v>cây</v>
          </cell>
          <cell r="G1033">
            <v>54000</v>
          </cell>
          <cell r="H1033">
            <v>0.5</v>
          </cell>
          <cell r="J1033">
            <v>4050</v>
          </cell>
        </row>
        <row r="1034">
          <cell r="B1034" t="str">
            <v>tùng48</v>
          </cell>
          <cell r="C1034" t="str">
            <v>Cây tùng</v>
          </cell>
          <cell r="D1034" t="str">
            <v>4cm &lt; đk gốc ≤ 8cm</v>
          </cell>
          <cell r="E1034">
            <v>6.666666666666667</v>
          </cell>
          <cell r="F1034" t="str">
            <v>cây</v>
          </cell>
          <cell r="G1034">
            <v>112000</v>
          </cell>
          <cell r="H1034">
            <v>0.5</v>
          </cell>
          <cell r="J1034">
            <v>8400</v>
          </cell>
        </row>
        <row r="1035">
          <cell r="B1035" t="str">
            <v>tùng815</v>
          </cell>
          <cell r="C1035" t="str">
            <v>Cây tùng</v>
          </cell>
          <cell r="D1035" t="str">
            <v>8cm &lt; đk gốc ≤ 15cm</v>
          </cell>
          <cell r="E1035">
            <v>6.666666666666667</v>
          </cell>
          <cell r="F1035" t="str">
            <v>cây</v>
          </cell>
          <cell r="G1035">
            <v>228000</v>
          </cell>
          <cell r="H1035">
            <v>0.8</v>
          </cell>
          <cell r="J1035">
            <v>27360</v>
          </cell>
        </row>
        <row r="1036">
          <cell r="B1036" t="str">
            <v>tùng1525</v>
          </cell>
          <cell r="C1036" t="str">
            <v>Cây tùng</v>
          </cell>
          <cell r="D1036" t="str">
            <v>15cm &lt; đk gốc ≤ 25cm</v>
          </cell>
          <cell r="E1036">
            <v>6.666666666666667</v>
          </cell>
          <cell r="F1036" t="str">
            <v>cây</v>
          </cell>
          <cell r="G1036">
            <v>378000</v>
          </cell>
          <cell r="H1036">
            <v>0.8</v>
          </cell>
          <cell r="J1036">
            <v>45360</v>
          </cell>
        </row>
        <row r="1037">
          <cell r="B1037" t="str">
            <v>tùng2540</v>
          </cell>
          <cell r="C1037" t="str">
            <v>Cây tùng</v>
          </cell>
          <cell r="D1037" t="str">
            <v>25cm &lt; đk gốc ≤ 40cm</v>
          </cell>
          <cell r="E1037">
            <v>6.666666666666667</v>
          </cell>
          <cell r="F1037" t="str">
            <v>cây</v>
          </cell>
          <cell r="G1037">
            <v>520000</v>
          </cell>
          <cell r="H1037">
            <v>0.8</v>
          </cell>
          <cell r="J1037">
            <v>62400</v>
          </cell>
        </row>
        <row r="1038">
          <cell r="B1038" t="str">
            <v>tùng4060</v>
          </cell>
          <cell r="C1038" t="str">
            <v>Cây tùng</v>
          </cell>
          <cell r="D1038" t="str">
            <v>40cm &lt; đk gốc ≤ 60cm</v>
          </cell>
          <cell r="E1038">
            <v>6.666666666666667</v>
          </cell>
          <cell r="F1038" t="str">
            <v>cây</v>
          </cell>
          <cell r="G1038">
            <v>710000</v>
          </cell>
          <cell r="H1038">
            <v>0.8</v>
          </cell>
          <cell r="J1038">
            <v>85200</v>
          </cell>
        </row>
        <row r="1039">
          <cell r="B1039" t="str">
            <v>tùng60+</v>
          </cell>
          <cell r="C1039" t="str">
            <v>Cây tùng</v>
          </cell>
          <cell r="D1039" t="str">
            <v>đk gốc từ trên 60cm</v>
          </cell>
          <cell r="E1039">
            <v>6.666666666666667</v>
          </cell>
          <cell r="F1039" t="str">
            <v>cây</v>
          </cell>
          <cell r="G1039">
            <v>1236000</v>
          </cell>
          <cell r="H1039">
            <v>0.8</v>
          </cell>
          <cell r="J1039">
            <v>148320</v>
          </cell>
        </row>
        <row r="1040">
          <cell r="B1040" t="str">
            <v>tùng02vmd</v>
          </cell>
          <cell r="C1040" t="str">
            <v>Cây tùng vượt mật độ</v>
          </cell>
          <cell r="D1040" t="str">
            <v>đk gốc ≤ 2cm; H &gt; 50cm</v>
          </cell>
          <cell r="E1040">
            <v>6.666666666666667</v>
          </cell>
          <cell r="F1040" t="str">
            <v>cây</v>
          </cell>
          <cell r="G1040">
            <v>25000</v>
          </cell>
          <cell r="H1040">
            <v>0.25</v>
          </cell>
          <cell r="J1040">
            <v>937.5</v>
          </cell>
        </row>
        <row r="1041">
          <cell r="B1041" t="str">
            <v>tùng24vmd</v>
          </cell>
          <cell r="C1041" t="str">
            <v>Cây tùng vượt mật độ</v>
          </cell>
          <cell r="D1041" t="str">
            <v>2cm &lt; đk gốc ≤ 4cm</v>
          </cell>
          <cell r="E1041">
            <v>6.666666666666667</v>
          </cell>
          <cell r="F1041" t="str">
            <v>cây</v>
          </cell>
          <cell r="G1041">
            <v>54000</v>
          </cell>
          <cell r="H1041">
            <v>0.25</v>
          </cell>
          <cell r="J1041">
            <v>2025</v>
          </cell>
        </row>
        <row r="1042">
          <cell r="B1042" t="str">
            <v>tùng48vmd</v>
          </cell>
          <cell r="C1042" t="str">
            <v>Cây tùng vượt mật độ</v>
          </cell>
          <cell r="D1042" t="str">
            <v>4cm &lt; đk gốc ≤ 8cm</v>
          </cell>
          <cell r="E1042">
            <v>6.666666666666667</v>
          </cell>
          <cell r="F1042" t="str">
            <v>cây</v>
          </cell>
          <cell r="G1042">
            <v>112000</v>
          </cell>
          <cell r="H1042">
            <v>0.25</v>
          </cell>
          <cell r="J1042">
            <v>4200</v>
          </cell>
        </row>
        <row r="1043">
          <cell r="B1043" t="str">
            <v>tùng815vmd</v>
          </cell>
          <cell r="C1043" t="str">
            <v>Cây tùng vượt mật độ</v>
          </cell>
          <cell r="D1043" t="str">
            <v>8cm &lt; đk gốc ≤ 15cm</v>
          </cell>
          <cell r="E1043">
            <v>6.666666666666667</v>
          </cell>
          <cell r="F1043" t="str">
            <v>cây</v>
          </cell>
          <cell r="G1043">
            <v>228000</v>
          </cell>
          <cell r="H1043">
            <v>0.4</v>
          </cell>
          <cell r="J1043">
            <v>13680</v>
          </cell>
        </row>
        <row r="1044">
          <cell r="B1044" t="str">
            <v>tùng1525vmd</v>
          </cell>
          <cell r="C1044" t="str">
            <v>Cây tùng vượt mật độ</v>
          </cell>
          <cell r="D1044" t="str">
            <v>15cm &lt; đk gốc ≤ 25cm</v>
          </cell>
          <cell r="E1044">
            <v>6.666666666666667</v>
          </cell>
          <cell r="F1044" t="str">
            <v>cây</v>
          </cell>
          <cell r="G1044">
            <v>378000</v>
          </cell>
          <cell r="H1044">
            <v>0.4</v>
          </cell>
          <cell r="J1044">
            <v>22680</v>
          </cell>
        </row>
        <row r="1045">
          <cell r="B1045" t="str">
            <v>tùng2540vmd</v>
          </cell>
          <cell r="C1045" t="str">
            <v>Cây tùng vượt mật độ</v>
          </cell>
          <cell r="D1045" t="str">
            <v>25cm &lt; đk gốc ≤ 40cm</v>
          </cell>
          <cell r="E1045">
            <v>6.666666666666667</v>
          </cell>
          <cell r="F1045" t="str">
            <v>cây</v>
          </cell>
          <cell r="G1045">
            <v>520000</v>
          </cell>
          <cell r="H1045">
            <v>0.4</v>
          </cell>
          <cell r="J1045">
            <v>31200</v>
          </cell>
        </row>
        <row r="1046">
          <cell r="B1046" t="str">
            <v>tùng4060vmd</v>
          </cell>
          <cell r="C1046" t="str">
            <v>Cây tùng vượt mật độ</v>
          </cell>
          <cell r="D1046" t="str">
            <v>40cm &lt; đk gốc ≤ 60cm</v>
          </cell>
          <cell r="E1046">
            <v>6.666666666666667</v>
          </cell>
          <cell r="F1046" t="str">
            <v>cây</v>
          </cell>
          <cell r="G1046">
            <v>710000</v>
          </cell>
          <cell r="H1046">
            <v>0.4</v>
          </cell>
          <cell r="J1046">
            <v>42600</v>
          </cell>
        </row>
        <row r="1047">
          <cell r="B1047" t="str">
            <v>tùng60+vmd</v>
          </cell>
          <cell r="C1047" t="str">
            <v>Cây tùng vượt mật độ</v>
          </cell>
          <cell r="D1047" t="str">
            <v>đk gốc từ trên 60cm</v>
          </cell>
          <cell r="E1047">
            <v>6.666666666666667</v>
          </cell>
          <cell r="F1047" t="str">
            <v>cây</v>
          </cell>
          <cell r="G1047">
            <v>1236000</v>
          </cell>
          <cell r="H1047">
            <v>0.4</v>
          </cell>
          <cell r="J1047">
            <v>74160</v>
          </cell>
        </row>
        <row r="1048">
          <cell r="C1048" t="str">
            <v>Cây đào tiên</v>
          </cell>
          <cell r="J1048" t="e">
            <v>#DIV/0!</v>
          </cell>
        </row>
        <row r="1049">
          <cell r="B1049" t="str">
            <v>daotien02</v>
          </cell>
          <cell r="C1049" t="str">
            <v>Cây đào tiên</v>
          </cell>
          <cell r="D1049" t="str">
            <v>đk gốc ≤ 2cm; H &gt; 50cm</v>
          </cell>
          <cell r="E1049">
            <v>6.666666666666667</v>
          </cell>
          <cell r="F1049" t="str">
            <v>cây</v>
          </cell>
          <cell r="G1049">
            <v>25000</v>
          </cell>
          <cell r="H1049">
            <v>0.5</v>
          </cell>
          <cell r="J1049">
            <v>1875</v>
          </cell>
        </row>
        <row r="1050">
          <cell r="B1050" t="str">
            <v>daotien24</v>
          </cell>
          <cell r="C1050" t="str">
            <v>Cây đào tiên</v>
          </cell>
          <cell r="D1050" t="str">
            <v>2cm &lt; đk gốc ≤ 4cm</v>
          </cell>
          <cell r="E1050">
            <v>6.666666666666667</v>
          </cell>
          <cell r="F1050" t="str">
            <v>cây</v>
          </cell>
          <cell r="G1050">
            <v>54000</v>
          </cell>
          <cell r="H1050">
            <v>0.5</v>
          </cell>
          <cell r="J1050">
            <v>4050</v>
          </cell>
        </row>
        <row r="1051">
          <cell r="B1051" t="str">
            <v>daotien48</v>
          </cell>
          <cell r="C1051" t="str">
            <v>Cây đào tiên</v>
          </cell>
          <cell r="D1051" t="str">
            <v>4cm &lt; đk gốc ≤ 8cm</v>
          </cell>
          <cell r="E1051">
            <v>6.666666666666667</v>
          </cell>
          <cell r="F1051" t="str">
            <v>cây</v>
          </cell>
          <cell r="G1051">
            <v>112000</v>
          </cell>
          <cell r="H1051">
            <v>0.5</v>
          </cell>
          <cell r="J1051">
            <v>8400</v>
          </cell>
        </row>
        <row r="1052">
          <cell r="B1052" t="str">
            <v>daotien815</v>
          </cell>
          <cell r="C1052" t="str">
            <v>Cây đào tiên</v>
          </cell>
          <cell r="D1052" t="str">
            <v>8cm &lt; đk gốc ≤ 15cm</v>
          </cell>
          <cell r="E1052">
            <v>6.666666666666667</v>
          </cell>
          <cell r="F1052" t="str">
            <v>cây</v>
          </cell>
          <cell r="G1052">
            <v>228000</v>
          </cell>
          <cell r="H1052">
            <v>0.8</v>
          </cell>
          <cell r="J1052">
            <v>27360</v>
          </cell>
        </row>
        <row r="1053">
          <cell r="B1053" t="str">
            <v>daotien1525</v>
          </cell>
          <cell r="C1053" t="str">
            <v>Cây đào tiên</v>
          </cell>
          <cell r="D1053" t="str">
            <v>15cm &lt; đk gốc ≤ 25cm</v>
          </cell>
          <cell r="E1053">
            <v>6.666666666666667</v>
          </cell>
          <cell r="F1053" t="str">
            <v>cây</v>
          </cell>
          <cell r="G1053">
            <v>378000</v>
          </cell>
          <cell r="H1053">
            <v>0.8</v>
          </cell>
          <cell r="J1053">
            <v>45360</v>
          </cell>
        </row>
        <row r="1054">
          <cell r="B1054" t="str">
            <v>daotien2540</v>
          </cell>
          <cell r="C1054" t="str">
            <v>Cây đào tiên</v>
          </cell>
          <cell r="D1054" t="str">
            <v>25cm &lt; đk gốc ≤ 40cm</v>
          </cell>
          <cell r="E1054">
            <v>6.666666666666667</v>
          </cell>
          <cell r="F1054" t="str">
            <v>cây</v>
          </cell>
          <cell r="G1054">
            <v>520000</v>
          </cell>
          <cell r="H1054">
            <v>0.8</v>
          </cell>
          <cell r="J1054">
            <v>62400</v>
          </cell>
        </row>
        <row r="1055">
          <cell r="B1055" t="str">
            <v>daotien4060</v>
          </cell>
          <cell r="C1055" t="str">
            <v>Cây đào tiên</v>
          </cell>
          <cell r="D1055" t="str">
            <v>40cm &lt; đk gốc ≤ 60cm</v>
          </cell>
          <cell r="E1055">
            <v>6.666666666666667</v>
          </cell>
          <cell r="F1055" t="str">
            <v>cây</v>
          </cell>
          <cell r="G1055">
            <v>710000</v>
          </cell>
          <cell r="H1055">
            <v>0.8</v>
          </cell>
          <cell r="J1055">
            <v>85200</v>
          </cell>
        </row>
        <row r="1056">
          <cell r="B1056" t="str">
            <v>daotien60+</v>
          </cell>
          <cell r="C1056" t="str">
            <v>Cây đào tiên</v>
          </cell>
          <cell r="D1056" t="str">
            <v>đk gốc từ trên 60cm</v>
          </cell>
          <cell r="E1056">
            <v>6.666666666666667</v>
          </cell>
          <cell r="F1056" t="str">
            <v>cây</v>
          </cell>
          <cell r="G1056">
            <v>1236000</v>
          </cell>
          <cell r="H1056">
            <v>0.8</v>
          </cell>
          <cell r="J1056">
            <v>148320</v>
          </cell>
        </row>
        <row r="1057">
          <cell r="B1057" t="str">
            <v>daotien02vmd</v>
          </cell>
          <cell r="C1057" t="str">
            <v>Cây đào tiên vượt mật độ</v>
          </cell>
          <cell r="D1057" t="str">
            <v>đk gốc ≤ 2cm; H &gt; 50cm</v>
          </cell>
          <cell r="E1057">
            <v>6.666666666666667</v>
          </cell>
          <cell r="F1057" t="str">
            <v>cây</v>
          </cell>
          <cell r="G1057">
            <v>25000</v>
          </cell>
          <cell r="H1057">
            <v>0.25</v>
          </cell>
          <cell r="J1057">
            <v>937.5</v>
          </cell>
        </row>
        <row r="1058">
          <cell r="B1058" t="str">
            <v>daotien24vmd</v>
          </cell>
          <cell r="C1058" t="str">
            <v>Cây đào tiên vượt mật độ</v>
          </cell>
          <cell r="D1058" t="str">
            <v>2cm &lt; đk gốc ≤ 4cm</v>
          </cell>
          <cell r="E1058">
            <v>6.666666666666667</v>
          </cell>
          <cell r="F1058" t="str">
            <v>cây</v>
          </cell>
          <cell r="G1058">
            <v>54000</v>
          </cell>
          <cell r="H1058">
            <v>0.25</v>
          </cell>
          <cell r="J1058">
            <v>2025</v>
          </cell>
        </row>
        <row r="1059">
          <cell r="B1059" t="str">
            <v>daotien48vmd</v>
          </cell>
          <cell r="C1059" t="str">
            <v>Cây đào tiên vượt mật độ</v>
          </cell>
          <cell r="D1059" t="str">
            <v>4cm &lt; đk gốc ≤ 8cm</v>
          </cell>
          <cell r="E1059">
            <v>6.666666666666667</v>
          </cell>
          <cell r="F1059" t="str">
            <v>cây</v>
          </cell>
          <cell r="G1059">
            <v>112000</v>
          </cell>
          <cell r="H1059">
            <v>0.25</v>
          </cell>
          <cell r="J1059">
            <v>4200</v>
          </cell>
        </row>
        <row r="1060">
          <cell r="B1060" t="str">
            <v>daotien815vmd</v>
          </cell>
          <cell r="C1060" t="str">
            <v>Cây đào tiên vượt mật độ</v>
          </cell>
          <cell r="D1060" t="str">
            <v>8cm &lt; đk gốc ≤ 15cm</v>
          </cell>
          <cell r="E1060">
            <v>6.666666666666667</v>
          </cell>
          <cell r="F1060" t="str">
            <v>cây</v>
          </cell>
          <cell r="G1060">
            <v>228000</v>
          </cell>
          <cell r="H1060">
            <v>0.4</v>
          </cell>
          <cell r="J1060">
            <v>13680</v>
          </cell>
        </row>
        <row r="1061">
          <cell r="B1061" t="str">
            <v>daotien1525vmd</v>
          </cell>
          <cell r="C1061" t="str">
            <v>Cây đào tiên vượt mật độ</v>
          </cell>
          <cell r="D1061" t="str">
            <v>15cm &lt; đk gốc ≤ 25cm</v>
          </cell>
          <cell r="E1061">
            <v>6.666666666666667</v>
          </cell>
          <cell r="F1061" t="str">
            <v>cây</v>
          </cell>
          <cell r="G1061">
            <v>378000</v>
          </cell>
          <cell r="H1061">
            <v>0.4</v>
          </cell>
          <cell r="J1061">
            <v>22680</v>
          </cell>
        </row>
        <row r="1062">
          <cell r="B1062" t="str">
            <v>daotien2540vmd</v>
          </cell>
          <cell r="C1062" t="str">
            <v>Cây đào tiên vượt mật độ</v>
          </cell>
          <cell r="D1062" t="str">
            <v>25cm &lt; đk gốc ≤ 40cm</v>
          </cell>
          <cell r="E1062">
            <v>6.666666666666667</v>
          </cell>
          <cell r="F1062" t="str">
            <v>cây</v>
          </cell>
          <cell r="G1062">
            <v>520000</v>
          </cell>
          <cell r="H1062">
            <v>0.4</v>
          </cell>
          <cell r="J1062">
            <v>31200</v>
          </cell>
        </row>
        <row r="1063">
          <cell r="B1063" t="str">
            <v>daotien4060vmd</v>
          </cell>
          <cell r="C1063" t="str">
            <v>Cây đào tiên vượt mật độ</v>
          </cell>
          <cell r="D1063" t="str">
            <v>40cm &lt; đk gốc ≤ 60cm</v>
          </cell>
          <cell r="E1063">
            <v>6.666666666666667</v>
          </cell>
          <cell r="F1063" t="str">
            <v>cây</v>
          </cell>
          <cell r="G1063">
            <v>710000</v>
          </cell>
          <cell r="H1063">
            <v>0.4</v>
          </cell>
          <cell r="J1063">
            <v>42600</v>
          </cell>
        </row>
        <row r="1064">
          <cell r="B1064" t="str">
            <v>daotien60+vmd</v>
          </cell>
          <cell r="C1064" t="str">
            <v>Cây đào tiên vượt mật độ</v>
          </cell>
          <cell r="D1064" t="str">
            <v>đk gốc từ trên 60cm</v>
          </cell>
          <cell r="E1064">
            <v>6.666666666666667</v>
          </cell>
          <cell r="F1064" t="str">
            <v>cây</v>
          </cell>
          <cell r="G1064">
            <v>1236000</v>
          </cell>
          <cell r="H1064">
            <v>0.4</v>
          </cell>
          <cell r="J1064">
            <v>74160</v>
          </cell>
        </row>
        <row r="1065">
          <cell r="C1065" t="str">
            <v>Cây dâu da xoan</v>
          </cell>
          <cell r="J1065" t="e">
            <v>#DIV/0!</v>
          </cell>
        </row>
        <row r="1066">
          <cell r="B1066" t="str">
            <v>dauda02</v>
          </cell>
          <cell r="C1066" t="str">
            <v>Cây dâu da xoan</v>
          </cell>
          <cell r="D1066" t="str">
            <v>đk gốc ≤ 2cm; H &gt; 50cm</v>
          </cell>
          <cell r="E1066">
            <v>6.666666666666667</v>
          </cell>
          <cell r="F1066" t="str">
            <v>cây</v>
          </cell>
          <cell r="G1066">
            <v>25000</v>
          </cell>
          <cell r="H1066">
            <v>0.5</v>
          </cell>
          <cell r="J1066">
            <v>1875</v>
          </cell>
        </row>
        <row r="1067">
          <cell r="B1067" t="str">
            <v>dauda24</v>
          </cell>
          <cell r="C1067" t="str">
            <v>Cây dâu da xoan</v>
          </cell>
          <cell r="D1067" t="str">
            <v>2cm &lt; đk gốc ≤ 4cm</v>
          </cell>
          <cell r="E1067">
            <v>6.666666666666667</v>
          </cell>
          <cell r="F1067" t="str">
            <v>cây</v>
          </cell>
          <cell r="G1067">
            <v>54000</v>
          </cell>
          <cell r="H1067">
            <v>0.5</v>
          </cell>
          <cell r="J1067">
            <v>4050</v>
          </cell>
        </row>
        <row r="1068">
          <cell r="B1068" t="str">
            <v>dauda48</v>
          </cell>
          <cell r="C1068" t="str">
            <v>Cây dâu da xoan</v>
          </cell>
          <cell r="D1068" t="str">
            <v>4cm &lt; đk gốc ≤ 8cm</v>
          </cell>
          <cell r="E1068">
            <v>6.666666666666667</v>
          </cell>
          <cell r="F1068" t="str">
            <v>cây</v>
          </cell>
          <cell r="G1068">
            <v>112000</v>
          </cell>
          <cell r="H1068">
            <v>0.5</v>
          </cell>
          <cell r="J1068">
            <v>8400</v>
          </cell>
        </row>
        <row r="1069">
          <cell r="B1069" t="str">
            <v>dauda815</v>
          </cell>
          <cell r="C1069" t="str">
            <v>Cây dâu da xoan</v>
          </cell>
          <cell r="D1069" t="str">
            <v>8cm &lt; đk gốc ≤ 15cm</v>
          </cell>
          <cell r="E1069">
            <v>6.666666666666667</v>
          </cell>
          <cell r="F1069" t="str">
            <v>cây</v>
          </cell>
          <cell r="G1069">
            <v>228000</v>
          </cell>
          <cell r="H1069">
            <v>0.8</v>
          </cell>
          <cell r="J1069">
            <v>27360</v>
          </cell>
        </row>
        <row r="1070">
          <cell r="B1070" t="str">
            <v>dauda1525</v>
          </cell>
          <cell r="C1070" t="str">
            <v>Cây dâu da xoan</v>
          </cell>
          <cell r="D1070" t="str">
            <v>15cm &lt; đk gốc ≤ 25cm</v>
          </cell>
          <cell r="E1070">
            <v>6.666666666666667</v>
          </cell>
          <cell r="F1070" t="str">
            <v>cây</v>
          </cell>
          <cell r="G1070">
            <v>378000</v>
          </cell>
          <cell r="H1070">
            <v>0.8</v>
          </cell>
          <cell r="J1070">
            <v>45360</v>
          </cell>
        </row>
        <row r="1071">
          <cell r="B1071" t="str">
            <v>dauda2540</v>
          </cell>
          <cell r="C1071" t="str">
            <v>Cây dâu da xoan</v>
          </cell>
          <cell r="D1071" t="str">
            <v>25cm &lt; đk gốc ≤ 40cm</v>
          </cell>
          <cell r="E1071">
            <v>6.666666666666667</v>
          </cell>
          <cell r="F1071" t="str">
            <v>cây</v>
          </cell>
          <cell r="G1071">
            <v>520000</v>
          </cell>
          <cell r="H1071">
            <v>0.8</v>
          </cell>
          <cell r="J1071">
            <v>62400</v>
          </cell>
        </row>
        <row r="1072">
          <cell r="B1072" t="str">
            <v>dauda4060</v>
          </cell>
          <cell r="C1072" t="str">
            <v>Cây dâu da xoan</v>
          </cell>
          <cell r="D1072" t="str">
            <v>40cm &lt; đk gốc ≤ 60cm</v>
          </cell>
          <cell r="E1072">
            <v>6.666666666666667</v>
          </cell>
          <cell r="F1072" t="str">
            <v>cây</v>
          </cell>
          <cell r="G1072">
            <v>710000</v>
          </cell>
          <cell r="H1072">
            <v>0.8</v>
          </cell>
          <cell r="J1072">
            <v>85200</v>
          </cell>
        </row>
        <row r="1073">
          <cell r="B1073" t="str">
            <v>dauda60+</v>
          </cell>
          <cell r="C1073" t="str">
            <v>Cây dâu da xoan</v>
          </cell>
          <cell r="D1073" t="str">
            <v>đk gốc từ trên 60cm</v>
          </cell>
          <cell r="E1073">
            <v>6.666666666666667</v>
          </cell>
          <cell r="F1073" t="str">
            <v>cây</v>
          </cell>
          <cell r="G1073">
            <v>1236000</v>
          </cell>
          <cell r="H1073">
            <v>0.8</v>
          </cell>
          <cell r="J1073">
            <v>148320</v>
          </cell>
        </row>
        <row r="1074">
          <cell r="B1074" t="str">
            <v>dauda02vmd</v>
          </cell>
          <cell r="C1074" t="str">
            <v>Cây dâu da xoan vượt mật độ</v>
          </cell>
          <cell r="D1074" t="str">
            <v>đk gốc ≤ 2cm; H &gt; 50cm</v>
          </cell>
          <cell r="E1074">
            <v>6.666666666666667</v>
          </cell>
          <cell r="F1074" t="str">
            <v>cây</v>
          </cell>
          <cell r="G1074">
            <v>25000</v>
          </cell>
          <cell r="H1074">
            <v>0.25</v>
          </cell>
          <cell r="J1074">
            <v>937.5</v>
          </cell>
        </row>
        <row r="1075">
          <cell r="B1075" t="str">
            <v>dauda24vmd</v>
          </cell>
          <cell r="C1075" t="str">
            <v>Cây dâu da xoan vượt mật độ</v>
          </cell>
          <cell r="D1075" t="str">
            <v>2cm &lt; đk gốc ≤ 4cm</v>
          </cell>
          <cell r="E1075">
            <v>6.666666666666667</v>
          </cell>
          <cell r="F1075" t="str">
            <v>cây</v>
          </cell>
          <cell r="G1075">
            <v>54000</v>
          </cell>
          <cell r="H1075">
            <v>0.25</v>
          </cell>
          <cell r="J1075">
            <v>2025</v>
          </cell>
        </row>
        <row r="1076">
          <cell r="B1076" t="str">
            <v>dauda48vmd</v>
          </cell>
          <cell r="C1076" t="str">
            <v>Cây dâu da xoan vượt mật độ</v>
          </cell>
          <cell r="D1076" t="str">
            <v>4cm &lt; đk gốc ≤ 8cm</v>
          </cell>
          <cell r="E1076">
            <v>6.666666666666667</v>
          </cell>
          <cell r="F1076" t="str">
            <v>cây</v>
          </cell>
          <cell r="G1076">
            <v>112000</v>
          </cell>
          <cell r="H1076">
            <v>0.25</v>
          </cell>
          <cell r="J1076">
            <v>4200</v>
          </cell>
        </row>
        <row r="1077">
          <cell r="B1077" t="str">
            <v>dauda815vmd</v>
          </cell>
          <cell r="C1077" t="str">
            <v>Cây dâu da xoan vượt mật độ</v>
          </cell>
          <cell r="D1077" t="str">
            <v>8cm &lt; đk gốc ≤ 15cm</v>
          </cell>
          <cell r="E1077">
            <v>6.666666666666667</v>
          </cell>
          <cell r="F1077" t="str">
            <v>cây</v>
          </cell>
          <cell r="G1077">
            <v>228000</v>
          </cell>
          <cell r="H1077">
            <v>0.4</v>
          </cell>
          <cell r="J1077">
            <v>13680</v>
          </cell>
        </row>
        <row r="1078">
          <cell r="B1078" t="str">
            <v>dauda1525vmd</v>
          </cell>
          <cell r="C1078" t="str">
            <v>Cây dâu da xoan vượt mật độ</v>
          </cell>
          <cell r="D1078" t="str">
            <v>15cm &lt; đk gốc ≤ 25cm</v>
          </cell>
          <cell r="E1078">
            <v>6.666666666666667</v>
          </cell>
          <cell r="F1078" t="str">
            <v>cây</v>
          </cell>
          <cell r="G1078">
            <v>378000</v>
          </cell>
          <cell r="H1078">
            <v>0.4</v>
          </cell>
          <cell r="J1078">
            <v>22680</v>
          </cell>
        </row>
        <row r="1079">
          <cell r="B1079" t="str">
            <v>dauda2540vmd</v>
          </cell>
          <cell r="C1079" t="str">
            <v>Cây dâu da xoan vượt mật độ</v>
          </cell>
          <cell r="D1079" t="str">
            <v>25cm &lt; đk gốc ≤ 40cm</v>
          </cell>
          <cell r="E1079">
            <v>6.666666666666667</v>
          </cell>
          <cell r="F1079" t="str">
            <v>cây</v>
          </cell>
          <cell r="G1079">
            <v>520000</v>
          </cell>
          <cell r="H1079">
            <v>0.4</v>
          </cell>
          <cell r="J1079">
            <v>31200</v>
          </cell>
        </row>
        <row r="1080">
          <cell r="B1080" t="str">
            <v>dauda4060vmd</v>
          </cell>
          <cell r="C1080" t="str">
            <v>Cây dâu da xoan vượt mật độ</v>
          </cell>
          <cell r="D1080" t="str">
            <v>40cm &lt; đk gốc ≤ 60cm</v>
          </cell>
          <cell r="E1080">
            <v>6.666666666666667</v>
          </cell>
          <cell r="F1080" t="str">
            <v>cây</v>
          </cell>
          <cell r="G1080">
            <v>710000</v>
          </cell>
          <cell r="H1080">
            <v>0.4</v>
          </cell>
          <cell r="J1080">
            <v>42600</v>
          </cell>
        </row>
        <row r="1081">
          <cell r="B1081" t="str">
            <v>dauda60+vmd</v>
          </cell>
          <cell r="C1081" t="str">
            <v>Cây dâu da xoan vượt mật độ</v>
          </cell>
          <cell r="D1081" t="str">
            <v>đk gốc từ trên 60cm</v>
          </cell>
          <cell r="E1081">
            <v>6.666666666666667</v>
          </cell>
          <cell r="F1081" t="str">
            <v>cây</v>
          </cell>
          <cell r="G1081">
            <v>1236000</v>
          </cell>
          <cell r="H1081">
            <v>0.4</v>
          </cell>
          <cell r="J1081">
            <v>74160</v>
          </cell>
        </row>
        <row r="1082">
          <cell r="C1082" t="str">
            <v>Cây trứng cá</v>
          </cell>
          <cell r="J1082" t="e">
            <v>#DIV/0!</v>
          </cell>
        </row>
        <row r="1083">
          <cell r="B1083" t="str">
            <v>trungca02</v>
          </cell>
          <cell r="C1083" t="str">
            <v>Cây trứng cá</v>
          </cell>
          <cell r="D1083" t="str">
            <v>đk gốc ≤ 2cm; H &gt; 50cm</v>
          </cell>
          <cell r="E1083">
            <v>6.666666666666667</v>
          </cell>
          <cell r="F1083" t="str">
            <v>cây</v>
          </cell>
          <cell r="G1083">
            <v>25000</v>
          </cell>
          <cell r="H1083">
            <v>0.5</v>
          </cell>
          <cell r="J1083">
            <v>1875</v>
          </cell>
        </row>
        <row r="1084">
          <cell r="B1084" t="str">
            <v>trungca24</v>
          </cell>
          <cell r="C1084" t="str">
            <v>Cây trứng cá</v>
          </cell>
          <cell r="D1084" t="str">
            <v>2cm &lt; đk gốc ≤ 4cm</v>
          </cell>
          <cell r="E1084">
            <v>6.666666666666667</v>
          </cell>
          <cell r="F1084" t="str">
            <v>cây</v>
          </cell>
          <cell r="G1084">
            <v>54000</v>
          </cell>
          <cell r="H1084">
            <v>0.5</v>
          </cell>
          <cell r="J1084">
            <v>4050</v>
          </cell>
        </row>
        <row r="1085">
          <cell r="B1085" t="str">
            <v>trungca48</v>
          </cell>
          <cell r="C1085" t="str">
            <v>Cây trứng cá</v>
          </cell>
          <cell r="D1085" t="str">
            <v>4cm &lt; đk gốc ≤ 8cm</v>
          </cell>
          <cell r="E1085">
            <v>6.666666666666667</v>
          </cell>
          <cell r="F1085" t="str">
            <v>cây</v>
          </cell>
          <cell r="G1085">
            <v>112000</v>
          </cell>
          <cell r="H1085">
            <v>0.5</v>
          </cell>
          <cell r="J1085">
            <v>8400</v>
          </cell>
        </row>
        <row r="1086">
          <cell r="B1086" t="str">
            <v>trungca815</v>
          </cell>
          <cell r="C1086" t="str">
            <v>Cây trứng cá</v>
          </cell>
          <cell r="D1086" t="str">
            <v>8cm &lt; đk gốc ≤ 15cm</v>
          </cell>
          <cell r="E1086">
            <v>6.666666666666667</v>
          </cell>
          <cell r="F1086" t="str">
            <v>cây</v>
          </cell>
          <cell r="G1086">
            <v>228000</v>
          </cell>
          <cell r="H1086">
            <v>0.8</v>
          </cell>
          <cell r="J1086">
            <v>27360</v>
          </cell>
        </row>
        <row r="1087">
          <cell r="B1087" t="str">
            <v>trungca1525</v>
          </cell>
          <cell r="C1087" t="str">
            <v>Cây trứng cá</v>
          </cell>
          <cell r="D1087" t="str">
            <v>15cm &lt; đk gốc ≤ 25cm</v>
          </cell>
          <cell r="E1087">
            <v>6.666666666666667</v>
          </cell>
          <cell r="F1087" t="str">
            <v>cây</v>
          </cell>
          <cell r="G1087">
            <v>378000</v>
          </cell>
          <cell r="H1087">
            <v>0.8</v>
          </cell>
          <cell r="J1087">
            <v>45360</v>
          </cell>
        </row>
        <row r="1088">
          <cell r="B1088" t="str">
            <v>trungca2540</v>
          </cell>
          <cell r="C1088" t="str">
            <v>Cây trứng cá</v>
          </cell>
          <cell r="D1088" t="str">
            <v>25cm &lt; đk gốc ≤ 40cm</v>
          </cell>
          <cell r="E1088">
            <v>6.666666666666667</v>
          </cell>
          <cell r="F1088" t="str">
            <v>cây</v>
          </cell>
          <cell r="G1088">
            <v>520000</v>
          </cell>
          <cell r="H1088">
            <v>0.8</v>
          </cell>
          <cell r="J1088">
            <v>62400</v>
          </cell>
        </row>
        <row r="1089">
          <cell r="B1089" t="str">
            <v>trungca4060</v>
          </cell>
          <cell r="C1089" t="str">
            <v>Cây trứng cá</v>
          </cell>
          <cell r="D1089" t="str">
            <v>40cm &lt; đk gốc ≤ 60cm</v>
          </cell>
          <cell r="E1089">
            <v>6.666666666666667</v>
          </cell>
          <cell r="F1089" t="str">
            <v>cây</v>
          </cell>
          <cell r="G1089">
            <v>710000</v>
          </cell>
          <cell r="H1089">
            <v>0.8</v>
          </cell>
          <cell r="J1089">
            <v>85200</v>
          </cell>
        </row>
        <row r="1090">
          <cell r="B1090" t="str">
            <v>trungca60+</v>
          </cell>
          <cell r="C1090" t="str">
            <v>Cây trứng cá</v>
          </cell>
          <cell r="D1090" t="str">
            <v>đk gốc từ trên 60cm</v>
          </cell>
          <cell r="E1090">
            <v>6.666666666666667</v>
          </cell>
          <cell r="F1090" t="str">
            <v>cây</v>
          </cell>
          <cell r="G1090">
            <v>1236000</v>
          </cell>
          <cell r="H1090">
            <v>0.8</v>
          </cell>
          <cell r="J1090">
            <v>148320</v>
          </cell>
        </row>
        <row r="1091">
          <cell r="B1091" t="str">
            <v>trungca02vmd</v>
          </cell>
          <cell r="C1091" t="str">
            <v>Cây trứng cá vượt mật độ</v>
          </cell>
          <cell r="D1091" t="str">
            <v>đk gốc ≤ 2cm; H &gt; 50cm</v>
          </cell>
          <cell r="E1091">
            <v>6.666666666666667</v>
          </cell>
          <cell r="F1091" t="str">
            <v>cây</v>
          </cell>
          <cell r="G1091">
            <v>25000</v>
          </cell>
          <cell r="H1091">
            <v>0.25</v>
          </cell>
          <cell r="J1091">
            <v>937.5</v>
          </cell>
        </row>
        <row r="1092">
          <cell r="B1092" t="str">
            <v>trungca24vmd</v>
          </cell>
          <cell r="C1092" t="str">
            <v>Cây trứng cá vượt mật độ</v>
          </cell>
          <cell r="D1092" t="str">
            <v>2cm &lt; đk gốc ≤ 4cm</v>
          </cell>
          <cell r="E1092">
            <v>6.666666666666667</v>
          </cell>
          <cell r="F1092" t="str">
            <v>cây</v>
          </cell>
          <cell r="G1092">
            <v>54000</v>
          </cell>
          <cell r="H1092">
            <v>0.25</v>
          </cell>
          <cell r="J1092">
            <v>2025</v>
          </cell>
        </row>
        <row r="1093">
          <cell r="B1093" t="str">
            <v>trungca48vmd</v>
          </cell>
          <cell r="C1093" t="str">
            <v>Cây trứng cá vượt mật độ</v>
          </cell>
          <cell r="D1093" t="str">
            <v>4cm &lt; đk gốc ≤ 8cm</v>
          </cell>
          <cell r="E1093">
            <v>6.666666666666667</v>
          </cell>
          <cell r="F1093" t="str">
            <v>cây</v>
          </cell>
          <cell r="G1093">
            <v>112000</v>
          </cell>
          <cell r="H1093">
            <v>0.25</v>
          </cell>
          <cell r="J1093">
            <v>4200</v>
          </cell>
        </row>
        <row r="1094">
          <cell r="B1094" t="str">
            <v>trungca815vmd</v>
          </cell>
          <cell r="C1094" t="str">
            <v>Cây trứng cá vượt mật độ</v>
          </cell>
          <cell r="D1094" t="str">
            <v>8cm &lt; đk gốc ≤ 15cm</v>
          </cell>
          <cell r="E1094">
            <v>6.666666666666667</v>
          </cell>
          <cell r="F1094" t="str">
            <v>cây</v>
          </cell>
          <cell r="G1094">
            <v>228000</v>
          </cell>
          <cell r="H1094">
            <v>0.4</v>
          </cell>
          <cell r="J1094">
            <v>13680</v>
          </cell>
        </row>
        <row r="1095">
          <cell r="B1095" t="str">
            <v>trungca1525vmd</v>
          </cell>
          <cell r="C1095" t="str">
            <v>Cây trứng cá vượt mật độ</v>
          </cell>
          <cell r="D1095" t="str">
            <v>15cm &lt; đk gốc ≤ 25cm</v>
          </cell>
          <cell r="E1095">
            <v>6.666666666666667</v>
          </cell>
          <cell r="F1095" t="str">
            <v>cây</v>
          </cell>
          <cell r="G1095">
            <v>378000</v>
          </cell>
          <cell r="H1095">
            <v>0.4</v>
          </cell>
          <cell r="J1095">
            <v>22680</v>
          </cell>
        </row>
        <row r="1096">
          <cell r="B1096" t="str">
            <v>trungca2540vmd</v>
          </cell>
          <cell r="C1096" t="str">
            <v>Cây trứng cá vượt mật độ</v>
          </cell>
          <cell r="D1096" t="str">
            <v>25cm &lt; đk gốc ≤ 40cm</v>
          </cell>
          <cell r="E1096">
            <v>6.666666666666667</v>
          </cell>
          <cell r="F1096" t="str">
            <v>cây</v>
          </cell>
          <cell r="G1096">
            <v>520000</v>
          </cell>
          <cell r="H1096">
            <v>0.4</v>
          </cell>
          <cell r="J1096">
            <v>31200</v>
          </cell>
        </row>
        <row r="1097">
          <cell r="B1097" t="str">
            <v>trungca4060vmd</v>
          </cell>
          <cell r="C1097" t="str">
            <v>Cây trứng cá vượt mật độ</v>
          </cell>
          <cell r="D1097" t="str">
            <v>40cm &lt; đk gốc ≤ 60cm</v>
          </cell>
          <cell r="E1097">
            <v>6.666666666666667</v>
          </cell>
          <cell r="F1097" t="str">
            <v>cây</v>
          </cell>
          <cell r="G1097">
            <v>710000</v>
          </cell>
          <cell r="H1097">
            <v>0.4</v>
          </cell>
          <cell r="J1097">
            <v>42600</v>
          </cell>
        </row>
        <row r="1098">
          <cell r="B1098" t="str">
            <v>trungca60+vmd</v>
          </cell>
          <cell r="C1098" t="str">
            <v>Cây trứng cá vượt mật độ</v>
          </cell>
          <cell r="D1098" t="str">
            <v>đk gốc từ trên 60cm</v>
          </cell>
          <cell r="E1098">
            <v>6.666666666666667</v>
          </cell>
          <cell r="F1098" t="str">
            <v>cây</v>
          </cell>
          <cell r="G1098">
            <v>1236000</v>
          </cell>
          <cell r="H1098">
            <v>0.4</v>
          </cell>
          <cell r="J1098">
            <v>74160</v>
          </cell>
        </row>
        <row r="1099">
          <cell r="C1099" t="str">
            <v>Cây dừa</v>
          </cell>
          <cell r="J1099" t="e">
            <v>#DIV/0!</v>
          </cell>
        </row>
        <row r="1100">
          <cell r="B1100" t="str">
            <v>dừa02</v>
          </cell>
          <cell r="C1100" t="str">
            <v>Cây dừa</v>
          </cell>
          <cell r="D1100" t="str">
            <v>đk gốc ≤ 2cm; H &gt; 50cm</v>
          </cell>
          <cell r="E1100">
            <v>6.666666666666667</v>
          </cell>
          <cell r="F1100" t="str">
            <v>cây</v>
          </cell>
          <cell r="G1100">
            <v>25000</v>
          </cell>
          <cell r="H1100">
            <v>0.5</v>
          </cell>
          <cell r="J1100">
            <v>1875</v>
          </cell>
        </row>
        <row r="1101">
          <cell r="B1101" t="str">
            <v>dừa24</v>
          </cell>
          <cell r="C1101" t="str">
            <v>Cây dừa</v>
          </cell>
          <cell r="D1101" t="str">
            <v>2cm &lt; đk gốc ≤ 4cm</v>
          </cell>
          <cell r="E1101">
            <v>6.666666666666667</v>
          </cell>
          <cell r="F1101" t="str">
            <v>cây</v>
          </cell>
          <cell r="G1101">
            <v>54000</v>
          </cell>
          <cell r="H1101">
            <v>0.5</v>
          </cell>
          <cell r="J1101">
            <v>4050</v>
          </cell>
        </row>
        <row r="1102">
          <cell r="B1102" t="str">
            <v>dừa48</v>
          </cell>
          <cell r="C1102" t="str">
            <v>Cây dừa</v>
          </cell>
          <cell r="D1102" t="str">
            <v>4cm &lt; đk gốc ≤ 8cm</v>
          </cell>
          <cell r="E1102">
            <v>6.666666666666667</v>
          </cell>
          <cell r="F1102" t="str">
            <v>cây</v>
          </cell>
          <cell r="G1102">
            <v>112000</v>
          </cell>
          <cell r="H1102">
            <v>0.5</v>
          </cell>
          <cell r="J1102">
            <v>8400</v>
          </cell>
        </row>
        <row r="1103">
          <cell r="B1103" t="str">
            <v>dừa815</v>
          </cell>
          <cell r="C1103" t="str">
            <v>Cây dừa</v>
          </cell>
          <cell r="D1103" t="str">
            <v>8cm &lt; đk gốc ≤ 15cm</v>
          </cell>
          <cell r="E1103">
            <v>6.666666666666667</v>
          </cell>
          <cell r="F1103" t="str">
            <v>cây</v>
          </cell>
          <cell r="G1103">
            <v>228000</v>
          </cell>
          <cell r="H1103">
            <v>0.8</v>
          </cell>
          <cell r="J1103">
            <v>27360</v>
          </cell>
        </row>
        <row r="1104">
          <cell r="B1104" t="str">
            <v>dừa1525</v>
          </cell>
          <cell r="C1104" t="str">
            <v>Cây dừa</v>
          </cell>
          <cell r="D1104" t="str">
            <v>15cm &lt; đk gốc ≤ 25cm</v>
          </cell>
          <cell r="E1104">
            <v>6.666666666666667</v>
          </cell>
          <cell r="F1104" t="str">
            <v>cây</v>
          </cell>
          <cell r="G1104">
            <v>378000</v>
          </cell>
          <cell r="H1104">
            <v>0.8</v>
          </cell>
          <cell r="J1104">
            <v>45360</v>
          </cell>
        </row>
        <row r="1105">
          <cell r="B1105" t="str">
            <v>dừa2540</v>
          </cell>
          <cell r="C1105" t="str">
            <v>Cây dừa</v>
          </cell>
          <cell r="D1105" t="str">
            <v>25cm &lt; đk gốc ≤ 40cm</v>
          </cell>
          <cell r="E1105">
            <v>6.666666666666667</v>
          </cell>
          <cell r="F1105" t="str">
            <v>cây</v>
          </cell>
          <cell r="G1105">
            <v>520000</v>
          </cell>
          <cell r="H1105">
            <v>0.8</v>
          </cell>
          <cell r="J1105">
            <v>62400</v>
          </cell>
        </row>
        <row r="1106">
          <cell r="B1106" t="str">
            <v>dừa4060</v>
          </cell>
          <cell r="C1106" t="str">
            <v>Cây dừa</v>
          </cell>
          <cell r="D1106" t="str">
            <v>40cm &lt; đk gốc ≤ 60cm</v>
          </cell>
          <cell r="E1106">
            <v>6.666666666666667</v>
          </cell>
          <cell r="F1106" t="str">
            <v>cây</v>
          </cell>
          <cell r="G1106">
            <v>710000</v>
          </cell>
          <cell r="H1106">
            <v>0.8</v>
          </cell>
          <cell r="J1106">
            <v>85200</v>
          </cell>
        </row>
        <row r="1107">
          <cell r="B1107" t="str">
            <v>dừa60+</v>
          </cell>
          <cell r="C1107" t="str">
            <v>Cây dừa</v>
          </cell>
          <cell r="D1107" t="str">
            <v>đk gốc từ trên 60cm</v>
          </cell>
          <cell r="E1107">
            <v>6.666666666666667</v>
          </cell>
          <cell r="F1107" t="str">
            <v>cây</v>
          </cell>
          <cell r="G1107">
            <v>1236000</v>
          </cell>
          <cell r="H1107">
            <v>0.8</v>
          </cell>
          <cell r="J1107">
            <v>148320</v>
          </cell>
        </row>
        <row r="1108">
          <cell r="B1108" t="str">
            <v>dừa02vmd</v>
          </cell>
          <cell r="C1108" t="str">
            <v>Cây dừa vượt mật độ</v>
          </cell>
          <cell r="D1108" t="str">
            <v>đk gốc ≤ 2cm; H &gt; 50cm</v>
          </cell>
          <cell r="E1108">
            <v>6.666666666666667</v>
          </cell>
          <cell r="F1108" t="str">
            <v>cây</v>
          </cell>
          <cell r="G1108">
            <v>25000</v>
          </cell>
          <cell r="H1108">
            <v>0.25</v>
          </cell>
          <cell r="J1108">
            <v>937.5</v>
          </cell>
        </row>
        <row r="1109">
          <cell r="B1109" t="str">
            <v>dừa24vmd</v>
          </cell>
          <cell r="C1109" t="str">
            <v>Cây dừa vượt mật độ</v>
          </cell>
          <cell r="D1109" t="str">
            <v>2cm &lt; đk gốc ≤ 4cm</v>
          </cell>
          <cell r="E1109">
            <v>6.666666666666667</v>
          </cell>
          <cell r="F1109" t="str">
            <v>cây</v>
          </cell>
          <cell r="G1109">
            <v>54000</v>
          </cell>
          <cell r="H1109">
            <v>0.25</v>
          </cell>
          <cell r="J1109">
            <v>2025</v>
          </cell>
        </row>
        <row r="1110">
          <cell r="B1110" t="str">
            <v>dừa48vmd</v>
          </cell>
          <cell r="C1110" t="str">
            <v>Cây dừa vượt mật độ</v>
          </cell>
          <cell r="D1110" t="str">
            <v>4cm &lt; đk gốc ≤ 8cm</v>
          </cell>
          <cell r="E1110">
            <v>6.666666666666667</v>
          </cell>
          <cell r="F1110" t="str">
            <v>cây</v>
          </cell>
          <cell r="G1110">
            <v>112000</v>
          </cell>
          <cell r="H1110">
            <v>0.25</v>
          </cell>
          <cell r="J1110">
            <v>4200</v>
          </cell>
        </row>
        <row r="1111">
          <cell r="B1111" t="str">
            <v>dừa815vmd</v>
          </cell>
          <cell r="C1111" t="str">
            <v>Cây dừa vượt mật độ</v>
          </cell>
          <cell r="D1111" t="str">
            <v>8cm &lt; đk gốc ≤ 15cm</v>
          </cell>
          <cell r="E1111">
            <v>6.666666666666667</v>
          </cell>
          <cell r="F1111" t="str">
            <v>cây</v>
          </cell>
          <cell r="G1111">
            <v>228000</v>
          </cell>
          <cell r="H1111">
            <v>0.4</v>
          </cell>
          <cell r="J1111">
            <v>13680</v>
          </cell>
        </row>
        <row r="1112">
          <cell r="B1112" t="str">
            <v>dừa1525vmd</v>
          </cell>
          <cell r="C1112" t="str">
            <v>Cây dừa vượt mật độ</v>
          </cell>
          <cell r="D1112" t="str">
            <v>15cm &lt; đk gốc ≤ 25cm</v>
          </cell>
          <cell r="E1112">
            <v>6.666666666666667</v>
          </cell>
          <cell r="F1112" t="str">
            <v>cây</v>
          </cell>
          <cell r="G1112">
            <v>378000</v>
          </cell>
          <cell r="H1112">
            <v>0.4</v>
          </cell>
          <cell r="J1112">
            <v>22680</v>
          </cell>
        </row>
        <row r="1113">
          <cell r="B1113" t="str">
            <v>dừa2540vmd</v>
          </cell>
          <cell r="C1113" t="str">
            <v>Cây dừa vượt mật độ</v>
          </cell>
          <cell r="D1113" t="str">
            <v>25cm &lt; đk gốc ≤ 40cm</v>
          </cell>
          <cell r="E1113">
            <v>6.666666666666667</v>
          </cell>
          <cell r="F1113" t="str">
            <v>cây</v>
          </cell>
          <cell r="G1113">
            <v>520000</v>
          </cell>
          <cell r="H1113">
            <v>0.4</v>
          </cell>
          <cell r="J1113">
            <v>31200</v>
          </cell>
        </row>
        <row r="1114">
          <cell r="B1114" t="str">
            <v>dừa4060vmd</v>
          </cell>
          <cell r="C1114" t="str">
            <v>Cây dừa vượt mật độ</v>
          </cell>
          <cell r="D1114" t="str">
            <v>40cm &lt; đk gốc ≤ 60cm</v>
          </cell>
          <cell r="E1114">
            <v>6.666666666666667</v>
          </cell>
          <cell r="F1114" t="str">
            <v>cây</v>
          </cell>
          <cell r="G1114">
            <v>710000</v>
          </cell>
          <cell r="H1114">
            <v>0.4</v>
          </cell>
          <cell r="J1114">
            <v>42600</v>
          </cell>
        </row>
        <row r="1115">
          <cell r="B1115" t="str">
            <v>dừa60+vmd</v>
          </cell>
          <cell r="C1115" t="str">
            <v>Cây dừa vượt mật độ</v>
          </cell>
          <cell r="D1115" t="str">
            <v>đk gốc từ trên 60cm</v>
          </cell>
          <cell r="E1115">
            <v>6.666666666666667</v>
          </cell>
          <cell r="F1115" t="str">
            <v>cây</v>
          </cell>
          <cell r="G1115">
            <v>1236000</v>
          </cell>
          <cell r="H1115">
            <v>0.4</v>
          </cell>
          <cell r="J1115">
            <v>74160</v>
          </cell>
        </row>
        <row r="1116">
          <cell r="C1116" t="str">
            <v>Cây Sanh</v>
          </cell>
          <cell r="J1116" t="e">
            <v>#DIV/0!</v>
          </cell>
        </row>
        <row r="1117">
          <cell r="B1117" t="str">
            <v>Sanh01</v>
          </cell>
          <cell r="C1117" t="str">
            <v>Cây sanh</v>
          </cell>
          <cell r="D1117" t="str">
            <v>đk gốc &gt; 0,5cm; H &gt; 40cm</v>
          </cell>
          <cell r="E1117">
            <v>6.666666666666667</v>
          </cell>
          <cell r="F1117" t="str">
            <v>cây</v>
          </cell>
          <cell r="G1117">
            <v>50000</v>
          </cell>
          <cell r="H1117">
            <v>0.5</v>
          </cell>
          <cell r="J1117">
            <v>3750</v>
          </cell>
        </row>
        <row r="1118">
          <cell r="B1118" t="str">
            <v>Sanh13</v>
          </cell>
          <cell r="C1118" t="str">
            <v>Cây sanh</v>
          </cell>
          <cell r="D1118" t="str">
            <v>1cm ≤ đk gốc ≤ 3cm</v>
          </cell>
          <cell r="E1118">
            <v>6.666666666666667</v>
          </cell>
          <cell r="F1118" t="str">
            <v>cây</v>
          </cell>
          <cell r="G1118">
            <v>80000</v>
          </cell>
          <cell r="H1118">
            <v>0.5</v>
          </cell>
          <cell r="J1118">
            <v>6000</v>
          </cell>
        </row>
        <row r="1119">
          <cell r="B1119" t="str">
            <v>Sanh35</v>
          </cell>
          <cell r="C1119" t="str">
            <v>Cây sanh</v>
          </cell>
          <cell r="D1119" t="str">
            <v>3cm &lt; đk gốc ≤ 5cm</v>
          </cell>
          <cell r="E1119">
            <v>6.666666666666667</v>
          </cell>
          <cell r="F1119" t="str">
            <v>cây</v>
          </cell>
          <cell r="G1119">
            <v>150000</v>
          </cell>
          <cell r="H1119">
            <v>0.5</v>
          </cell>
          <cell r="J1119">
            <v>11250</v>
          </cell>
        </row>
        <row r="1120">
          <cell r="B1120" t="str">
            <v>Sanh510</v>
          </cell>
          <cell r="C1120" t="str">
            <v>Cây sanh</v>
          </cell>
          <cell r="D1120" t="str">
            <v>5cm &lt; đk gốc ≤ 10cm</v>
          </cell>
          <cell r="E1120">
            <v>6.666666666666667</v>
          </cell>
          <cell r="F1120" t="str">
            <v>cây</v>
          </cell>
          <cell r="G1120">
            <v>250000</v>
          </cell>
          <cell r="H1120">
            <v>0.5</v>
          </cell>
          <cell r="J1120">
            <v>18750</v>
          </cell>
        </row>
        <row r="1121">
          <cell r="B1121" t="str">
            <v>Sanh1015</v>
          </cell>
          <cell r="C1121" t="str">
            <v>Cây sanh</v>
          </cell>
          <cell r="D1121" t="str">
            <v>10cm &lt; đk gốc ≤ 15cm</v>
          </cell>
          <cell r="E1121">
            <v>6.666666666666667</v>
          </cell>
          <cell r="F1121" t="str">
            <v>cây</v>
          </cell>
          <cell r="G1121">
            <v>350000</v>
          </cell>
          <cell r="H1121">
            <v>0.8</v>
          </cell>
          <cell r="J1121">
            <v>42000</v>
          </cell>
        </row>
        <row r="1122">
          <cell r="B1122" t="str">
            <v>Sanh1520</v>
          </cell>
          <cell r="C1122" t="str">
            <v>Cây sanh</v>
          </cell>
          <cell r="D1122" t="str">
            <v>15cm &lt; đk gốc ≤ 20cm</v>
          </cell>
          <cell r="E1122">
            <v>6.666666666666667</v>
          </cell>
          <cell r="F1122" t="str">
            <v>cây</v>
          </cell>
          <cell r="G1122">
            <v>450000</v>
          </cell>
          <cell r="H1122">
            <v>0.8</v>
          </cell>
          <cell r="J1122">
            <v>54000</v>
          </cell>
        </row>
        <row r="1123">
          <cell r="B1123" t="str">
            <v>Sanh2030</v>
          </cell>
          <cell r="C1123" t="str">
            <v>Cây sanh</v>
          </cell>
          <cell r="D1123" t="str">
            <v>20cm &lt; đk gốc ≤ 30cm</v>
          </cell>
          <cell r="E1123">
            <v>6.666666666666667</v>
          </cell>
          <cell r="F1123" t="str">
            <v>cây</v>
          </cell>
          <cell r="G1123">
            <v>550000</v>
          </cell>
          <cell r="H1123">
            <v>0.8</v>
          </cell>
          <cell r="J1123">
            <v>66000</v>
          </cell>
        </row>
        <row r="1124">
          <cell r="B1124" t="str">
            <v>Sanh30+</v>
          </cell>
          <cell r="C1124" t="str">
            <v>Cây sanh</v>
          </cell>
          <cell r="D1124" t="str">
            <v>đk gốc trên 30cm</v>
          </cell>
          <cell r="E1124">
            <v>6.666666666666667</v>
          </cell>
          <cell r="F1124" t="str">
            <v>cây</v>
          </cell>
          <cell r="G1124">
            <v>650000</v>
          </cell>
          <cell r="H1124">
            <v>0.8</v>
          </cell>
          <cell r="J1124">
            <v>78000</v>
          </cell>
        </row>
        <row r="1125">
          <cell r="B1125" t="str">
            <v>Sanh01vmd</v>
          </cell>
          <cell r="C1125" t="str">
            <v>Cây sanh vượt mật độ</v>
          </cell>
          <cell r="D1125" t="str">
            <v>đk gốc &gt; 0,5cm; H &gt; 40cm</v>
          </cell>
          <cell r="E1125">
            <v>6.666666666666667</v>
          </cell>
          <cell r="F1125" t="str">
            <v>cây</v>
          </cell>
          <cell r="G1125">
            <v>50000</v>
          </cell>
          <cell r="H1125">
            <v>0.25</v>
          </cell>
          <cell r="J1125">
            <v>1875</v>
          </cell>
        </row>
        <row r="1126">
          <cell r="B1126" t="str">
            <v>Sanh13vmd</v>
          </cell>
          <cell r="C1126" t="str">
            <v>Cây sanh vượt mật độ</v>
          </cell>
          <cell r="D1126" t="str">
            <v>1cm ≤ đk gốc ≤ 3cm</v>
          </cell>
          <cell r="E1126">
            <v>6.666666666666667</v>
          </cell>
          <cell r="F1126" t="str">
            <v>cây</v>
          </cell>
          <cell r="G1126">
            <v>80000</v>
          </cell>
          <cell r="H1126">
            <v>0.25</v>
          </cell>
          <cell r="J1126">
            <v>3000</v>
          </cell>
        </row>
        <row r="1127">
          <cell r="B1127" t="str">
            <v>Sanh35vmd</v>
          </cell>
          <cell r="C1127" t="str">
            <v>Cây sanh vượt mật độ</v>
          </cell>
          <cell r="D1127" t="str">
            <v>3cm &lt; đk gốc ≤ 5cm</v>
          </cell>
          <cell r="E1127">
            <v>6.666666666666667</v>
          </cell>
          <cell r="F1127" t="str">
            <v>cây</v>
          </cell>
          <cell r="G1127">
            <v>150000</v>
          </cell>
          <cell r="H1127">
            <v>0.25</v>
          </cell>
          <cell r="J1127">
            <v>5625</v>
          </cell>
        </row>
        <row r="1128">
          <cell r="B1128" t="str">
            <v>Sanh510vmd</v>
          </cell>
          <cell r="C1128" t="str">
            <v>Cây sanh vượt mật độ</v>
          </cell>
          <cell r="D1128" t="str">
            <v>5cm &lt; đk gốc ≤ 10cm</v>
          </cell>
          <cell r="E1128">
            <v>6.666666666666667</v>
          </cell>
          <cell r="F1128" t="str">
            <v>cây</v>
          </cell>
          <cell r="G1128">
            <v>250000</v>
          </cell>
          <cell r="H1128">
            <v>0.25</v>
          </cell>
          <cell r="J1128">
            <v>9375</v>
          </cell>
        </row>
        <row r="1129">
          <cell r="B1129" t="str">
            <v>Sanh1015vmd</v>
          </cell>
          <cell r="C1129" t="str">
            <v>Cây sanh vượt mật độ</v>
          </cell>
          <cell r="D1129" t="str">
            <v>10cm &lt; đk gốc ≤ 15cm</v>
          </cell>
          <cell r="E1129">
            <v>6.666666666666667</v>
          </cell>
          <cell r="F1129" t="str">
            <v>cây</v>
          </cell>
          <cell r="G1129">
            <v>350000</v>
          </cell>
          <cell r="H1129">
            <v>0.4</v>
          </cell>
          <cell r="J1129">
            <v>21000</v>
          </cell>
        </row>
        <row r="1130">
          <cell r="B1130" t="str">
            <v>Sanh1520vmd</v>
          </cell>
          <cell r="C1130" t="str">
            <v>Cây sanh vượt mật độ</v>
          </cell>
          <cell r="D1130" t="str">
            <v>15cm &lt; đk gốc ≤ 20cm</v>
          </cell>
          <cell r="E1130">
            <v>6.666666666666667</v>
          </cell>
          <cell r="F1130" t="str">
            <v>cây</v>
          </cell>
          <cell r="G1130">
            <v>450000</v>
          </cell>
          <cell r="H1130">
            <v>0.4</v>
          </cell>
          <cell r="J1130">
            <v>27000</v>
          </cell>
        </row>
        <row r="1131">
          <cell r="B1131" t="str">
            <v>Sanh2030vmd</v>
          </cell>
          <cell r="C1131" t="str">
            <v>Cây sanh vượt mật độ</v>
          </cell>
          <cell r="D1131" t="str">
            <v>20cm &lt; đk gốc ≤ 30cm</v>
          </cell>
          <cell r="E1131">
            <v>6.666666666666667</v>
          </cell>
          <cell r="F1131" t="str">
            <v>cây</v>
          </cell>
          <cell r="G1131">
            <v>550000</v>
          </cell>
          <cell r="H1131">
            <v>0.4</v>
          </cell>
          <cell r="J1131">
            <v>33000</v>
          </cell>
        </row>
        <row r="1132">
          <cell r="B1132" t="str">
            <v>Sanh30+vmd</v>
          </cell>
          <cell r="C1132" t="str">
            <v>Cây sanh vượt mật độ</v>
          </cell>
          <cell r="D1132" t="str">
            <v>đk gốc trên 30cm</v>
          </cell>
          <cell r="E1132">
            <v>6.666666666666667</v>
          </cell>
          <cell r="F1132" t="str">
            <v>cây</v>
          </cell>
          <cell r="G1132">
            <v>650000</v>
          </cell>
          <cell r="H1132">
            <v>0.4</v>
          </cell>
          <cell r="J1132">
            <v>39000</v>
          </cell>
        </row>
        <row r="1133">
          <cell r="C1133" t="str">
            <v>Cây si</v>
          </cell>
          <cell r="J1133" t="e">
            <v>#DIV/0!</v>
          </cell>
        </row>
        <row r="1134">
          <cell r="B1134" t="str">
            <v>si01</v>
          </cell>
          <cell r="C1134" t="str">
            <v>Cây si</v>
          </cell>
          <cell r="D1134" t="str">
            <v>đk gốc &gt; 0,5cm; H &gt; 40cm</v>
          </cell>
          <cell r="E1134">
            <v>6.666666666666667</v>
          </cell>
          <cell r="F1134" t="str">
            <v>cây</v>
          </cell>
          <cell r="G1134">
            <v>50000</v>
          </cell>
          <cell r="H1134">
            <v>0.5</v>
          </cell>
          <cell r="J1134">
            <v>3750</v>
          </cell>
        </row>
        <row r="1135">
          <cell r="B1135" t="str">
            <v>si13</v>
          </cell>
          <cell r="C1135" t="str">
            <v>Cây si</v>
          </cell>
          <cell r="D1135" t="str">
            <v>1cm ≤ đk gốc ≤ 3cm</v>
          </cell>
          <cell r="E1135">
            <v>6.666666666666667</v>
          </cell>
          <cell r="F1135" t="str">
            <v>cây</v>
          </cell>
          <cell r="G1135">
            <v>80000</v>
          </cell>
          <cell r="H1135">
            <v>0.5</v>
          </cell>
          <cell r="J1135">
            <v>6000</v>
          </cell>
        </row>
        <row r="1136">
          <cell r="B1136" t="str">
            <v>si35</v>
          </cell>
          <cell r="C1136" t="str">
            <v>Cây si</v>
          </cell>
          <cell r="D1136" t="str">
            <v>3cm &lt; đk gốc ≤ 5cm</v>
          </cell>
          <cell r="E1136">
            <v>6.666666666666667</v>
          </cell>
          <cell r="F1136" t="str">
            <v>cây</v>
          </cell>
          <cell r="G1136">
            <v>150000</v>
          </cell>
          <cell r="H1136">
            <v>0.5</v>
          </cell>
          <cell r="J1136">
            <v>11250</v>
          </cell>
        </row>
        <row r="1137">
          <cell r="B1137" t="str">
            <v>si510</v>
          </cell>
          <cell r="C1137" t="str">
            <v>Cây si</v>
          </cell>
          <cell r="D1137" t="str">
            <v>5cm &lt; đk gốc ≤ 10cm</v>
          </cell>
          <cell r="E1137">
            <v>6.666666666666667</v>
          </cell>
          <cell r="F1137" t="str">
            <v>cây</v>
          </cell>
          <cell r="G1137">
            <v>250000</v>
          </cell>
          <cell r="H1137">
            <v>0.5</v>
          </cell>
          <cell r="J1137">
            <v>18750</v>
          </cell>
        </row>
        <row r="1138">
          <cell r="B1138" t="str">
            <v>si1015</v>
          </cell>
          <cell r="C1138" t="str">
            <v>Cây si</v>
          </cell>
          <cell r="D1138" t="str">
            <v>10cm &lt; đk gốc ≤ 15cm</v>
          </cell>
          <cell r="E1138">
            <v>6.666666666666667</v>
          </cell>
          <cell r="F1138" t="str">
            <v>cây</v>
          </cell>
          <cell r="G1138">
            <v>350000</v>
          </cell>
          <cell r="H1138">
            <v>0.8</v>
          </cell>
          <cell r="J1138">
            <v>42000</v>
          </cell>
        </row>
        <row r="1139">
          <cell r="B1139" t="str">
            <v>si1520</v>
          </cell>
          <cell r="C1139" t="str">
            <v>Cây si</v>
          </cell>
          <cell r="D1139" t="str">
            <v>15cm &lt; đk gốc ≤ 20cm</v>
          </cell>
          <cell r="E1139">
            <v>6.666666666666667</v>
          </cell>
          <cell r="F1139" t="str">
            <v>cây</v>
          </cell>
          <cell r="G1139">
            <v>450000</v>
          </cell>
          <cell r="H1139">
            <v>0.8</v>
          </cell>
          <cell r="J1139">
            <v>54000</v>
          </cell>
        </row>
        <row r="1140">
          <cell r="B1140" t="str">
            <v>si2030</v>
          </cell>
          <cell r="C1140" t="str">
            <v>Cây si</v>
          </cell>
          <cell r="D1140" t="str">
            <v>20cm &lt; đk gốc ≤ 30cm</v>
          </cell>
          <cell r="E1140">
            <v>6.666666666666667</v>
          </cell>
          <cell r="F1140" t="str">
            <v>cây</v>
          </cell>
          <cell r="G1140">
            <v>550000</v>
          </cell>
          <cell r="H1140">
            <v>0.8</v>
          </cell>
          <cell r="J1140">
            <v>66000</v>
          </cell>
        </row>
        <row r="1141">
          <cell r="B1141" t="str">
            <v>si30+</v>
          </cell>
          <cell r="C1141" t="str">
            <v>Cây si</v>
          </cell>
          <cell r="D1141" t="str">
            <v>đk gốc trên 30cm</v>
          </cell>
          <cell r="E1141">
            <v>6.666666666666667</v>
          </cell>
          <cell r="F1141" t="str">
            <v>cây</v>
          </cell>
          <cell r="G1141">
            <v>650000</v>
          </cell>
          <cell r="H1141">
            <v>0.8</v>
          </cell>
          <cell r="J1141">
            <v>78000</v>
          </cell>
        </row>
        <row r="1142">
          <cell r="B1142" t="str">
            <v>si01vmd</v>
          </cell>
          <cell r="C1142" t="str">
            <v>Cây si vượt mật độ</v>
          </cell>
          <cell r="D1142" t="str">
            <v>đk gốc &gt; 0,5cm; H &gt; 40cm</v>
          </cell>
          <cell r="E1142">
            <v>6.666666666666667</v>
          </cell>
          <cell r="F1142" t="str">
            <v>cây</v>
          </cell>
          <cell r="G1142">
            <v>50000</v>
          </cell>
          <cell r="H1142">
            <v>0.25</v>
          </cell>
          <cell r="J1142">
            <v>1875</v>
          </cell>
        </row>
        <row r="1143">
          <cell r="B1143" t="str">
            <v>si13vmd</v>
          </cell>
          <cell r="C1143" t="str">
            <v>Cây si vượt mật độ</v>
          </cell>
          <cell r="D1143" t="str">
            <v>1cm ≤ đk gốc ≤ 3cm</v>
          </cell>
          <cell r="E1143">
            <v>6.666666666666667</v>
          </cell>
          <cell r="F1143" t="str">
            <v>cây</v>
          </cell>
          <cell r="G1143">
            <v>80000</v>
          </cell>
          <cell r="H1143">
            <v>0.25</v>
          </cell>
          <cell r="J1143">
            <v>3000</v>
          </cell>
        </row>
        <row r="1144">
          <cell r="B1144" t="str">
            <v>si35vmd</v>
          </cell>
          <cell r="C1144" t="str">
            <v>Cây si vượt mật độ</v>
          </cell>
          <cell r="D1144" t="str">
            <v>3cm &lt; đk gốc ≤ 5cm</v>
          </cell>
          <cell r="E1144">
            <v>6.666666666666667</v>
          </cell>
          <cell r="F1144" t="str">
            <v>cây</v>
          </cell>
          <cell r="G1144">
            <v>150000</v>
          </cell>
          <cell r="H1144">
            <v>0.25</v>
          </cell>
          <cell r="J1144">
            <v>5625</v>
          </cell>
        </row>
        <row r="1145">
          <cell r="B1145" t="str">
            <v>si510vmd</v>
          </cell>
          <cell r="C1145" t="str">
            <v>Cây si vượt mật độ</v>
          </cell>
          <cell r="D1145" t="str">
            <v>5cm &lt; đk gốc ≤ 10cm</v>
          </cell>
          <cell r="E1145">
            <v>6.666666666666667</v>
          </cell>
          <cell r="F1145" t="str">
            <v>cây</v>
          </cell>
          <cell r="G1145">
            <v>250000</v>
          </cell>
          <cell r="H1145">
            <v>0.25</v>
          </cell>
          <cell r="J1145">
            <v>9375</v>
          </cell>
        </row>
        <row r="1146">
          <cell r="B1146" t="str">
            <v>si1015vmd</v>
          </cell>
          <cell r="C1146" t="str">
            <v>Cây si vượt mật độ</v>
          </cell>
          <cell r="D1146" t="str">
            <v>10cm &lt; đk gốc ≤ 15cm</v>
          </cell>
          <cell r="E1146">
            <v>6.666666666666667</v>
          </cell>
          <cell r="F1146" t="str">
            <v>cây</v>
          </cell>
          <cell r="G1146">
            <v>350000</v>
          </cell>
          <cell r="H1146">
            <v>0.4</v>
          </cell>
          <cell r="J1146">
            <v>21000</v>
          </cell>
        </row>
        <row r="1147">
          <cell r="B1147" t="str">
            <v>si1520vmd</v>
          </cell>
          <cell r="C1147" t="str">
            <v>Cây si vượt mật độ</v>
          </cell>
          <cell r="D1147" t="str">
            <v>15cm &lt; đk gốc ≤ 20cm</v>
          </cell>
          <cell r="E1147">
            <v>6.666666666666667</v>
          </cell>
          <cell r="F1147" t="str">
            <v>cây</v>
          </cell>
          <cell r="G1147">
            <v>450000</v>
          </cell>
          <cell r="H1147">
            <v>0.4</v>
          </cell>
          <cell r="J1147">
            <v>27000</v>
          </cell>
        </row>
        <row r="1148">
          <cell r="B1148" t="str">
            <v>si2030vmd</v>
          </cell>
          <cell r="C1148" t="str">
            <v>Cây si vượt mật độ</v>
          </cell>
          <cell r="D1148" t="str">
            <v>20cm &lt; đk gốc ≤ 30cm</v>
          </cell>
          <cell r="E1148">
            <v>6.666666666666667</v>
          </cell>
          <cell r="F1148" t="str">
            <v>cây</v>
          </cell>
          <cell r="G1148">
            <v>550000</v>
          </cell>
          <cell r="H1148">
            <v>0.4</v>
          </cell>
          <cell r="J1148">
            <v>33000</v>
          </cell>
        </row>
        <row r="1149">
          <cell r="B1149" t="str">
            <v>si30+vmd</v>
          </cell>
          <cell r="C1149" t="str">
            <v>Cây si vượt mật độ</v>
          </cell>
          <cell r="D1149" t="str">
            <v>đk gốc trên 30cm</v>
          </cell>
          <cell r="E1149">
            <v>6.666666666666667</v>
          </cell>
          <cell r="F1149" t="str">
            <v>cây</v>
          </cell>
          <cell r="G1149">
            <v>650000</v>
          </cell>
          <cell r="H1149">
            <v>0.4</v>
          </cell>
          <cell r="J1149">
            <v>39000</v>
          </cell>
        </row>
        <row r="1150">
          <cell r="C1150" t="str">
            <v>Cây giống</v>
          </cell>
          <cell r="J1150" t="e">
            <v>#DIV/0!</v>
          </cell>
        </row>
        <row r="1151">
          <cell r="B1151" t="str">
            <v>nhãn giống</v>
          </cell>
          <cell r="C1151" t="str">
            <v>Cây nhãn giống</v>
          </cell>
          <cell r="D1151" t="str">
            <v>toàn diện tích</v>
          </cell>
          <cell r="F1151" t="str">
            <v>m2</v>
          </cell>
          <cell r="G1151">
            <v>180000</v>
          </cell>
          <cell r="H1151">
            <v>0.5</v>
          </cell>
          <cell r="J1151" t="e">
            <v>#DIV/0!</v>
          </cell>
        </row>
        <row r="1152">
          <cell r="B1152" t="str">
            <v>vải giống</v>
          </cell>
          <cell r="C1152" t="str">
            <v>Cây vải giống</v>
          </cell>
          <cell r="D1152" t="str">
            <v>toàn diện tích</v>
          </cell>
          <cell r="F1152" t="str">
            <v>m2</v>
          </cell>
          <cell r="G1152">
            <v>180000</v>
          </cell>
          <cell r="H1152">
            <v>0.5</v>
          </cell>
          <cell r="J1152" t="e">
            <v>#DIV/0!</v>
          </cell>
        </row>
        <row r="1153">
          <cell r="B1153" t="str">
            <v>mít giống</v>
          </cell>
          <cell r="C1153" t="str">
            <v>Cây mít giống</v>
          </cell>
          <cell r="D1153" t="str">
            <v>toàn diện tích</v>
          </cell>
          <cell r="F1153" t="str">
            <v>m2</v>
          </cell>
          <cell r="G1153">
            <v>180000</v>
          </cell>
          <cell r="H1153">
            <v>0.5</v>
          </cell>
          <cell r="J1153" t="e">
            <v>#DIV/0!</v>
          </cell>
        </row>
        <row r="1154">
          <cell r="B1154" t="str">
            <v>đu đủ giống</v>
          </cell>
          <cell r="C1154" t="str">
            <v>Cây đu đủ giống</v>
          </cell>
          <cell r="D1154" t="str">
            <v>toàn diện tích</v>
          </cell>
          <cell r="F1154" t="str">
            <v>m2</v>
          </cell>
          <cell r="G1154">
            <v>50000</v>
          </cell>
          <cell r="H1154">
            <v>0.5</v>
          </cell>
          <cell r="J1154" t="e">
            <v>#DIV/0!</v>
          </cell>
        </row>
        <row r="1155">
          <cell r="B1155" t="str">
            <v>cây ăn quả giống</v>
          </cell>
          <cell r="C1155" t="str">
            <v>Cây ăn quả giống</v>
          </cell>
          <cell r="D1155" t="str">
            <v>toàn diện tích</v>
          </cell>
          <cell r="F1155" t="str">
            <v>m2</v>
          </cell>
          <cell r="G1155">
            <v>150000</v>
          </cell>
          <cell r="H1155">
            <v>0.5</v>
          </cell>
          <cell r="J1155" t="e">
            <v>#DIV/0!</v>
          </cell>
        </row>
        <row r="1156">
          <cell r="B1156" t="str">
            <v>cây cảnh giống</v>
          </cell>
          <cell r="C1156" t="str">
            <v>Cây cảnh giống</v>
          </cell>
          <cell r="D1156" t="str">
            <v>toàn diện tích</v>
          </cell>
          <cell r="F1156" t="str">
            <v>m2</v>
          </cell>
          <cell r="G1156">
            <v>80000</v>
          </cell>
          <cell r="H1156">
            <v>0.5</v>
          </cell>
          <cell r="J1156" t="e">
            <v>#DIV/0!</v>
          </cell>
        </row>
        <row r="1157">
          <cell r="C1157" t="str">
            <v>Vật nuôi</v>
          </cell>
          <cell r="J1157" t="e">
            <v>#DIV/0!</v>
          </cell>
        </row>
        <row r="1158">
          <cell r="B1158" t="str">
            <v>aonho4</v>
          </cell>
          <cell r="C1158" t="str">
            <v>Ao cá nước ngọt các loại</v>
          </cell>
          <cell r="D1158" t="str">
            <v>thời gian nuôi dưới 4 tháng</v>
          </cell>
          <cell r="F1158" t="str">
            <v>m2</v>
          </cell>
          <cell r="G1158">
            <v>45000</v>
          </cell>
          <cell r="H1158">
            <v>0.5</v>
          </cell>
          <cell r="J1158" t="e">
            <v>#DIV/0!</v>
          </cell>
        </row>
        <row r="1159">
          <cell r="B1159" t="str">
            <v>aolon4</v>
          </cell>
          <cell r="C1159" t="str">
            <v>Ao cá nước ngọt các loại</v>
          </cell>
          <cell r="D1159" t="str">
            <v>thời gian nuôi từ 4 đến 8 tháng</v>
          </cell>
          <cell r="F1159" t="str">
            <v>m2</v>
          </cell>
          <cell r="G1159">
            <v>30000</v>
          </cell>
          <cell r="H1159">
            <v>0.5</v>
          </cell>
          <cell r="J1159" t="e">
            <v>#DIV/0!</v>
          </cell>
        </row>
        <row r="1160">
          <cell r="B1160" t="str">
            <v>Khế02chau</v>
          </cell>
          <cell r="C1160" t="str">
            <v>Cây khế</v>
          </cell>
          <cell r="D1160" t="str">
            <v>đk gốc &lt; 2cm</v>
          </cell>
          <cell r="E1160">
            <v>30.303030303030305</v>
          </cell>
          <cell r="F1160" t="str">
            <v>cây</v>
          </cell>
          <cell r="G1160">
            <v>70000</v>
          </cell>
          <cell r="H1160">
            <v>0.25</v>
          </cell>
          <cell r="J1160">
            <v>577.5</v>
          </cell>
        </row>
        <row r="1161">
          <cell r="B1161" t="str">
            <v>Khế25chau</v>
          </cell>
          <cell r="C1161" t="str">
            <v>Cây khế</v>
          </cell>
          <cell r="D1161" t="str">
            <v>2cm ≤ đk gốc &lt; 5cm</v>
          </cell>
          <cell r="E1161">
            <v>30.303030303030305</v>
          </cell>
          <cell r="F1161" t="str">
            <v>cây</v>
          </cell>
          <cell r="G1161">
            <v>250000</v>
          </cell>
          <cell r="H1161">
            <v>0.25</v>
          </cell>
          <cell r="J1161">
            <v>2062.5</v>
          </cell>
        </row>
        <row r="1162">
          <cell r="B1162" t="str">
            <v>Khế58chau</v>
          </cell>
          <cell r="C1162" t="str">
            <v>Cây khế</v>
          </cell>
          <cell r="D1162" t="str">
            <v>5cm ≤ đk gốc &lt; 8cm</v>
          </cell>
          <cell r="E1162">
            <v>30.303030303030305</v>
          </cell>
          <cell r="F1162" t="str">
            <v>cây</v>
          </cell>
          <cell r="G1162">
            <v>550000</v>
          </cell>
          <cell r="H1162">
            <v>0.25</v>
          </cell>
          <cell r="J1162">
            <v>4537.5</v>
          </cell>
        </row>
        <row r="1163">
          <cell r="B1163" t="str">
            <v>Khế812chau</v>
          </cell>
          <cell r="C1163" t="str">
            <v>Cây khế</v>
          </cell>
          <cell r="D1163" t="str">
            <v>8cm ≤ đk gốc &lt; 12cm</v>
          </cell>
          <cell r="E1163">
            <v>30.303030303030305</v>
          </cell>
          <cell r="F1163" t="str">
            <v>cây</v>
          </cell>
          <cell r="G1163">
            <v>850000</v>
          </cell>
          <cell r="H1163">
            <v>0.5</v>
          </cell>
          <cell r="J1163">
            <v>14025</v>
          </cell>
        </row>
        <row r="1164">
          <cell r="B1164" t="str">
            <v>Khế1220chau</v>
          </cell>
          <cell r="C1164" t="str">
            <v>Cây khế</v>
          </cell>
          <cell r="D1164" t="str">
            <v>12cm ≤ đk gốc &lt; 20cm</v>
          </cell>
          <cell r="E1164">
            <v>30.303030303030305</v>
          </cell>
          <cell r="F1164" t="str">
            <v>cây</v>
          </cell>
          <cell r="G1164">
            <v>1200000</v>
          </cell>
          <cell r="H1164">
            <v>0.5</v>
          </cell>
          <cell r="J1164">
            <v>19800</v>
          </cell>
        </row>
        <row r="1165">
          <cell r="B1165" t="str">
            <v>Khế2030chau</v>
          </cell>
          <cell r="C1165" t="str">
            <v>Cây khế</v>
          </cell>
          <cell r="D1165" t="str">
            <v>20cm ≤ đk gốc &lt; 30cm</v>
          </cell>
          <cell r="E1165">
            <v>30.303030303030305</v>
          </cell>
          <cell r="F1165" t="str">
            <v>cây</v>
          </cell>
          <cell r="G1165">
            <v>1400000</v>
          </cell>
          <cell r="H1165">
            <v>0.5</v>
          </cell>
          <cell r="J1165">
            <v>23100</v>
          </cell>
        </row>
        <row r="1166">
          <cell r="B1166" t="str">
            <v>Khế3060chau</v>
          </cell>
          <cell r="C1166" t="str">
            <v>Cây khế</v>
          </cell>
          <cell r="D1166" t="str">
            <v>30cm ≤ đk gốc ≤ 60cm</v>
          </cell>
          <cell r="E1166">
            <v>30.303030303030305</v>
          </cell>
          <cell r="F1166" t="str">
            <v>cây</v>
          </cell>
          <cell r="G1166">
            <v>1600000</v>
          </cell>
          <cell r="H1166">
            <v>0.5</v>
          </cell>
          <cell r="J1166">
            <v>26400</v>
          </cell>
        </row>
        <row r="1167">
          <cell r="B1167" t="str">
            <v>Khế60+chau</v>
          </cell>
          <cell r="C1167" t="str">
            <v>Cây khế</v>
          </cell>
          <cell r="D1167" t="str">
            <v>đk gốc 60cm trở lên</v>
          </cell>
          <cell r="E1167">
            <v>30.303030303030305</v>
          </cell>
          <cell r="F1167" t="str">
            <v>cây</v>
          </cell>
          <cell r="G1167">
            <v>1800000</v>
          </cell>
          <cell r="H1167">
            <v>0.5</v>
          </cell>
          <cell r="J1167">
            <v>29700</v>
          </cell>
        </row>
        <row r="1168">
          <cell r="B1168" t="str">
            <v>Khế02chauvmd</v>
          </cell>
          <cell r="C1168" t="str">
            <v>Cây khế vượt mật độ</v>
          </cell>
          <cell r="D1168" t="str">
            <v>đk gốc &lt; 2cm</v>
          </cell>
          <cell r="E1168">
            <v>30.3</v>
          </cell>
          <cell r="F1168" t="str">
            <v>cây</v>
          </cell>
          <cell r="G1168">
            <v>70000</v>
          </cell>
          <cell r="H1168">
            <v>0.5</v>
          </cell>
          <cell r="J1168">
            <v>1155.1155115511551</v>
          </cell>
        </row>
        <row r="1169">
          <cell r="B1169" t="str">
            <v>Khế25chauvmd</v>
          </cell>
          <cell r="C1169" t="str">
            <v>Cây khế vượt mật độ</v>
          </cell>
          <cell r="D1169" t="str">
            <v>2cm ≤ đk gốc &lt; 5cm</v>
          </cell>
          <cell r="E1169">
            <v>30.3</v>
          </cell>
          <cell r="F1169" t="str">
            <v>cây</v>
          </cell>
          <cell r="G1169">
            <v>250000</v>
          </cell>
          <cell r="H1169">
            <v>0.5</v>
          </cell>
          <cell r="J1169">
            <v>4125.4125412541252</v>
          </cell>
        </row>
        <row r="1170">
          <cell r="B1170" t="str">
            <v>Khế58chauvmd</v>
          </cell>
          <cell r="C1170" t="str">
            <v>Cây khế vượt mật độ</v>
          </cell>
          <cell r="D1170" t="str">
            <v>5cm ≤ đk gốc &lt; 8cm</v>
          </cell>
          <cell r="E1170">
            <v>30.3</v>
          </cell>
          <cell r="F1170" t="str">
            <v>cây</v>
          </cell>
          <cell r="G1170">
            <v>550000</v>
          </cell>
          <cell r="H1170">
            <v>0.5</v>
          </cell>
          <cell r="J1170">
            <v>9075.9075907590759</v>
          </cell>
        </row>
        <row r="1171">
          <cell r="B1171" t="str">
            <v>Khế812chauvmd</v>
          </cell>
          <cell r="C1171" t="str">
            <v>Cây khế vượt mật độ</v>
          </cell>
          <cell r="D1171" t="str">
            <v>8cm ≤ đk gốc &lt; 12cm</v>
          </cell>
          <cell r="E1171">
            <v>30.3</v>
          </cell>
          <cell r="F1171" t="str">
            <v>cây</v>
          </cell>
          <cell r="G1171">
            <v>850000</v>
          </cell>
          <cell r="H1171">
            <v>0.25</v>
          </cell>
          <cell r="J1171">
            <v>7013.2013201320133</v>
          </cell>
        </row>
        <row r="1172">
          <cell r="B1172" t="str">
            <v>Khế1220chauvmd</v>
          </cell>
          <cell r="C1172" t="str">
            <v>Cây khế vượt mật độ</v>
          </cell>
          <cell r="D1172" t="str">
            <v>12cm ≤ đk gốc &lt; 20cm</v>
          </cell>
          <cell r="E1172">
            <v>30.3</v>
          </cell>
          <cell r="F1172" t="str">
            <v>cây</v>
          </cell>
          <cell r="G1172">
            <v>1200000</v>
          </cell>
          <cell r="H1172">
            <v>0.25</v>
          </cell>
          <cell r="J1172">
            <v>9900.9900990099013</v>
          </cell>
        </row>
        <row r="1173">
          <cell r="B1173" t="str">
            <v>Khế2030chauvmd</v>
          </cell>
          <cell r="C1173" t="str">
            <v>Cây khế vượt mật độ</v>
          </cell>
          <cell r="D1173" t="str">
            <v>20cm ≤ đk gốc &lt; 30cm</v>
          </cell>
          <cell r="E1173">
            <v>30.3</v>
          </cell>
          <cell r="F1173" t="str">
            <v>cây</v>
          </cell>
          <cell r="G1173">
            <v>1400000</v>
          </cell>
          <cell r="H1173">
            <v>0.25</v>
          </cell>
          <cell r="J1173">
            <v>11551.15511551155</v>
          </cell>
        </row>
        <row r="1174">
          <cell r="B1174" t="str">
            <v>Khế3060chauvmd</v>
          </cell>
          <cell r="C1174" t="str">
            <v>Cây khế vượt mật độ</v>
          </cell>
          <cell r="D1174" t="str">
            <v>30cm ≤ đk gốc ≤ 60cm</v>
          </cell>
          <cell r="E1174">
            <v>30.3</v>
          </cell>
          <cell r="F1174" t="str">
            <v>cây</v>
          </cell>
          <cell r="G1174">
            <v>1600000</v>
          </cell>
          <cell r="H1174">
            <v>0.25</v>
          </cell>
          <cell r="J1174">
            <v>13201.320132013201</v>
          </cell>
        </row>
        <row r="1175">
          <cell r="B1175" t="str">
            <v>Khế60+chauvmd</v>
          </cell>
          <cell r="C1175" t="str">
            <v>Cây khế vượt mật độ</v>
          </cell>
          <cell r="D1175" t="str">
            <v>đk gốc 60cm trở lên</v>
          </cell>
          <cell r="E1175">
            <v>30.3</v>
          </cell>
          <cell r="F1175" t="str">
            <v>cây</v>
          </cell>
          <cell r="G1175">
            <v>1800000</v>
          </cell>
          <cell r="H1175">
            <v>0.25</v>
          </cell>
          <cell r="J1175">
            <v>14851.485148514852</v>
          </cell>
        </row>
        <row r="1176">
          <cell r="B1176" t="str">
            <v>locvung02chau</v>
          </cell>
          <cell r="C1176" t="str">
            <v>Cây lộc vừng trồng trên chậu</v>
          </cell>
          <cell r="D1176" t="str">
            <v>đk gốc ≤ 2cm; H &gt; 50cm</v>
          </cell>
          <cell r="E1176">
            <v>6.666666666666667</v>
          </cell>
          <cell r="F1176" t="str">
            <v>cây</v>
          </cell>
          <cell r="G1176">
            <v>25000</v>
          </cell>
          <cell r="H1176">
            <v>0.25</v>
          </cell>
          <cell r="J1176">
            <v>937.5</v>
          </cell>
        </row>
        <row r="1177">
          <cell r="B1177" t="str">
            <v>locvung24chau</v>
          </cell>
          <cell r="C1177" t="str">
            <v>Cây lộc vừng trồng trên chậu</v>
          </cell>
          <cell r="D1177" t="str">
            <v>2cm &lt; đk gốc ≤ 4cm</v>
          </cell>
          <cell r="E1177">
            <v>6.666666666666667</v>
          </cell>
          <cell r="F1177" t="str">
            <v>cây</v>
          </cell>
          <cell r="G1177">
            <v>54000</v>
          </cell>
          <cell r="H1177">
            <v>0.25</v>
          </cell>
          <cell r="J1177">
            <v>2025</v>
          </cell>
        </row>
        <row r="1178">
          <cell r="B1178" t="str">
            <v>locvung48chau</v>
          </cell>
          <cell r="C1178" t="str">
            <v>Cây lộc vừng trồng trên chậu</v>
          </cell>
          <cell r="D1178" t="str">
            <v>4cm &lt; đk gốc ≤ 8cm</v>
          </cell>
          <cell r="E1178">
            <v>6.666666666666667</v>
          </cell>
          <cell r="F1178" t="str">
            <v>cây</v>
          </cell>
          <cell r="G1178">
            <v>112000</v>
          </cell>
          <cell r="H1178">
            <v>0.25</v>
          </cell>
          <cell r="J1178">
            <v>4200</v>
          </cell>
        </row>
        <row r="1179">
          <cell r="B1179" t="str">
            <v>locvung815chau</v>
          </cell>
          <cell r="C1179" t="str">
            <v>Cây lộc vừng trồng trên chậu</v>
          </cell>
          <cell r="D1179" t="str">
            <v>8cm &lt; đk gốc ≤ 15cm</v>
          </cell>
          <cell r="E1179">
            <v>6.666666666666667</v>
          </cell>
          <cell r="F1179" t="str">
            <v>cây</v>
          </cell>
          <cell r="G1179">
            <v>228000</v>
          </cell>
          <cell r="H1179">
            <v>0.4</v>
          </cell>
          <cell r="J1179">
            <v>13680</v>
          </cell>
        </row>
        <row r="1180">
          <cell r="B1180" t="str">
            <v>locvung1525chau</v>
          </cell>
          <cell r="C1180" t="str">
            <v>Cây lộc vừng trồng trên chậu</v>
          </cell>
          <cell r="D1180" t="str">
            <v>15cm &lt; đk gốc ≤ 25cm</v>
          </cell>
          <cell r="E1180">
            <v>6.666666666666667</v>
          </cell>
          <cell r="F1180" t="str">
            <v>cây</v>
          </cell>
          <cell r="G1180">
            <v>378000</v>
          </cell>
          <cell r="H1180">
            <v>0.4</v>
          </cell>
          <cell r="J1180">
            <v>22680</v>
          </cell>
        </row>
        <row r="1181">
          <cell r="B1181" t="str">
            <v>locvung2540chau</v>
          </cell>
          <cell r="C1181" t="str">
            <v>Cây lộc vừng trồng trên chậu</v>
          </cell>
          <cell r="D1181" t="str">
            <v>25cm &lt; đk gốc ≤ 40cm</v>
          </cell>
          <cell r="E1181">
            <v>6.666666666666667</v>
          </cell>
          <cell r="F1181" t="str">
            <v>cây</v>
          </cell>
          <cell r="G1181">
            <v>520000</v>
          </cell>
          <cell r="H1181">
            <v>0.4</v>
          </cell>
          <cell r="J1181">
            <v>31200</v>
          </cell>
        </row>
        <row r="1182">
          <cell r="B1182" t="str">
            <v>locvung4060chau</v>
          </cell>
          <cell r="C1182" t="str">
            <v>Cây lộc vừng trồng trên chậu</v>
          </cell>
          <cell r="D1182" t="str">
            <v>40cm &lt; đk gốc ≤ 60cm</v>
          </cell>
          <cell r="E1182">
            <v>6.666666666666667</v>
          </cell>
          <cell r="F1182" t="str">
            <v>cây</v>
          </cell>
          <cell r="G1182">
            <v>710000</v>
          </cell>
          <cell r="H1182">
            <v>0.4</v>
          </cell>
          <cell r="J1182">
            <v>42600</v>
          </cell>
        </row>
        <row r="1183">
          <cell r="B1183" t="str">
            <v>locvung60+chau</v>
          </cell>
          <cell r="C1183" t="str">
            <v>Cây lộc vừng trồng trên chậu</v>
          </cell>
          <cell r="D1183" t="str">
            <v>đk gốc từ trên 60cm</v>
          </cell>
          <cell r="E1183">
            <v>6.666666666666667</v>
          </cell>
          <cell r="F1183" t="str">
            <v>cây</v>
          </cell>
          <cell r="G1183">
            <v>1236000</v>
          </cell>
          <cell r="H1183">
            <v>0.4</v>
          </cell>
          <cell r="J1183">
            <v>74160</v>
          </cell>
        </row>
        <row r="1184">
          <cell r="B1184" t="str">
            <v>locvung02chauvmd</v>
          </cell>
          <cell r="C1184" t="str">
            <v>Cây lộc vừng trồng trên chậu vượt mật độ</v>
          </cell>
          <cell r="D1184" t="str">
            <v>đk gốc ≤ 2cm; H &gt; 50cm</v>
          </cell>
          <cell r="E1184">
            <v>6.666666666666667</v>
          </cell>
          <cell r="F1184" t="str">
            <v>cây</v>
          </cell>
          <cell r="G1184">
            <v>25000</v>
          </cell>
          <cell r="H1184">
            <v>0.25</v>
          </cell>
          <cell r="J1184">
            <v>937.5</v>
          </cell>
        </row>
        <row r="1185">
          <cell r="B1185" t="str">
            <v>locvung24chauvmd</v>
          </cell>
          <cell r="C1185" t="str">
            <v>Cây lộc vừng trồng trên chậu vượt mật độ</v>
          </cell>
          <cell r="D1185" t="str">
            <v>2cm &lt; đk gốc ≤ 4cm</v>
          </cell>
          <cell r="E1185">
            <v>6.666666666666667</v>
          </cell>
          <cell r="F1185" t="str">
            <v>cây</v>
          </cell>
          <cell r="G1185">
            <v>54000</v>
          </cell>
          <cell r="H1185">
            <v>0.25</v>
          </cell>
          <cell r="J1185">
            <v>2025</v>
          </cell>
        </row>
        <row r="1186">
          <cell r="B1186" t="str">
            <v>locvung48chauvmd</v>
          </cell>
          <cell r="C1186" t="str">
            <v>Cây lộc vừng trồng trên chậu vượt mật độ</v>
          </cell>
          <cell r="D1186" t="str">
            <v>4cm &lt; đk gốc ≤ 8cm</v>
          </cell>
          <cell r="E1186">
            <v>6.666666666666667</v>
          </cell>
          <cell r="F1186" t="str">
            <v>cây</v>
          </cell>
          <cell r="G1186">
            <v>112000</v>
          </cell>
          <cell r="H1186">
            <v>0.25</v>
          </cell>
          <cell r="J1186">
            <v>4200</v>
          </cell>
        </row>
        <row r="1187">
          <cell r="B1187" t="str">
            <v>locvung815chauvmd</v>
          </cell>
          <cell r="C1187" t="str">
            <v>Cây lộc vừng trồng trên chậu vượt mật độ</v>
          </cell>
          <cell r="D1187" t="str">
            <v>8cm &lt; đk gốc ≤ 15cm</v>
          </cell>
          <cell r="E1187">
            <v>6.666666666666667</v>
          </cell>
          <cell r="F1187" t="str">
            <v>cây</v>
          </cell>
          <cell r="G1187">
            <v>228000</v>
          </cell>
          <cell r="H1187">
            <v>0.25</v>
          </cell>
          <cell r="J1187">
            <v>8550</v>
          </cell>
        </row>
        <row r="1188">
          <cell r="B1188" t="str">
            <v>locvung1525chauvmd</v>
          </cell>
          <cell r="C1188" t="str">
            <v>Cây lộc vừng trồng trên chậu vượt mật độ</v>
          </cell>
          <cell r="D1188" t="str">
            <v>15cm &lt; đk gốc ≤ 25cm</v>
          </cell>
          <cell r="E1188">
            <v>6.666666666666667</v>
          </cell>
          <cell r="F1188" t="str">
            <v>cây</v>
          </cell>
          <cell r="G1188">
            <v>378000</v>
          </cell>
          <cell r="H1188">
            <v>0.25</v>
          </cell>
          <cell r="J1188">
            <v>14175</v>
          </cell>
        </row>
        <row r="1189">
          <cell r="B1189" t="str">
            <v>locvung2540chauvmd</v>
          </cell>
          <cell r="C1189" t="str">
            <v>Cây lộc vừng trồng trên chậu vượt mật độ</v>
          </cell>
          <cell r="D1189" t="str">
            <v>25cm &lt; đk gốc ≤ 40cm</v>
          </cell>
          <cell r="E1189">
            <v>6.666666666666667</v>
          </cell>
          <cell r="F1189" t="str">
            <v>cây</v>
          </cell>
          <cell r="G1189">
            <v>520000</v>
          </cell>
          <cell r="H1189">
            <v>0.25</v>
          </cell>
          <cell r="J1189">
            <v>19500</v>
          </cell>
        </row>
        <row r="1190">
          <cell r="B1190" t="str">
            <v>locvung4060chauvmd</v>
          </cell>
          <cell r="C1190" t="str">
            <v>Cây lộc vừng trồng trên chậu vượt mật độ</v>
          </cell>
          <cell r="D1190" t="str">
            <v>40cm &lt; đk gốc ≤ 60cm</v>
          </cell>
          <cell r="E1190">
            <v>6.666666666666667</v>
          </cell>
          <cell r="F1190" t="str">
            <v>cây</v>
          </cell>
          <cell r="G1190">
            <v>710000</v>
          </cell>
          <cell r="H1190">
            <v>0.25</v>
          </cell>
          <cell r="J1190">
            <v>26625</v>
          </cell>
        </row>
        <row r="1191">
          <cell r="B1191" t="str">
            <v>locvung60+chauvmd</v>
          </cell>
          <cell r="C1191" t="str">
            <v>Cây lộc vừng trồng trên chậu vượt mật độ</v>
          </cell>
          <cell r="D1191" t="str">
            <v>đk gốc từ trên 60cm</v>
          </cell>
          <cell r="E1191">
            <v>6.666666666666667</v>
          </cell>
          <cell r="F1191" t="str">
            <v>cây</v>
          </cell>
          <cell r="G1191">
            <v>1236000</v>
          </cell>
          <cell r="H1191">
            <v>0.25</v>
          </cell>
          <cell r="J1191">
            <v>46350</v>
          </cell>
        </row>
        <row r="1192">
          <cell r="B1192" t="str">
            <v>banglang02chau</v>
          </cell>
          <cell r="C1192" t="str">
            <v>Cây bằng lăng trồng trên chậu</v>
          </cell>
          <cell r="D1192" t="str">
            <v>đk gốc ≤ 2cm; H &gt; 50cm</v>
          </cell>
          <cell r="E1192">
            <v>6.666666666666667</v>
          </cell>
          <cell r="F1192" t="str">
            <v>cây</v>
          </cell>
          <cell r="G1192">
            <v>25000</v>
          </cell>
          <cell r="H1192">
            <v>0.25</v>
          </cell>
          <cell r="J1192">
            <v>1875</v>
          </cell>
        </row>
        <row r="1193">
          <cell r="B1193" t="str">
            <v>banglang24chau</v>
          </cell>
          <cell r="C1193" t="str">
            <v>Cây bằng lăng trồng trên chậu</v>
          </cell>
          <cell r="D1193" t="str">
            <v>2cm &lt; đk gốc ≤ 4cm</v>
          </cell>
          <cell r="E1193">
            <v>6.666666666666667</v>
          </cell>
          <cell r="F1193" t="str">
            <v>cây</v>
          </cell>
          <cell r="G1193">
            <v>54000</v>
          </cell>
          <cell r="H1193">
            <v>0.25</v>
          </cell>
          <cell r="J1193">
            <v>4050</v>
          </cell>
        </row>
        <row r="1194">
          <cell r="B1194" t="str">
            <v>banglang48chau</v>
          </cell>
          <cell r="C1194" t="str">
            <v>Cây bằng lăng trồng trên chậu</v>
          </cell>
          <cell r="D1194" t="str">
            <v>4cm &lt; đk gốc ≤ 8cm</v>
          </cell>
          <cell r="E1194">
            <v>6.666666666666667</v>
          </cell>
          <cell r="F1194" t="str">
            <v>cây</v>
          </cell>
          <cell r="G1194">
            <v>112000</v>
          </cell>
          <cell r="H1194">
            <v>0.25</v>
          </cell>
          <cell r="J1194">
            <v>8400</v>
          </cell>
        </row>
        <row r="1195">
          <cell r="B1195" t="str">
            <v>banglang815chau</v>
          </cell>
          <cell r="C1195" t="str">
            <v>Cây bằng lăng trồng trên chậu</v>
          </cell>
          <cell r="D1195" t="str">
            <v>8cm &lt; đk gốc ≤ 15cm</v>
          </cell>
          <cell r="E1195">
            <v>6.666666666666667</v>
          </cell>
          <cell r="F1195" t="str">
            <v>cây</v>
          </cell>
          <cell r="G1195">
            <v>228000</v>
          </cell>
          <cell r="H1195">
            <v>0.5</v>
          </cell>
          <cell r="J1195">
            <v>27360</v>
          </cell>
        </row>
        <row r="1196">
          <cell r="B1196" t="str">
            <v>banglang1525chau</v>
          </cell>
          <cell r="C1196" t="str">
            <v>Cây bằng lăng trồng trên chậu</v>
          </cell>
          <cell r="D1196" t="str">
            <v>15cm &lt; đk gốc ≤ 25cm</v>
          </cell>
          <cell r="E1196">
            <v>6.666666666666667</v>
          </cell>
          <cell r="F1196" t="str">
            <v>cây</v>
          </cell>
          <cell r="G1196">
            <v>378000</v>
          </cell>
          <cell r="H1196">
            <v>0.5</v>
          </cell>
          <cell r="J1196">
            <v>45360</v>
          </cell>
        </row>
        <row r="1197">
          <cell r="B1197" t="str">
            <v>banglang2540chau</v>
          </cell>
          <cell r="C1197" t="str">
            <v>Cây bằng lăng trồng trên chậu</v>
          </cell>
          <cell r="D1197" t="str">
            <v>25cm &lt; đk gốc ≤ 40cm</v>
          </cell>
          <cell r="E1197">
            <v>6.666666666666667</v>
          </cell>
          <cell r="F1197" t="str">
            <v>cây</v>
          </cell>
          <cell r="G1197">
            <v>520000</v>
          </cell>
          <cell r="H1197">
            <v>0.5</v>
          </cell>
          <cell r="J1197">
            <v>62400</v>
          </cell>
        </row>
        <row r="1198">
          <cell r="B1198" t="str">
            <v>banglang4060chau</v>
          </cell>
          <cell r="C1198" t="str">
            <v>Cây bằng lăng trồng trên chậu</v>
          </cell>
          <cell r="D1198" t="str">
            <v>40cm &lt; đk gốc ≤ 60cm</v>
          </cell>
          <cell r="E1198">
            <v>6.666666666666667</v>
          </cell>
          <cell r="F1198" t="str">
            <v>cây</v>
          </cell>
          <cell r="G1198">
            <v>710000</v>
          </cell>
          <cell r="H1198">
            <v>0.5</v>
          </cell>
          <cell r="J1198">
            <v>85200</v>
          </cell>
        </row>
        <row r="1199">
          <cell r="B1199" t="str">
            <v>banglang60+chau</v>
          </cell>
          <cell r="C1199" t="str">
            <v>Cây bằng lăng trồng trên chậu</v>
          </cell>
          <cell r="D1199" t="str">
            <v>đk gốc từ trên 60cm</v>
          </cell>
          <cell r="E1199">
            <v>6.666666666666667</v>
          </cell>
          <cell r="F1199" t="str">
            <v>cây</v>
          </cell>
          <cell r="G1199">
            <v>1236000</v>
          </cell>
          <cell r="H1199">
            <v>0.5</v>
          </cell>
          <cell r="J1199">
            <v>148320</v>
          </cell>
        </row>
        <row r="1200">
          <cell r="B1200" t="str">
            <v>banglang02chauvmd</v>
          </cell>
          <cell r="C1200" t="str">
            <v>Cây bằng lăng trồng trên chậu vượt mật độ</v>
          </cell>
          <cell r="D1200" t="str">
            <v>đk gốc ≤ 2cm; H &gt; 50cm</v>
          </cell>
          <cell r="E1200">
            <v>6.666666666666667</v>
          </cell>
          <cell r="F1200" t="str">
            <v>cây</v>
          </cell>
          <cell r="G1200">
            <v>25000</v>
          </cell>
          <cell r="H1200">
            <v>0.25</v>
          </cell>
        </row>
        <row r="1201">
          <cell r="B1201" t="str">
            <v>banglang24chauvmd</v>
          </cell>
          <cell r="C1201" t="str">
            <v>Cây bằng lăng trồng trên chậu vượt mật độ</v>
          </cell>
          <cell r="D1201" t="str">
            <v>2cm &lt; đk gốc ≤ 4cm</v>
          </cell>
          <cell r="E1201">
            <v>6.666666666666667</v>
          </cell>
          <cell r="F1201" t="str">
            <v>cây</v>
          </cell>
          <cell r="G1201">
            <v>54000</v>
          </cell>
          <cell r="H1201">
            <v>0.25</v>
          </cell>
        </row>
        <row r="1202">
          <cell r="B1202" t="str">
            <v>banglang48chauvmd</v>
          </cell>
          <cell r="C1202" t="str">
            <v>Cây bằng lăng trồng trên chậu vượt mật độ</v>
          </cell>
          <cell r="D1202" t="str">
            <v>4cm &lt; đk gốc ≤ 8cm</v>
          </cell>
          <cell r="E1202">
            <v>6.666666666666667</v>
          </cell>
          <cell r="F1202" t="str">
            <v>cây</v>
          </cell>
          <cell r="G1202">
            <v>112000</v>
          </cell>
          <cell r="H1202">
            <v>0.25</v>
          </cell>
        </row>
        <row r="1203">
          <cell r="B1203" t="str">
            <v>banglang815chauvmd</v>
          </cell>
          <cell r="C1203" t="str">
            <v>Cây bằng lăng trồng trên chậu vượt mật độ</v>
          </cell>
          <cell r="D1203" t="str">
            <v>8cm &lt; đk gốc ≤ 15cm</v>
          </cell>
          <cell r="E1203">
            <v>6.666666666666667</v>
          </cell>
          <cell r="F1203" t="str">
            <v>cây</v>
          </cell>
          <cell r="G1203">
            <v>228000</v>
          </cell>
          <cell r="H1203">
            <v>0.25</v>
          </cell>
        </row>
        <row r="1204">
          <cell r="B1204" t="str">
            <v>banglang1525chauvmd</v>
          </cell>
          <cell r="C1204" t="str">
            <v>Cây bằng lăng trồng trên chậu vượt mật độ</v>
          </cell>
          <cell r="D1204" t="str">
            <v>15cm &lt; đk gốc ≤ 25cm</v>
          </cell>
          <cell r="E1204">
            <v>6.666666666666667</v>
          </cell>
          <cell r="F1204" t="str">
            <v>cây</v>
          </cell>
          <cell r="G1204">
            <v>378000</v>
          </cell>
          <cell r="H1204">
            <v>0.25</v>
          </cell>
        </row>
        <row r="1205">
          <cell r="B1205" t="str">
            <v>banglang2540chauvmd</v>
          </cell>
          <cell r="C1205" t="str">
            <v>Cây bằng lăng trồng trên chậu vượt mật độ</v>
          </cell>
          <cell r="D1205" t="str">
            <v>25cm &lt; đk gốc ≤ 40cm</v>
          </cell>
          <cell r="E1205">
            <v>6.666666666666667</v>
          </cell>
          <cell r="F1205" t="str">
            <v>cây</v>
          </cell>
          <cell r="G1205">
            <v>520000</v>
          </cell>
          <cell r="H1205">
            <v>0.25</v>
          </cell>
        </row>
        <row r="1206">
          <cell r="B1206" t="str">
            <v>banglang4060chauvmd</v>
          </cell>
          <cell r="C1206" t="str">
            <v>Cây bằng lăng trồng trên chậu vượt mật độ</v>
          </cell>
          <cell r="D1206" t="str">
            <v>40cm &lt; đk gốc ≤ 60cm</v>
          </cell>
          <cell r="E1206">
            <v>6.666666666666667</v>
          </cell>
          <cell r="F1206" t="str">
            <v>cây</v>
          </cell>
          <cell r="G1206">
            <v>710000</v>
          </cell>
          <cell r="H1206">
            <v>0.25</v>
          </cell>
        </row>
        <row r="1207">
          <cell r="B1207" t="str">
            <v>banglang60+chauvmd</v>
          </cell>
          <cell r="C1207" t="str">
            <v>Cây bằng lăng trồng trên chậu vượt mật độ</v>
          </cell>
          <cell r="D1207" t="str">
            <v>đk gốc từ trên 60cm</v>
          </cell>
          <cell r="E1207">
            <v>6.666666666666667</v>
          </cell>
          <cell r="F1207" t="str">
            <v>cây</v>
          </cell>
          <cell r="G1207">
            <v>1236000</v>
          </cell>
          <cell r="H1207">
            <v>0.25</v>
          </cell>
        </row>
        <row r="1208">
          <cell r="B1208" t="str">
            <v>maudon01chau</v>
          </cell>
          <cell r="C1208" t="str">
            <v>Cây mẫu đơn trồng trên chậu</v>
          </cell>
          <cell r="D1208" t="str">
            <v>đk gốc &gt; 0,8cm; H &gt; 40cm</v>
          </cell>
          <cell r="E1208">
            <v>5</v>
          </cell>
          <cell r="F1208" t="str">
            <v>cây</v>
          </cell>
          <cell r="G1208">
            <v>100000</v>
          </cell>
          <cell r="H1208">
            <v>0.25</v>
          </cell>
        </row>
        <row r="1209">
          <cell r="B1209" t="str">
            <v>maudon24chau</v>
          </cell>
          <cell r="C1209" t="str">
            <v>Cây mẫu đơn trồng trên chậu</v>
          </cell>
          <cell r="D1209" t="str">
            <v>2cm &lt; đk gốc ≤ 4cm</v>
          </cell>
          <cell r="E1209">
            <v>5</v>
          </cell>
          <cell r="F1209" t="str">
            <v>cây</v>
          </cell>
          <cell r="G1209">
            <v>300000</v>
          </cell>
          <cell r="H1209">
            <v>0.25</v>
          </cell>
        </row>
        <row r="1210">
          <cell r="B1210" t="str">
            <v>maudon48chau</v>
          </cell>
          <cell r="C1210" t="str">
            <v>Cây mẫu đơn trồng trên chậu</v>
          </cell>
          <cell r="D1210" t="str">
            <v>4cm &lt; đk gốc ≤ 8cm</v>
          </cell>
          <cell r="E1210">
            <v>5</v>
          </cell>
          <cell r="F1210" t="str">
            <v>cây</v>
          </cell>
          <cell r="G1210">
            <v>600000</v>
          </cell>
          <cell r="H1210">
            <v>0.25</v>
          </cell>
        </row>
        <row r="1211">
          <cell r="B1211" t="str">
            <v>maudon8+chau</v>
          </cell>
          <cell r="C1211" t="str">
            <v>Cây mẫu đơn trồng trên chậu</v>
          </cell>
          <cell r="D1211" t="str">
            <v>đk gốc 8cm trở lên</v>
          </cell>
          <cell r="E1211">
            <v>5</v>
          </cell>
          <cell r="F1211" t="str">
            <v>cây</v>
          </cell>
          <cell r="G1211">
            <v>750000</v>
          </cell>
          <cell r="H1211">
            <v>0.5</v>
          </cell>
        </row>
        <row r="1212">
          <cell r="B1212" t="str">
            <v>maudon01chauvmd</v>
          </cell>
          <cell r="C1212" t="str">
            <v>Cây mẫu đơn trồng trên chậu vượt mật độ</v>
          </cell>
          <cell r="D1212" t="str">
            <v>đk gốc &gt; 0,8cm; H &gt; 40cm</v>
          </cell>
          <cell r="E1212">
            <v>5</v>
          </cell>
          <cell r="F1212" t="str">
            <v>cây</v>
          </cell>
          <cell r="G1212">
            <v>100000</v>
          </cell>
          <cell r="H1212">
            <v>0.25</v>
          </cell>
        </row>
        <row r="1213">
          <cell r="B1213" t="str">
            <v>maudon24chauvmd</v>
          </cell>
          <cell r="C1213" t="str">
            <v>Cây mẫu đơn trồng trên chậu vượt mật độ</v>
          </cell>
          <cell r="D1213" t="str">
            <v>2cm &lt; đk gốc ≤ 4cm</v>
          </cell>
          <cell r="E1213">
            <v>5</v>
          </cell>
          <cell r="F1213" t="str">
            <v>cây</v>
          </cell>
          <cell r="G1213">
            <v>300000</v>
          </cell>
          <cell r="H1213">
            <v>0.25</v>
          </cell>
        </row>
        <row r="1214">
          <cell r="B1214" t="str">
            <v>maudon48chauvmd</v>
          </cell>
          <cell r="C1214" t="str">
            <v>Cây mẫu đơn trồng trên chậu vượt mật độ</v>
          </cell>
          <cell r="D1214" t="str">
            <v>4cm &lt; đk gốc ≤ 8cm</v>
          </cell>
          <cell r="E1214">
            <v>5</v>
          </cell>
          <cell r="F1214" t="str">
            <v>cây</v>
          </cell>
          <cell r="G1214">
            <v>600000</v>
          </cell>
          <cell r="H1214">
            <v>0.25</v>
          </cell>
        </row>
        <row r="1215">
          <cell r="B1215" t="str">
            <v>maudon8+chauvmd</v>
          </cell>
          <cell r="C1215" t="str">
            <v>Cây mẫu đơn trồng trên chậu vượt mật độ</v>
          </cell>
          <cell r="D1215" t="str">
            <v>đk gốc 8cm trở lên</v>
          </cell>
          <cell r="E1215">
            <v>5</v>
          </cell>
          <cell r="F1215" t="str">
            <v>cây</v>
          </cell>
          <cell r="G1215">
            <v>750000</v>
          </cell>
          <cell r="H1215">
            <v>0.25</v>
          </cell>
        </row>
        <row r="1216">
          <cell r="B1216" t="str">
            <v>hoagiay01chau</v>
          </cell>
          <cell r="C1216" t="str">
            <v>Hoa giấy trồng trên chậu</v>
          </cell>
          <cell r="D1216" t="str">
            <v>đk gốc &gt; 0,5cm; H &gt; 40cm</v>
          </cell>
          <cell r="E1216">
            <v>5</v>
          </cell>
          <cell r="F1216" t="str">
            <v>cây</v>
          </cell>
          <cell r="G1216">
            <v>50000</v>
          </cell>
          <cell r="H1216">
            <v>0.25</v>
          </cell>
        </row>
        <row r="1217">
          <cell r="B1217" t="str">
            <v>hoagiay13chau</v>
          </cell>
          <cell r="C1217" t="str">
            <v>Hoa giấy trồng trên chậu</v>
          </cell>
          <cell r="D1217" t="str">
            <v>1cm &lt; đk gốc ≤ 3cm</v>
          </cell>
          <cell r="E1217">
            <v>5</v>
          </cell>
          <cell r="F1217" t="str">
            <v>cây</v>
          </cell>
          <cell r="G1217">
            <v>100000</v>
          </cell>
          <cell r="H1217">
            <v>0.25</v>
          </cell>
        </row>
        <row r="1218">
          <cell r="B1218" t="str">
            <v>hoagiay35chau</v>
          </cell>
          <cell r="C1218" t="str">
            <v>Hoa giấy trồng trên chậu</v>
          </cell>
          <cell r="D1218" t="str">
            <v>3cm &lt; đk gốc ≤ 5cm</v>
          </cell>
          <cell r="E1218">
            <v>5</v>
          </cell>
          <cell r="F1218" t="str">
            <v>cây</v>
          </cell>
          <cell r="G1218">
            <v>150000</v>
          </cell>
          <cell r="H1218">
            <v>0.25</v>
          </cell>
        </row>
        <row r="1219">
          <cell r="B1219" t="str">
            <v>hoagiay5+chau</v>
          </cell>
          <cell r="C1219" t="str">
            <v>Hoa giấy trồng trên chậu</v>
          </cell>
          <cell r="D1219" t="str">
            <v>đk gốc 5cm trở lên</v>
          </cell>
          <cell r="E1219">
            <v>5</v>
          </cell>
          <cell r="F1219" t="str">
            <v>cây</v>
          </cell>
          <cell r="G1219">
            <v>250000</v>
          </cell>
          <cell r="H1219">
            <v>0.5</v>
          </cell>
        </row>
        <row r="1220">
          <cell r="B1220" t="str">
            <v>hoagiay01chauvmd</v>
          </cell>
          <cell r="C1220" t="str">
            <v>Hoa giấy trồng trên chậu vượt mật độ</v>
          </cell>
          <cell r="D1220" t="str">
            <v>đk gốc &gt; 0,5cm; H &gt; 40cm</v>
          </cell>
          <cell r="E1220">
            <v>5</v>
          </cell>
          <cell r="F1220" t="str">
            <v>cây</v>
          </cell>
          <cell r="G1220">
            <v>50000</v>
          </cell>
          <cell r="H1220">
            <v>0.25</v>
          </cell>
        </row>
        <row r="1221">
          <cell r="B1221" t="str">
            <v>hoagiay13chauvmd</v>
          </cell>
          <cell r="C1221" t="str">
            <v>Hoa giấy trồng trên chậu vượt mật độ</v>
          </cell>
          <cell r="D1221" t="str">
            <v>1cm &lt; đk gốc ≤ 3cm</v>
          </cell>
          <cell r="E1221">
            <v>5</v>
          </cell>
          <cell r="F1221" t="str">
            <v>cây</v>
          </cell>
          <cell r="G1221">
            <v>100000</v>
          </cell>
          <cell r="H1221">
            <v>0.25</v>
          </cell>
        </row>
        <row r="1222">
          <cell r="B1222" t="str">
            <v>hoagiay35chauvmd</v>
          </cell>
          <cell r="C1222" t="str">
            <v>Hoa giấy trồng trên chậu vượt mật độ</v>
          </cell>
          <cell r="D1222" t="str">
            <v>3cm &lt; đk gốc ≤ 5cm</v>
          </cell>
          <cell r="E1222">
            <v>5</v>
          </cell>
          <cell r="F1222" t="str">
            <v>cây</v>
          </cell>
          <cell r="G1222">
            <v>150000</v>
          </cell>
          <cell r="H1222">
            <v>0.25</v>
          </cell>
        </row>
        <row r="1223">
          <cell r="B1223" t="str">
            <v>hoagiay5+chauvmd</v>
          </cell>
          <cell r="C1223" t="str">
            <v>Hoa giấy trồng trên chậu vượt mật độ</v>
          </cell>
          <cell r="D1223" t="str">
            <v>đk gốc 5cm trở lên</v>
          </cell>
          <cell r="E1223">
            <v>5</v>
          </cell>
          <cell r="F1223" t="str">
            <v>cây</v>
          </cell>
          <cell r="G1223">
            <v>250000</v>
          </cell>
          <cell r="H1223">
            <v>0.25</v>
          </cell>
        </row>
        <row r="1224">
          <cell r="B1224" t="str">
            <v>Sanh01chau</v>
          </cell>
          <cell r="C1224" t="str">
            <v>Cây sanh trồng trên chậu</v>
          </cell>
          <cell r="D1224" t="str">
            <v>đk gốc &gt; 0,5cm; H &gt; 40cm</v>
          </cell>
          <cell r="E1224">
            <v>6.666666666666667</v>
          </cell>
          <cell r="F1224" t="str">
            <v>cây</v>
          </cell>
          <cell r="G1224">
            <v>50000</v>
          </cell>
          <cell r="H1224">
            <v>0.25</v>
          </cell>
        </row>
        <row r="1225">
          <cell r="B1225" t="str">
            <v>Sanh13chau</v>
          </cell>
          <cell r="C1225" t="str">
            <v>Cây sanh trồng trên chậu</v>
          </cell>
          <cell r="D1225" t="str">
            <v>1cm ≤ đk gốc ≤ 3cm</v>
          </cell>
          <cell r="E1225">
            <v>6.666666666666667</v>
          </cell>
          <cell r="F1225" t="str">
            <v>cây</v>
          </cell>
          <cell r="G1225">
            <v>80000</v>
          </cell>
          <cell r="H1225">
            <v>0.25</v>
          </cell>
        </row>
        <row r="1226">
          <cell r="B1226" t="str">
            <v>Sanh35chau</v>
          </cell>
          <cell r="C1226" t="str">
            <v>Cây sanh trồng trên chậu</v>
          </cell>
          <cell r="D1226" t="str">
            <v>3cm &lt; đk gốc ≤ 5cm</v>
          </cell>
          <cell r="E1226">
            <v>6.666666666666667</v>
          </cell>
          <cell r="F1226" t="str">
            <v>cây</v>
          </cell>
          <cell r="G1226">
            <v>150000</v>
          </cell>
          <cell r="H1226">
            <v>0.25</v>
          </cell>
        </row>
        <row r="1227">
          <cell r="B1227" t="str">
            <v>Sanh510chau</v>
          </cell>
          <cell r="C1227" t="str">
            <v>Cây sanh trồng trên chậu</v>
          </cell>
          <cell r="D1227" t="str">
            <v>5cm &lt; đk gốc ≤ 10cm</v>
          </cell>
          <cell r="E1227">
            <v>6.666666666666667</v>
          </cell>
          <cell r="F1227" t="str">
            <v>cây</v>
          </cell>
          <cell r="G1227">
            <v>250000</v>
          </cell>
          <cell r="H1227">
            <v>0.25</v>
          </cell>
        </row>
        <row r="1228">
          <cell r="B1228" t="str">
            <v>Sanh1015chau</v>
          </cell>
          <cell r="C1228" t="str">
            <v>Cây sanh trồng trên chậu</v>
          </cell>
          <cell r="D1228" t="str">
            <v>10cm &lt; đk gốc ≤ 15cm</v>
          </cell>
          <cell r="E1228">
            <v>6.666666666666667</v>
          </cell>
          <cell r="F1228" t="str">
            <v>cây</v>
          </cell>
          <cell r="G1228">
            <v>350000</v>
          </cell>
          <cell r="H1228">
            <v>0.5</v>
          </cell>
        </row>
        <row r="1229">
          <cell r="B1229" t="str">
            <v>Sanh1520chau</v>
          </cell>
          <cell r="C1229" t="str">
            <v>Cây sanh trồng trên chậu</v>
          </cell>
          <cell r="D1229" t="str">
            <v>15cm &lt; đk gốc ≤ 20cm</v>
          </cell>
          <cell r="E1229">
            <v>6.666666666666667</v>
          </cell>
          <cell r="F1229" t="str">
            <v>cây</v>
          </cell>
          <cell r="G1229">
            <v>450000</v>
          </cell>
          <cell r="H1229">
            <v>0.5</v>
          </cell>
        </row>
        <row r="1230">
          <cell r="B1230" t="str">
            <v>Sanh2030chau</v>
          </cell>
          <cell r="C1230" t="str">
            <v>Cây sanh trồng trên chậu</v>
          </cell>
          <cell r="D1230" t="str">
            <v>20cm &lt; đk gốc ≤ 30cm</v>
          </cell>
          <cell r="E1230">
            <v>6.666666666666667</v>
          </cell>
          <cell r="F1230" t="str">
            <v>cây</v>
          </cell>
          <cell r="G1230">
            <v>550000</v>
          </cell>
          <cell r="H1230">
            <v>0.5</v>
          </cell>
        </row>
        <row r="1231">
          <cell r="B1231" t="str">
            <v>Sanh30+chau</v>
          </cell>
          <cell r="C1231" t="str">
            <v>Cây sanh trồng trên chậu</v>
          </cell>
          <cell r="D1231" t="str">
            <v>đk gốc trên 30cm</v>
          </cell>
          <cell r="E1231">
            <v>6.666666666666667</v>
          </cell>
          <cell r="F1231" t="str">
            <v>cây</v>
          </cell>
          <cell r="G1231">
            <v>650000</v>
          </cell>
          <cell r="H1231">
            <v>0.5</v>
          </cell>
        </row>
        <row r="1232">
          <cell r="B1232" t="str">
            <v>Sanh01chauvmd</v>
          </cell>
          <cell r="C1232" t="str">
            <v>Cây sanh trồng trên chậu vượt mật độ</v>
          </cell>
          <cell r="D1232" t="str">
            <v>đk gốc &gt; 0,5cm; H &gt; 40cm</v>
          </cell>
          <cell r="E1232">
            <v>6.666666666666667</v>
          </cell>
          <cell r="F1232" t="str">
            <v>cây</v>
          </cell>
          <cell r="G1232">
            <v>50000</v>
          </cell>
          <cell r="H1232">
            <v>0.25</v>
          </cell>
        </row>
        <row r="1233">
          <cell r="B1233" t="str">
            <v>Sanh13chauvmd</v>
          </cell>
          <cell r="C1233" t="str">
            <v>Cây sanh trồng trên chậu vượt mật độ</v>
          </cell>
          <cell r="D1233" t="str">
            <v>1cm ≤ đk gốc ≤ 3cm</v>
          </cell>
          <cell r="E1233">
            <v>6.666666666666667</v>
          </cell>
          <cell r="F1233" t="str">
            <v>cây</v>
          </cell>
          <cell r="G1233">
            <v>80000</v>
          </cell>
          <cell r="H1233">
            <v>0.25</v>
          </cell>
        </row>
        <row r="1234">
          <cell r="B1234" t="str">
            <v>Sanh35chauvmd</v>
          </cell>
          <cell r="C1234" t="str">
            <v>Cây sanh trồng trên chậu vượt mật độ</v>
          </cell>
          <cell r="D1234" t="str">
            <v>3cm &lt; đk gốc ≤ 5cm</v>
          </cell>
          <cell r="E1234">
            <v>6.666666666666667</v>
          </cell>
          <cell r="F1234" t="str">
            <v>cây</v>
          </cell>
          <cell r="G1234">
            <v>150000</v>
          </cell>
          <cell r="H1234">
            <v>0.25</v>
          </cell>
        </row>
        <row r="1235">
          <cell r="B1235" t="str">
            <v>Sanh510chauvmd</v>
          </cell>
          <cell r="C1235" t="str">
            <v>Cây sanh trồng trên chậu vượt mật độ</v>
          </cell>
          <cell r="D1235" t="str">
            <v>5cm &lt; đk gốc ≤ 10cm</v>
          </cell>
          <cell r="E1235">
            <v>6.666666666666667</v>
          </cell>
          <cell r="F1235" t="str">
            <v>cây</v>
          </cell>
          <cell r="G1235">
            <v>250000</v>
          </cell>
          <cell r="H1235">
            <v>0.25</v>
          </cell>
        </row>
        <row r="1236">
          <cell r="B1236" t="str">
            <v>Sanh1015chauvmd</v>
          </cell>
          <cell r="C1236" t="str">
            <v>Cây sanh trồng trên chậu vượt mật độ</v>
          </cell>
          <cell r="D1236" t="str">
            <v>10cm &lt; đk gốc ≤ 15cm</v>
          </cell>
          <cell r="E1236">
            <v>6.666666666666667</v>
          </cell>
          <cell r="F1236" t="str">
            <v>cây</v>
          </cell>
          <cell r="G1236">
            <v>350000</v>
          </cell>
          <cell r="H1236">
            <v>0.25</v>
          </cell>
        </row>
        <row r="1237">
          <cell r="B1237" t="str">
            <v>Sanh1520chauvmd</v>
          </cell>
          <cell r="C1237" t="str">
            <v>Cây sanh trồng trên chậu vượt mật độ</v>
          </cell>
          <cell r="D1237" t="str">
            <v>15cm &lt; đk gốc ≤ 20cm</v>
          </cell>
          <cell r="E1237">
            <v>6.666666666666667</v>
          </cell>
          <cell r="F1237" t="str">
            <v>cây</v>
          </cell>
          <cell r="G1237">
            <v>450000</v>
          </cell>
          <cell r="H1237">
            <v>0.25</v>
          </cell>
        </row>
        <row r="1238">
          <cell r="B1238" t="str">
            <v>Sanh2030chauvmd</v>
          </cell>
          <cell r="C1238" t="str">
            <v>Cây sanh trồng trên chậu vượt mật độ</v>
          </cell>
          <cell r="D1238" t="str">
            <v>20cm &lt; đk gốc ≤ 30cm</v>
          </cell>
          <cell r="E1238">
            <v>6.666666666666667</v>
          </cell>
          <cell r="F1238" t="str">
            <v>cây</v>
          </cell>
          <cell r="G1238">
            <v>550000</v>
          </cell>
          <cell r="H1238">
            <v>0.25</v>
          </cell>
        </row>
        <row r="1239">
          <cell r="B1239" t="str">
            <v>Sanh30+chauvmd</v>
          </cell>
          <cell r="C1239" t="str">
            <v>Cây sanh trồng trên chậu vượt mật độ</v>
          </cell>
          <cell r="D1239" t="str">
            <v>đk gốc trên 30cm</v>
          </cell>
          <cell r="E1239">
            <v>6.666666666666667</v>
          </cell>
          <cell r="F1239" t="str">
            <v>cây</v>
          </cell>
          <cell r="G1239">
            <v>650000</v>
          </cell>
          <cell r="H1239">
            <v>0.25</v>
          </cell>
        </row>
        <row r="1240">
          <cell r="B1240" t="str">
            <v>nguyetque01chau</v>
          </cell>
          <cell r="C1240" t="str">
            <v>Cây nguyệt quế trồng trên chậu</v>
          </cell>
          <cell r="D1240" t="str">
            <v>đk gốc &gt; 0,8cm; H &gt; 40cm</v>
          </cell>
          <cell r="E1240">
            <v>5</v>
          </cell>
          <cell r="F1240" t="str">
            <v>cây</v>
          </cell>
          <cell r="G1240">
            <v>100000</v>
          </cell>
          <cell r="H1240">
            <v>0.25</v>
          </cell>
        </row>
        <row r="1241">
          <cell r="B1241" t="str">
            <v>nguyetque24chau</v>
          </cell>
          <cell r="C1241" t="str">
            <v>Cây nguyệt quế trồng trên chậu</v>
          </cell>
          <cell r="D1241" t="str">
            <v>2cm &lt; đk gốc ≤ 4cm</v>
          </cell>
          <cell r="E1241">
            <v>5</v>
          </cell>
          <cell r="F1241" t="str">
            <v>cây</v>
          </cell>
          <cell r="G1241">
            <v>300000</v>
          </cell>
          <cell r="H1241">
            <v>0.25</v>
          </cell>
        </row>
        <row r="1242">
          <cell r="B1242" t="str">
            <v>nguyetque48chau</v>
          </cell>
          <cell r="C1242" t="str">
            <v>Cây nguyệt quế trồng trên chậu</v>
          </cell>
          <cell r="D1242" t="str">
            <v>4cm &lt; đk gốc ≤ 8cm</v>
          </cell>
          <cell r="E1242">
            <v>5</v>
          </cell>
          <cell r="F1242" t="str">
            <v>cây</v>
          </cell>
          <cell r="G1242">
            <v>600000</v>
          </cell>
          <cell r="H1242">
            <v>0.25</v>
          </cell>
        </row>
        <row r="1243">
          <cell r="B1243" t="str">
            <v>nguyetque8+chau</v>
          </cell>
          <cell r="C1243" t="str">
            <v>Cây nguyệt quế trồng trên chậu</v>
          </cell>
          <cell r="D1243" t="str">
            <v>đk gốc 8cm trở lên</v>
          </cell>
          <cell r="E1243">
            <v>5</v>
          </cell>
          <cell r="F1243" t="str">
            <v>cây</v>
          </cell>
          <cell r="G1243">
            <v>750000</v>
          </cell>
          <cell r="H1243">
            <v>0.5</v>
          </cell>
        </row>
        <row r="1244">
          <cell r="B1244" t="str">
            <v>nguyetque01chauvmd</v>
          </cell>
          <cell r="C1244" t="str">
            <v>Cây nguyệt quế trồng trên chậu vượt mật độ</v>
          </cell>
          <cell r="D1244" t="str">
            <v>đk gốc &gt; 0,8cm; H &gt; 40cm</v>
          </cell>
          <cell r="E1244">
            <v>5</v>
          </cell>
          <cell r="F1244" t="str">
            <v>cây</v>
          </cell>
          <cell r="G1244">
            <v>100000</v>
          </cell>
          <cell r="H1244">
            <v>0.25</v>
          </cell>
        </row>
        <row r="1245">
          <cell r="B1245" t="str">
            <v>nguyetque24chauvmd</v>
          </cell>
          <cell r="C1245" t="str">
            <v>Cây nguyệt quế trồng trên chậu vượt mật độ</v>
          </cell>
          <cell r="D1245" t="str">
            <v>2cm &lt; đk gốc ≤ 4cm</v>
          </cell>
          <cell r="E1245">
            <v>5</v>
          </cell>
          <cell r="F1245" t="str">
            <v>cây</v>
          </cell>
          <cell r="G1245">
            <v>300000</v>
          </cell>
          <cell r="H1245">
            <v>0.25</v>
          </cell>
        </row>
        <row r="1246">
          <cell r="B1246" t="str">
            <v>nguyetque48chauvmd</v>
          </cell>
          <cell r="C1246" t="str">
            <v>Cây nguyệt quế trồng trên chậu vượt mật độ</v>
          </cell>
          <cell r="D1246" t="str">
            <v>4cm &lt; đk gốc ≤ 8cm</v>
          </cell>
          <cell r="E1246">
            <v>5</v>
          </cell>
          <cell r="F1246" t="str">
            <v>cây</v>
          </cell>
          <cell r="G1246">
            <v>600000</v>
          </cell>
          <cell r="H1246">
            <v>0.25</v>
          </cell>
        </row>
        <row r="1247">
          <cell r="B1247" t="str">
            <v>nguyetque8+chauvmd</v>
          </cell>
          <cell r="C1247" t="str">
            <v>Cây nguyệt quế trồng trên chậu vượt mật độ</v>
          </cell>
          <cell r="D1247" t="str">
            <v>đk gốc 8cm trở lên</v>
          </cell>
          <cell r="E1247">
            <v>5</v>
          </cell>
          <cell r="F1247" t="str">
            <v>cây</v>
          </cell>
          <cell r="G1247">
            <v>750000</v>
          </cell>
          <cell r="H1247">
            <v>0.25</v>
          </cell>
        </row>
        <row r="1248">
          <cell r="B1248" t="str">
            <v>hoahong01chau</v>
          </cell>
          <cell r="C1248" t="str">
            <v>Cây hoa hồng trồng trên chậu</v>
          </cell>
          <cell r="D1248" t="str">
            <v>đk gốc &gt; 0,8cm; H &gt; 40cm</v>
          </cell>
          <cell r="E1248">
            <v>5</v>
          </cell>
          <cell r="F1248" t="str">
            <v>cây</v>
          </cell>
          <cell r="G1248">
            <v>100000</v>
          </cell>
          <cell r="H1248">
            <v>0.25</v>
          </cell>
        </row>
        <row r="1249">
          <cell r="B1249" t="str">
            <v>hoahong24chau</v>
          </cell>
          <cell r="C1249" t="str">
            <v>Cây hoa hồng trồng trên chậu</v>
          </cell>
          <cell r="D1249" t="str">
            <v>2cm &lt; đk gốc ≤ 4cm</v>
          </cell>
          <cell r="E1249">
            <v>5</v>
          </cell>
          <cell r="F1249" t="str">
            <v>cây</v>
          </cell>
          <cell r="G1249">
            <v>300000</v>
          </cell>
          <cell r="H1249">
            <v>0.25</v>
          </cell>
        </row>
        <row r="1250">
          <cell r="B1250" t="str">
            <v>hoahong48chau</v>
          </cell>
          <cell r="C1250" t="str">
            <v>Cây hoa hồng trồng trên chậu</v>
          </cell>
          <cell r="D1250" t="str">
            <v>4cm &lt; đk gốc ≤ 8cm</v>
          </cell>
          <cell r="E1250">
            <v>5</v>
          </cell>
          <cell r="F1250" t="str">
            <v>cây</v>
          </cell>
          <cell r="G1250">
            <v>600000</v>
          </cell>
          <cell r="H1250">
            <v>0.25</v>
          </cell>
        </row>
        <row r="1251">
          <cell r="B1251" t="str">
            <v>hoahong8+chau</v>
          </cell>
          <cell r="C1251" t="str">
            <v>Cây hoa hồng trồng trên chậu</v>
          </cell>
          <cell r="D1251" t="str">
            <v>đk gốc 8cm trở lên</v>
          </cell>
          <cell r="E1251">
            <v>5</v>
          </cell>
          <cell r="F1251" t="str">
            <v>cây</v>
          </cell>
          <cell r="G1251">
            <v>750000</v>
          </cell>
          <cell r="H1251">
            <v>0.5</v>
          </cell>
        </row>
        <row r="1252">
          <cell r="B1252" t="str">
            <v>hoahong01chauvmd</v>
          </cell>
          <cell r="C1252" t="str">
            <v>Cây hoa hồng trồng trên chậu vượt mật độ</v>
          </cell>
          <cell r="D1252" t="str">
            <v>đk gốc &gt; 0,8cm; H &gt; 40cm</v>
          </cell>
          <cell r="E1252">
            <v>5</v>
          </cell>
          <cell r="F1252" t="str">
            <v>cây</v>
          </cell>
          <cell r="G1252">
            <v>100000</v>
          </cell>
          <cell r="H1252">
            <v>0.25</v>
          </cell>
        </row>
        <row r="1253">
          <cell r="B1253" t="str">
            <v>hoahong24chauvmd</v>
          </cell>
          <cell r="C1253" t="str">
            <v>Cây hoa hồng trồng trên chậu vượt mật độ</v>
          </cell>
          <cell r="D1253" t="str">
            <v>2cm &lt; đk gốc ≤ 4cm</v>
          </cell>
          <cell r="E1253">
            <v>5</v>
          </cell>
          <cell r="F1253" t="str">
            <v>cây</v>
          </cell>
          <cell r="G1253">
            <v>300000</v>
          </cell>
          <cell r="H1253">
            <v>0.25</v>
          </cell>
        </row>
        <row r="1254">
          <cell r="B1254" t="str">
            <v>hoahong48chauvmd</v>
          </cell>
          <cell r="C1254" t="str">
            <v>Cây hoa hồng trồng trên chậu vượt mật độ</v>
          </cell>
          <cell r="D1254" t="str">
            <v>4cm &lt; đk gốc ≤ 8cm</v>
          </cell>
          <cell r="E1254">
            <v>5</v>
          </cell>
          <cell r="F1254" t="str">
            <v>cây</v>
          </cell>
          <cell r="G1254">
            <v>600000</v>
          </cell>
          <cell r="H1254">
            <v>0.25</v>
          </cell>
        </row>
        <row r="1255">
          <cell r="B1255" t="str">
            <v>hoahong8+chauvmd</v>
          </cell>
          <cell r="C1255" t="str">
            <v>Cây hoa hồng trồng trên chậu vượt mật độ</v>
          </cell>
          <cell r="D1255" t="str">
            <v>đk gốc 8cm trở lên</v>
          </cell>
          <cell r="E1255">
            <v>5</v>
          </cell>
          <cell r="F1255" t="str">
            <v>cây</v>
          </cell>
          <cell r="G1255">
            <v>750000</v>
          </cell>
          <cell r="H1255">
            <v>0.25</v>
          </cell>
        </row>
        <row r="1256">
          <cell r="C1256" t="str">
            <v>Lợn</v>
          </cell>
        </row>
        <row r="1257">
          <cell r="B1257" t="str">
            <v>Lợn</v>
          </cell>
          <cell r="C1257" t="str">
            <v xml:space="preserve">Lợn </v>
          </cell>
          <cell r="F1257" t="str">
            <v>đơn vị vật nuôi</v>
          </cell>
          <cell r="G1257">
            <v>600000</v>
          </cell>
          <cell r="H1257">
            <v>1</v>
          </cell>
        </row>
        <row r="1258">
          <cell r="B1258" t="str">
            <v>mai01chau</v>
          </cell>
          <cell r="C1258" t="str">
            <v>Cây mai</v>
          </cell>
          <cell r="D1258" t="str">
            <v>đk gốc &gt; 0,6cm; H &gt; 30cm</v>
          </cell>
          <cell r="E1258">
            <v>5</v>
          </cell>
          <cell r="F1258" t="str">
            <v>cây</v>
          </cell>
          <cell r="G1258">
            <v>50000</v>
          </cell>
          <cell r="H1258">
            <v>0.25</v>
          </cell>
        </row>
        <row r="1259">
          <cell r="B1259" t="str">
            <v>mai12tchau</v>
          </cell>
          <cell r="C1259" t="str">
            <v>Cây mai</v>
          </cell>
          <cell r="D1259" t="str">
            <v>1cm &lt; đk gốc ≤ 2cm; H ≤ 50cm</v>
          </cell>
          <cell r="E1259">
            <v>5</v>
          </cell>
          <cell r="F1259" t="str">
            <v>cây</v>
          </cell>
          <cell r="G1259">
            <v>70000</v>
          </cell>
          <cell r="H1259">
            <v>0.25</v>
          </cell>
        </row>
        <row r="1260">
          <cell r="B1260" t="str">
            <v>mai12cchau</v>
          </cell>
          <cell r="C1260" t="str">
            <v>Cây mai</v>
          </cell>
          <cell r="D1260" t="str">
            <v>1cm &lt; đk gốc ≤ 2cm; H &gt; 50cm</v>
          </cell>
          <cell r="E1260">
            <v>5</v>
          </cell>
          <cell r="F1260" t="str">
            <v>cây</v>
          </cell>
          <cell r="G1260">
            <v>100000</v>
          </cell>
          <cell r="H1260">
            <v>0.25</v>
          </cell>
        </row>
        <row r="1261">
          <cell r="B1261" t="str">
            <v>mai23tchau</v>
          </cell>
          <cell r="C1261" t="str">
            <v>Cây mai</v>
          </cell>
          <cell r="D1261" t="str">
            <v>2cm &lt; đk gốc ≤ 3cm; H ≤ 100cm</v>
          </cell>
          <cell r="E1261">
            <v>5</v>
          </cell>
          <cell r="F1261" t="str">
            <v>cây</v>
          </cell>
          <cell r="G1261">
            <v>120000</v>
          </cell>
          <cell r="H1261">
            <v>0.25</v>
          </cell>
        </row>
        <row r="1262">
          <cell r="B1262" t="str">
            <v>mai23cchau</v>
          </cell>
          <cell r="C1262" t="str">
            <v>Cây mai</v>
          </cell>
          <cell r="D1262" t="str">
            <v>2cm &lt; đk gốc ≤ 3cm; H &gt; 100cm</v>
          </cell>
          <cell r="E1262">
            <v>5</v>
          </cell>
          <cell r="F1262" t="str">
            <v>cây</v>
          </cell>
          <cell r="G1262">
            <v>150000</v>
          </cell>
          <cell r="H1262">
            <v>0.25</v>
          </cell>
        </row>
        <row r="1263">
          <cell r="B1263" t="str">
            <v>mai34tchau</v>
          </cell>
          <cell r="C1263" t="str">
            <v>Cây mai</v>
          </cell>
          <cell r="D1263" t="str">
            <v>3cm &lt; đk gốc ≤ 4cm; H ≤ 150cm</v>
          </cell>
          <cell r="E1263">
            <v>5</v>
          </cell>
          <cell r="F1263" t="str">
            <v>cây</v>
          </cell>
          <cell r="G1263">
            <v>200000</v>
          </cell>
          <cell r="H1263">
            <v>0.25</v>
          </cell>
        </row>
        <row r="1264">
          <cell r="B1264" t="str">
            <v>mai34cchau</v>
          </cell>
          <cell r="C1264" t="str">
            <v>Cây mai</v>
          </cell>
          <cell r="D1264" t="str">
            <v>3cm &lt; đk gốc ≤ 4cm; H &gt; 150cm</v>
          </cell>
          <cell r="E1264">
            <v>5</v>
          </cell>
          <cell r="F1264" t="str">
            <v>cây</v>
          </cell>
          <cell r="G1264">
            <v>250000</v>
          </cell>
          <cell r="H1264">
            <v>0.25</v>
          </cell>
        </row>
        <row r="1265">
          <cell r="B1265" t="str">
            <v>mai45tchau</v>
          </cell>
          <cell r="C1265" t="str">
            <v>Cây mai</v>
          </cell>
          <cell r="D1265" t="str">
            <v>4cm &lt; đk gốc ≤ 5cm; H ≤ 150cm</v>
          </cell>
          <cell r="E1265">
            <v>5</v>
          </cell>
          <cell r="F1265" t="str">
            <v>cây</v>
          </cell>
          <cell r="G1265">
            <v>300000</v>
          </cell>
          <cell r="H1265">
            <v>0.25</v>
          </cell>
        </row>
        <row r="1266">
          <cell r="B1266" t="str">
            <v>mai45cchau</v>
          </cell>
          <cell r="C1266" t="str">
            <v>Cây mai</v>
          </cell>
          <cell r="D1266" t="str">
            <v>4cm &lt; đk gốc ≤ 5cm; H &gt; 150cm</v>
          </cell>
          <cell r="E1266">
            <v>5</v>
          </cell>
          <cell r="F1266" t="str">
            <v>cây</v>
          </cell>
          <cell r="G1266">
            <v>320000</v>
          </cell>
          <cell r="H1266">
            <v>0.25</v>
          </cell>
        </row>
        <row r="1267">
          <cell r="B1267" t="str">
            <v>mai510chau</v>
          </cell>
          <cell r="C1267" t="str">
            <v>Cây mai</v>
          </cell>
          <cell r="D1267" t="str">
            <v>5cm &lt; đk gốc ≤ 10cm; H &gt; 200cm</v>
          </cell>
          <cell r="E1267">
            <v>5</v>
          </cell>
          <cell r="F1267" t="str">
            <v>cây</v>
          </cell>
          <cell r="G1267">
            <v>350000</v>
          </cell>
          <cell r="H1267">
            <v>0.5</v>
          </cell>
        </row>
        <row r="1268">
          <cell r="B1268" t="str">
            <v>mai10+chau</v>
          </cell>
          <cell r="C1268" t="str">
            <v>Cây mai</v>
          </cell>
          <cell r="D1268" t="str">
            <v>đk gốc 10cm trở lên</v>
          </cell>
          <cell r="E1268">
            <v>5</v>
          </cell>
          <cell r="F1268" t="str">
            <v>cây</v>
          </cell>
          <cell r="G1268">
            <v>400000</v>
          </cell>
          <cell r="H1268">
            <v>0.5</v>
          </cell>
        </row>
        <row r="1269">
          <cell r="B1269" t="str">
            <v>mai01vmdchau</v>
          </cell>
          <cell r="C1269" t="str">
            <v>Cây mai vượt mật độ</v>
          </cell>
          <cell r="D1269" t="str">
            <v>đk gốc &gt; 0,6cm; H &gt; 30cm</v>
          </cell>
          <cell r="E1269">
            <v>5</v>
          </cell>
          <cell r="F1269" t="str">
            <v>cây</v>
          </cell>
          <cell r="G1269">
            <v>50000</v>
          </cell>
          <cell r="H1269">
            <v>0.25</v>
          </cell>
        </row>
        <row r="1270">
          <cell r="B1270" t="str">
            <v>mai12tvmdchau</v>
          </cell>
          <cell r="C1270" t="str">
            <v>Cây mai vượt mật độ</v>
          </cell>
          <cell r="D1270" t="str">
            <v>1cm &lt; đk gốc ≤ 2cm; H ≤ 50cm</v>
          </cell>
          <cell r="E1270">
            <v>5</v>
          </cell>
          <cell r="F1270" t="str">
            <v>cây</v>
          </cell>
          <cell r="G1270">
            <v>70000</v>
          </cell>
          <cell r="H1270">
            <v>0.25</v>
          </cell>
        </row>
        <row r="1271">
          <cell r="B1271" t="str">
            <v>mai12cvmdchau</v>
          </cell>
          <cell r="C1271" t="str">
            <v>Cây mai vượt mật độ</v>
          </cell>
          <cell r="D1271" t="str">
            <v>1cm &lt; đk gốc ≤ 2cm; H &gt; 50cm</v>
          </cell>
          <cell r="E1271">
            <v>5</v>
          </cell>
          <cell r="F1271" t="str">
            <v>cây</v>
          </cell>
          <cell r="G1271">
            <v>100000</v>
          </cell>
          <cell r="H1271">
            <v>0.25</v>
          </cell>
        </row>
        <row r="1272">
          <cell r="B1272" t="str">
            <v>mai23tvmdchau</v>
          </cell>
          <cell r="C1272" t="str">
            <v>Cây mai vượt mật độ</v>
          </cell>
          <cell r="D1272" t="str">
            <v>2cm &lt; đk gốc ≤ 3cm; H ≤ 100cm</v>
          </cell>
          <cell r="E1272">
            <v>5</v>
          </cell>
          <cell r="F1272" t="str">
            <v>cây</v>
          </cell>
          <cell r="G1272">
            <v>120000</v>
          </cell>
          <cell r="H1272">
            <v>0.25</v>
          </cell>
        </row>
        <row r="1273">
          <cell r="B1273" t="str">
            <v>mai23cvmdchau</v>
          </cell>
          <cell r="C1273" t="str">
            <v>Cây mai vượt mật độ</v>
          </cell>
          <cell r="D1273" t="str">
            <v>2cm &lt; đk gốc ≤ 3cm; H &gt; 100cm</v>
          </cell>
          <cell r="E1273">
            <v>5</v>
          </cell>
          <cell r="F1273" t="str">
            <v>cây</v>
          </cell>
          <cell r="G1273">
            <v>150000</v>
          </cell>
          <cell r="H1273">
            <v>0.25</v>
          </cell>
        </row>
        <row r="1274">
          <cell r="B1274" t="str">
            <v>mai34tvmdchau</v>
          </cell>
          <cell r="C1274" t="str">
            <v>Cây mai vượt mật độ</v>
          </cell>
          <cell r="D1274" t="str">
            <v>3cm &lt; đk gốc ≤ 4cm; H ≤ 150cm</v>
          </cell>
          <cell r="E1274">
            <v>5</v>
          </cell>
          <cell r="F1274" t="str">
            <v>cây</v>
          </cell>
          <cell r="G1274">
            <v>200000</v>
          </cell>
          <cell r="H1274">
            <v>0.25</v>
          </cell>
        </row>
        <row r="1275">
          <cell r="B1275" t="str">
            <v>mai34cvmdchau</v>
          </cell>
          <cell r="C1275" t="str">
            <v>Cây mai vượt mật độ</v>
          </cell>
          <cell r="D1275" t="str">
            <v>3cm &lt; đk gốc ≤ 4cm; H &gt; 150cm</v>
          </cell>
          <cell r="E1275">
            <v>5</v>
          </cell>
          <cell r="F1275" t="str">
            <v>cây</v>
          </cell>
          <cell r="G1275">
            <v>250000</v>
          </cell>
          <cell r="H1275">
            <v>0.25</v>
          </cell>
        </row>
        <row r="1276">
          <cell r="B1276" t="str">
            <v>mai45tvmdchau</v>
          </cell>
          <cell r="C1276" t="str">
            <v>Cây mai vượt mật độ</v>
          </cell>
          <cell r="D1276" t="str">
            <v>4cm &lt; đk gốc ≤ 5cm; H ≤ 150cm</v>
          </cell>
          <cell r="E1276">
            <v>5</v>
          </cell>
          <cell r="F1276" t="str">
            <v>cây</v>
          </cell>
          <cell r="G1276">
            <v>300000</v>
          </cell>
          <cell r="H1276">
            <v>0.25</v>
          </cell>
        </row>
        <row r="1277">
          <cell r="B1277" t="str">
            <v>mai45cvmdchau</v>
          </cell>
          <cell r="C1277" t="str">
            <v>Cây mai vượt mật độ</v>
          </cell>
          <cell r="D1277" t="str">
            <v>4cm &lt; đk gốc ≤ 5cm; H &gt; 150cm</v>
          </cell>
          <cell r="E1277">
            <v>5</v>
          </cell>
          <cell r="F1277" t="str">
            <v>cây</v>
          </cell>
          <cell r="G1277">
            <v>320000</v>
          </cell>
          <cell r="H1277">
            <v>0.25</v>
          </cell>
        </row>
        <row r="1278">
          <cell r="B1278" t="str">
            <v>mai510vmdchau</v>
          </cell>
          <cell r="C1278" t="str">
            <v>Cây mai vượt mật độ</v>
          </cell>
          <cell r="D1278" t="str">
            <v>5cm &lt; đk gốc ≤ 10cm; H &gt; 200cm</v>
          </cell>
          <cell r="E1278">
            <v>5</v>
          </cell>
          <cell r="F1278" t="str">
            <v>cây</v>
          </cell>
          <cell r="G1278">
            <v>350000</v>
          </cell>
          <cell r="H1278">
            <v>0.25</v>
          </cell>
        </row>
        <row r="1279">
          <cell r="B1279" t="str">
            <v>mai10+vmdchau</v>
          </cell>
          <cell r="C1279" t="str">
            <v>Cây mai vượt mật độ</v>
          </cell>
          <cell r="D1279" t="str">
            <v>đk gốc 10cm trở lên</v>
          </cell>
          <cell r="E1279">
            <v>5</v>
          </cell>
          <cell r="F1279" t="str">
            <v>cây</v>
          </cell>
          <cell r="G1279">
            <v>400000</v>
          </cell>
          <cell r="H1279">
            <v>0.25</v>
          </cell>
        </row>
        <row r="1280">
          <cell r="B1280" t="str">
            <v>Chanh02chau</v>
          </cell>
          <cell r="C1280" t="str">
            <v>Cây chanh trồng trên chậu</v>
          </cell>
          <cell r="D1280" t="str">
            <v>đk gốc &lt; 2cm</v>
          </cell>
          <cell r="E1280">
            <v>6.25</v>
          </cell>
          <cell r="F1280" t="str">
            <v>cây</v>
          </cell>
          <cell r="G1280">
            <v>70000</v>
          </cell>
          <cell r="H1280">
            <v>0.25</v>
          </cell>
        </row>
        <row r="1281">
          <cell r="B1281" t="str">
            <v>Chanh27chau</v>
          </cell>
          <cell r="C1281" t="str">
            <v>Cây chanh trồng trên chậu</v>
          </cell>
          <cell r="D1281" t="str">
            <v>2cm ≤ đk gốc &lt; 7cm</v>
          </cell>
          <cell r="E1281">
            <v>6.25</v>
          </cell>
          <cell r="F1281" t="str">
            <v>cây</v>
          </cell>
          <cell r="G1281">
            <v>200000</v>
          </cell>
          <cell r="H1281">
            <v>0.25</v>
          </cell>
        </row>
        <row r="1282">
          <cell r="B1282" t="str">
            <v>Chanh712chau</v>
          </cell>
          <cell r="C1282" t="str">
            <v>Cây chanh trồng trên chậu</v>
          </cell>
          <cell r="D1282" t="str">
            <v>7cm ≤ đk gốc &lt; 12cm</v>
          </cell>
          <cell r="E1282">
            <v>6.25</v>
          </cell>
          <cell r="F1282" t="str">
            <v>cây</v>
          </cell>
          <cell r="G1282">
            <v>500000</v>
          </cell>
          <cell r="H1282">
            <v>0.5</v>
          </cell>
        </row>
        <row r="1283">
          <cell r="B1283" t="str">
            <v>Chanh1220chau</v>
          </cell>
          <cell r="C1283" t="str">
            <v>Cây chanh trồng trên chậu</v>
          </cell>
          <cell r="D1283" t="str">
            <v>12cm ≤ đk gốc ≤ 20cm</v>
          </cell>
          <cell r="E1283">
            <v>6.25</v>
          </cell>
          <cell r="F1283" t="str">
            <v>cây</v>
          </cell>
          <cell r="G1283">
            <v>700000</v>
          </cell>
          <cell r="H1283">
            <v>0.5</v>
          </cell>
        </row>
        <row r="1284">
          <cell r="B1284" t="str">
            <v>Chanh20+chau</v>
          </cell>
          <cell r="C1284" t="str">
            <v>Cây chanh trồng trên chậu</v>
          </cell>
          <cell r="D1284" t="str">
            <v>đk gốc 20cm trở lên</v>
          </cell>
          <cell r="E1284">
            <v>6.25</v>
          </cell>
          <cell r="F1284" t="str">
            <v>cây</v>
          </cell>
          <cell r="G1284">
            <v>1000000</v>
          </cell>
          <cell r="H1284">
            <v>0.5</v>
          </cell>
        </row>
        <row r="1285">
          <cell r="B1285" t="str">
            <v>Chanh02vmdchau</v>
          </cell>
          <cell r="C1285" t="str">
            <v>Cây chanh vượt mật độ trồng trên chậu</v>
          </cell>
          <cell r="D1285" t="str">
            <v>đk gốc &lt; 2cm</v>
          </cell>
          <cell r="E1285">
            <v>6.25</v>
          </cell>
          <cell r="F1285" t="str">
            <v>cây</v>
          </cell>
          <cell r="G1285">
            <v>70000</v>
          </cell>
          <cell r="H1285">
            <v>0.25</v>
          </cell>
        </row>
        <row r="1286">
          <cell r="B1286" t="str">
            <v>Chanh27vmdchau</v>
          </cell>
          <cell r="C1286" t="str">
            <v>Cây chanh vượt mật độ trồng trên chậu</v>
          </cell>
          <cell r="D1286" t="str">
            <v>2cm ≤ đk gốc &lt; 7cm</v>
          </cell>
          <cell r="E1286">
            <v>6.25</v>
          </cell>
          <cell r="F1286" t="str">
            <v>cây</v>
          </cell>
          <cell r="G1286">
            <v>200000</v>
          </cell>
          <cell r="H1286">
            <v>0.25</v>
          </cell>
        </row>
        <row r="1287">
          <cell r="B1287" t="str">
            <v>Chanh712vmdchau</v>
          </cell>
          <cell r="C1287" t="str">
            <v>Cây chanh vượt mật độ trồng trên chậu</v>
          </cell>
          <cell r="D1287" t="str">
            <v>7cm ≤ đk gốc &lt; 12cm</v>
          </cell>
          <cell r="E1287">
            <v>6.25</v>
          </cell>
          <cell r="F1287" t="str">
            <v>cây</v>
          </cell>
          <cell r="G1287">
            <v>500000</v>
          </cell>
          <cell r="H1287">
            <v>0.25</v>
          </cell>
        </row>
        <row r="1288">
          <cell r="B1288" t="str">
            <v>Chanh1220vmdchau</v>
          </cell>
          <cell r="C1288" t="str">
            <v>Cây chanh vượt mật độ trồng trên chậu</v>
          </cell>
          <cell r="D1288" t="str">
            <v>12cm ≤ đk gốc ≤ 20cm</v>
          </cell>
          <cell r="E1288">
            <v>6.25</v>
          </cell>
          <cell r="F1288" t="str">
            <v>cây</v>
          </cell>
          <cell r="G1288">
            <v>700000</v>
          </cell>
          <cell r="H1288">
            <v>0.25</v>
          </cell>
        </row>
        <row r="1289">
          <cell r="B1289" t="str">
            <v>Chanh20+vmdchau</v>
          </cell>
          <cell r="C1289" t="str">
            <v>Cây chanh vượt mật độ trồng trên chậu</v>
          </cell>
          <cell r="D1289" t="str">
            <v>đk gốc 20cm trở lên</v>
          </cell>
          <cell r="E1289">
            <v>6.25</v>
          </cell>
          <cell r="F1289" t="str">
            <v>cây</v>
          </cell>
          <cell r="G1289">
            <v>1000000</v>
          </cell>
          <cell r="H1289">
            <v>0.25</v>
          </cell>
        </row>
        <row r="1475">
          <cell r="B1475" t="str">
            <v>Quất01chau</v>
          </cell>
          <cell r="C1475" t="str">
            <v>Cây quất trồng trên chậu</v>
          </cell>
          <cell r="D1475" t="str">
            <v>cây giống</v>
          </cell>
          <cell r="F1475" t="str">
            <v>m2</v>
          </cell>
          <cell r="G1475">
            <v>70000</v>
          </cell>
          <cell r="H1475">
            <v>0.5</v>
          </cell>
          <cell r="I1475">
            <v>70000</v>
          </cell>
          <cell r="J1475" t="str">
            <v>ĐG 01.02.2025</v>
          </cell>
        </row>
        <row r="1476">
          <cell r="B1476" t="str">
            <v>Quất27chau</v>
          </cell>
          <cell r="C1476" t="str">
            <v>Cây quất trồng trên chậu</v>
          </cell>
          <cell r="D1476" t="str">
            <v>2cm ≤ đk gốc &lt; 7cm</v>
          </cell>
          <cell r="E1476">
            <v>3.8461538461538463</v>
          </cell>
          <cell r="F1476" t="str">
            <v>cây</v>
          </cell>
          <cell r="G1476">
            <v>200000</v>
          </cell>
          <cell r="H1476">
            <v>0.5</v>
          </cell>
          <cell r="I1476">
            <v>26000</v>
          </cell>
          <cell r="J1476" t="str">
            <v>ĐG 01.02.2025</v>
          </cell>
        </row>
        <row r="1477">
          <cell r="B1477" t="str">
            <v>Quất712chau</v>
          </cell>
          <cell r="C1477" t="str">
            <v>Cây quất trồng trên chậu</v>
          </cell>
          <cell r="D1477" t="str">
            <v>7cm ≤ đk gốc &lt; 12cm</v>
          </cell>
          <cell r="E1477">
            <v>3.8461538461538463</v>
          </cell>
          <cell r="F1477" t="str">
            <v>cây</v>
          </cell>
          <cell r="G1477">
            <v>500000</v>
          </cell>
          <cell r="H1477">
            <v>0.5</v>
          </cell>
          <cell r="I1477">
            <v>65000</v>
          </cell>
          <cell r="J1477" t="str">
            <v>ĐG 01.02.2025</v>
          </cell>
        </row>
        <row r="1478">
          <cell r="B1478" t="str">
            <v>Quất1220chau</v>
          </cell>
          <cell r="C1478" t="str">
            <v>Cây quất trồng trên chậu</v>
          </cell>
          <cell r="D1478" t="str">
            <v>12cm ≤ đk gốc &lt; 20cm</v>
          </cell>
          <cell r="E1478">
            <v>3.8461538461538463</v>
          </cell>
          <cell r="F1478" t="str">
            <v>cây</v>
          </cell>
          <cell r="G1478">
            <v>700000</v>
          </cell>
          <cell r="H1478">
            <v>0.5</v>
          </cell>
          <cell r="I1478">
            <v>91000</v>
          </cell>
          <cell r="J1478" t="str">
            <v>ĐG 01.02.2025</v>
          </cell>
        </row>
        <row r="1479">
          <cell r="B1479" t="str">
            <v>Quất20+chau</v>
          </cell>
          <cell r="C1479" t="str">
            <v>Cây quất trồng trên chậu</v>
          </cell>
          <cell r="D1479" t="str">
            <v>đk gốc từ 20cm trở lên</v>
          </cell>
          <cell r="E1479">
            <v>3.8461538461538463</v>
          </cell>
          <cell r="F1479" t="str">
            <v>cây</v>
          </cell>
          <cell r="G1479">
            <v>1000000</v>
          </cell>
          <cell r="H1479">
            <v>0.5</v>
          </cell>
          <cell r="I1479">
            <v>130000</v>
          </cell>
          <cell r="J1479" t="str">
            <v>ĐG 01.02.2025</v>
          </cell>
        </row>
        <row r="1480">
          <cell r="B1480" t="str">
            <v>Quất01vmdchau</v>
          </cell>
          <cell r="C1480" t="str">
            <v>Cây quất trồng trên chậu  vượt mật độ</v>
          </cell>
          <cell r="D1480" t="str">
            <v>cây giống</v>
          </cell>
          <cell r="F1480" t="str">
            <v>m2</v>
          </cell>
          <cell r="G1480">
            <v>70000</v>
          </cell>
          <cell r="H1480">
            <v>0.25</v>
          </cell>
          <cell r="I1480" t="e">
            <v>#DIV/0!</v>
          </cell>
          <cell r="J1480" t="str">
            <v>ĐG 01.02.2025</v>
          </cell>
        </row>
        <row r="1481">
          <cell r="B1481" t="str">
            <v>Quất27vmdchau</v>
          </cell>
          <cell r="C1481" t="str">
            <v>Cây quất trồng trên chậu vượt mật độ</v>
          </cell>
          <cell r="D1481" t="str">
            <v>2cm ≤ đk gốc &lt; 7cm</v>
          </cell>
          <cell r="E1481">
            <v>3.8461538461538463</v>
          </cell>
          <cell r="F1481" t="str">
            <v>cây</v>
          </cell>
          <cell r="G1481">
            <v>200000</v>
          </cell>
          <cell r="H1481">
            <v>0.25</v>
          </cell>
          <cell r="I1481">
            <v>13000</v>
          </cell>
          <cell r="J1481" t="str">
            <v>ĐG 01.02.2025</v>
          </cell>
        </row>
        <row r="1482">
          <cell r="B1482" t="str">
            <v>Quất712vmdchau</v>
          </cell>
          <cell r="C1482" t="str">
            <v>Cây quất trồng trên chậu vượt mật độ</v>
          </cell>
          <cell r="D1482" t="str">
            <v>7cm ≤ đk gốc &lt; 12cm</v>
          </cell>
          <cell r="E1482">
            <v>3.8461538461538463</v>
          </cell>
          <cell r="F1482" t="str">
            <v>cây</v>
          </cell>
          <cell r="G1482">
            <v>500000</v>
          </cell>
          <cell r="H1482">
            <v>0.25</v>
          </cell>
          <cell r="I1482">
            <v>32500</v>
          </cell>
          <cell r="J1482" t="str">
            <v>ĐG 01.02.2025</v>
          </cell>
        </row>
        <row r="1483">
          <cell r="B1483" t="str">
            <v>Quất1220vmdchau</v>
          </cell>
          <cell r="C1483" t="str">
            <v>Cây quất trồng trên chậu vượt mật độ</v>
          </cell>
          <cell r="D1483" t="str">
            <v>12cm ≤ đk gốc &lt; 20cm</v>
          </cell>
          <cell r="E1483">
            <v>3.8461538461538463</v>
          </cell>
          <cell r="F1483" t="str">
            <v>cây</v>
          </cell>
          <cell r="G1483">
            <v>700000</v>
          </cell>
          <cell r="H1483">
            <v>0.25</v>
          </cell>
          <cell r="I1483">
            <v>45500</v>
          </cell>
          <cell r="J1483" t="str">
            <v>ĐG 01.02.2025</v>
          </cell>
        </row>
        <row r="1484">
          <cell r="B1484" t="str">
            <v>Quất20+vmdchau</v>
          </cell>
          <cell r="C1484" t="str">
            <v>Cây quất trồng trên chậu vượt mật độ</v>
          </cell>
          <cell r="D1484" t="str">
            <v>đk gốc từ 20cm trở lên</v>
          </cell>
          <cell r="E1484">
            <v>3.8461538461538463</v>
          </cell>
          <cell r="F1484" t="str">
            <v>cây</v>
          </cell>
          <cell r="G1484">
            <v>1000000</v>
          </cell>
          <cell r="H1484">
            <v>0.25</v>
          </cell>
          <cell r="I1484">
            <v>65000</v>
          </cell>
          <cell r="J1484" t="str">
            <v>ĐG 01.02.2025</v>
          </cell>
        </row>
        <row r="1485">
          <cell r="B1485" t="str">
            <v>Bưởi01chau</v>
          </cell>
          <cell r="C1485" t="str">
            <v>Cây bưởi trồng trên chậu</v>
          </cell>
          <cell r="D1485" t="str">
            <v>cây giống</v>
          </cell>
          <cell r="F1485" t="str">
            <v>m2</v>
          </cell>
          <cell r="G1485">
            <v>110000</v>
          </cell>
          <cell r="H1485">
            <v>0.5</v>
          </cell>
          <cell r="I1485" t="e">
            <v>#DIV/0!</v>
          </cell>
          <cell r="J1485" t="str">
            <v>ĐG 01.02.2025</v>
          </cell>
        </row>
        <row r="1486">
          <cell r="B1486" t="str">
            <v>Bưởi27chau</v>
          </cell>
          <cell r="C1486" t="str">
            <v>Cây bưởi trồng trên chậu</v>
          </cell>
          <cell r="D1486" t="str">
            <v>2cm ≤ đk gốc &lt; 7cm</v>
          </cell>
          <cell r="E1486">
            <v>20</v>
          </cell>
          <cell r="F1486" t="str">
            <v>cây</v>
          </cell>
          <cell r="G1486">
            <v>330000</v>
          </cell>
          <cell r="H1486">
            <v>0.5</v>
          </cell>
          <cell r="I1486">
            <v>8250</v>
          </cell>
          <cell r="J1486" t="str">
            <v>ĐG 01.02.2025</v>
          </cell>
        </row>
        <row r="1487">
          <cell r="B1487" t="str">
            <v>Bưởi712chau</v>
          </cell>
          <cell r="C1487" t="str">
            <v>Cây bưởi trồng trên chậu</v>
          </cell>
          <cell r="D1487" t="str">
            <v>7cm ≤ đk gốc &lt; 12cm</v>
          </cell>
          <cell r="E1487">
            <v>20</v>
          </cell>
          <cell r="F1487" t="str">
            <v>cây</v>
          </cell>
          <cell r="G1487">
            <v>1380000</v>
          </cell>
          <cell r="H1487">
            <v>0.5</v>
          </cell>
          <cell r="I1487">
            <v>34500</v>
          </cell>
          <cell r="J1487" t="str">
            <v>ĐG 01.02.2025</v>
          </cell>
        </row>
        <row r="1488">
          <cell r="B1488" t="str">
            <v>Bưởi1220chau</v>
          </cell>
          <cell r="C1488" t="str">
            <v>Cây bưởi trồng trên chậu</v>
          </cell>
          <cell r="D1488" t="str">
            <v>12cm ≤ đk gốc &lt; 20cm</v>
          </cell>
          <cell r="E1488">
            <v>20</v>
          </cell>
          <cell r="F1488" t="str">
            <v>cây</v>
          </cell>
          <cell r="G1488">
            <v>1920000</v>
          </cell>
          <cell r="H1488">
            <v>0.5</v>
          </cell>
          <cell r="I1488">
            <v>48000</v>
          </cell>
          <cell r="J1488" t="str">
            <v>ĐG 01.02.2025</v>
          </cell>
        </row>
        <row r="1489">
          <cell r="B1489" t="str">
            <v>Bưởi20+chau</v>
          </cell>
          <cell r="C1489" t="str">
            <v>Cây bưởi trồng trên chậu</v>
          </cell>
          <cell r="D1489" t="str">
            <v>đk gốc từ 20cm trở lên</v>
          </cell>
          <cell r="E1489">
            <v>20</v>
          </cell>
          <cell r="F1489" t="str">
            <v>cây</v>
          </cell>
          <cell r="G1489">
            <v>2200000</v>
          </cell>
          <cell r="H1489">
            <v>0.5</v>
          </cell>
          <cell r="I1489">
            <v>55000</v>
          </cell>
          <cell r="J1489" t="str">
            <v>ĐG 01.02.2025</v>
          </cell>
        </row>
        <row r="1490">
          <cell r="B1490" t="str">
            <v>Bưởi01chauvmd</v>
          </cell>
          <cell r="C1490" t="str">
            <v>Cây bưởi trồng trên chậu</v>
          </cell>
          <cell r="D1490" t="str">
            <v>cây giống</v>
          </cell>
          <cell r="F1490" t="str">
            <v>m2</v>
          </cell>
          <cell r="G1490">
            <v>110000</v>
          </cell>
          <cell r="H1490">
            <v>0.25</v>
          </cell>
          <cell r="I1490">
            <v>110000</v>
          </cell>
          <cell r="J1490" t="str">
            <v>ĐG 01.02.2025</v>
          </cell>
        </row>
        <row r="1491">
          <cell r="B1491" t="str">
            <v>Bưởi27chauvmd</v>
          </cell>
          <cell r="C1491" t="str">
            <v>Cây bưởi vượt mật độ trồng trên chậu</v>
          </cell>
          <cell r="D1491" t="str">
            <v>2cm ≤ đk gốc &lt; 7cm</v>
          </cell>
          <cell r="E1491">
            <v>20</v>
          </cell>
          <cell r="F1491" t="str">
            <v>cây</v>
          </cell>
          <cell r="G1491">
            <v>330000</v>
          </cell>
          <cell r="H1491">
            <v>0.25</v>
          </cell>
          <cell r="I1491">
            <v>16500</v>
          </cell>
          <cell r="J1491" t="str">
            <v>ĐG 01.02.2025</v>
          </cell>
        </row>
        <row r="1492">
          <cell r="B1492" t="str">
            <v>Bưởi712chauvmd</v>
          </cell>
          <cell r="C1492" t="str">
            <v>Cây bưởi vượt mật độ trồng trên chậu</v>
          </cell>
          <cell r="D1492" t="str">
            <v>7cm ≤ đk gốc &lt; 12cm</v>
          </cell>
          <cell r="E1492">
            <v>20</v>
          </cell>
          <cell r="F1492" t="str">
            <v>cây</v>
          </cell>
          <cell r="G1492">
            <v>1380000</v>
          </cell>
          <cell r="H1492">
            <v>0.25</v>
          </cell>
          <cell r="I1492">
            <v>69000</v>
          </cell>
          <cell r="J1492" t="str">
            <v>ĐG 01.02.2025</v>
          </cell>
        </row>
        <row r="1493">
          <cell r="B1493" t="str">
            <v>Bưởi1220chauvmd</v>
          </cell>
          <cell r="C1493" t="str">
            <v>Cây bưởi vượt mật độ trồng trên chậu</v>
          </cell>
          <cell r="D1493" t="str">
            <v>12cm ≤ đk gốc &lt; 20cm</v>
          </cell>
          <cell r="E1493">
            <v>20</v>
          </cell>
          <cell r="F1493" t="str">
            <v>cây</v>
          </cell>
          <cell r="G1493">
            <v>1920000</v>
          </cell>
          <cell r="H1493">
            <v>0.25</v>
          </cell>
          <cell r="I1493">
            <v>96000</v>
          </cell>
          <cell r="J1493" t="str">
            <v>ĐG 01.02.2025</v>
          </cell>
        </row>
        <row r="1494">
          <cell r="B1494" t="str">
            <v>Bưởi20+chauvmd</v>
          </cell>
          <cell r="C1494" t="str">
            <v>Cây bưởi vượt mật độ trồng trên chậu</v>
          </cell>
          <cell r="D1494" t="str">
            <v>đk gốc từ 20cm trở lên</v>
          </cell>
          <cell r="E1494">
            <v>20</v>
          </cell>
          <cell r="F1494" t="str">
            <v>cây</v>
          </cell>
          <cell r="G1494">
            <v>2200000</v>
          </cell>
          <cell r="H1494">
            <v>0.25</v>
          </cell>
          <cell r="I1494">
            <v>110000</v>
          </cell>
          <cell r="J1494" t="str">
            <v>ĐG 01.02.2025</v>
          </cell>
        </row>
      </sheetData>
      <sheetData sheetId="5">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 xml:space="preserve">NHÀ 1 TẦNG </v>
          </cell>
          <cell r="C3" t="str">
            <v xml:space="preserve">Nhà một tầng có chiều cao tường ≥ 3m </v>
          </cell>
        </row>
        <row r="4">
          <cell r="B4" t="str">
            <v>Nhà 1 tầng-1</v>
          </cell>
          <cell r="C4" t="str">
            <v>Nhà một tầng có chiều cao tường ≥ 3m. Nhà xây gạch xỉ, kết cấu vì kèo tre, lợp mái Fibro xi măng, không có công trình phụ khép kín</v>
          </cell>
          <cell r="E4" t="str">
            <v>m2sàn</v>
          </cell>
          <cell r="F4">
            <v>2308115.1939999997</v>
          </cell>
          <cell r="G4">
            <v>25</v>
          </cell>
          <cell r="H4">
            <v>0.3</v>
          </cell>
        </row>
        <row r="5">
          <cell r="B5" t="str">
            <v>Nhà 1 tầng-2</v>
          </cell>
          <cell r="C5" t="str">
            <v>Nhà một tầng có chiều cao tường ≥ 3m. Nhà xây gạch xỉ, kết cấu vì kèo tre, lợp mái ngói 22viên/m2, không có công trình phụ khép kín</v>
          </cell>
          <cell r="E5" t="str">
            <v>m2sàn</v>
          </cell>
          <cell r="F5">
            <v>2917458.4679999999</v>
          </cell>
          <cell r="G5">
            <v>25</v>
          </cell>
          <cell r="H5">
            <v>0.3</v>
          </cell>
        </row>
        <row r="6">
          <cell r="B6" t="str">
            <v>Nhà 1 tầng-3</v>
          </cell>
          <cell r="C6" t="str">
            <v>Nhà một tầng có chiều cao tường ≥ 3m. Nhà xây gạch xỉ, kết cấu vì kèo gỗ, lợp mái ngói 22viên/m2, không có công trình phụ khép kín</v>
          </cell>
          <cell r="E6" t="str">
            <v>m2sàn</v>
          </cell>
          <cell r="F6">
            <v>3228224.5539999995</v>
          </cell>
          <cell r="G6">
            <v>25</v>
          </cell>
          <cell r="H6">
            <v>0.3</v>
          </cell>
        </row>
        <row r="7">
          <cell r="B7" t="str">
            <v>Nhà 1 tầng-4</v>
          </cell>
          <cell r="C7" t="str">
            <v>Nhà một tầng có chiều cao tường ≥ 3m. Nhà xây gạch xỉ, kết cấu vì kèo thép, lợp mái tôn, không có công trình phụ khép kín</v>
          </cell>
          <cell r="E7" t="str">
            <v>m2sàn</v>
          </cell>
          <cell r="F7">
            <v>2763840.3989999997</v>
          </cell>
          <cell r="G7">
            <v>25</v>
          </cell>
          <cell r="H7">
            <v>0.3</v>
          </cell>
        </row>
        <row r="8">
          <cell r="B8" t="str">
            <v>Nhà 1 tầng-5</v>
          </cell>
          <cell r="C8" t="str">
            <v>Nhà một tầng có chiều cao tường ≥ 3m. Nhà xây gạch xỉ, mái bằng, không có công trình phụ khép kín</v>
          </cell>
          <cell r="E8" t="str">
            <v>m2sàn</v>
          </cell>
          <cell r="F8">
            <v>3136607.6779999998</v>
          </cell>
          <cell r="G8">
            <v>25</v>
          </cell>
          <cell r="H8">
            <v>0.3</v>
          </cell>
        </row>
        <row r="9">
          <cell r="B9" t="str">
            <v>Nhà 1 tầng-6</v>
          </cell>
          <cell r="C9" t="str">
            <v>Nhà một tầng có chiều cao tường ≥ 3m. Nhà xây gạch chỉ tường 110, kết cấu vì kèo tre, lợp mái Fibro xi măng, không có công trình phụ khép kín</v>
          </cell>
          <cell r="E9" t="str">
            <v>m2sàn</v>
          </cell>
          <cell r="F9">
            <v>2721647.98</v>
          </cell>
          <cell r="G9">
            <v>25</v>
          </cell>
          <cell r="H9">
            <v>0.3</v>
          </cell>
        </row>
        <row r="10">
          <cell r="B10" t="str">
            <v>Nhà 1 tầng-7</v>
          </cell>
          <cell r="C10" t="str">
            <v>Nhà một tầng có chiều cao tường ≥ 3m. Nhà xây gạch chỉ tường 110, kết cấu vì kèo tre, lợp mái ngói 22 viên/m², không có công trình phụ khép kín</v>
          </cell>
          <cell r="E10" t="str">
            <v>m2sàn</v>
          </cell>
          <cell r="F10">
            <v>3252535.9819999998</v>
          </cell>
          <cell r="G10">
            <v>25</v>
          </cell>
          <cell r="H10">
            <v>0.3</v>
          </cell>
        </row>
        <row r="11">
          <cell r="B11" t="str">
            <v>Nhà 1 tầng-8</v>
          </cell>
          <cell r="C11" t="str">
            <v>Nhà một tầng có chiều cao tường ≥ 3m. Nhà xây gạch chỉ tường 110 bổ trụ, kết cấu gỗ, lợp mái ngói 22viên/m2, không có công trình phụ khép kín</v>
          </cell>
          <cell r="E11" t="str">
            <v>m2sàn</v>
          </cell>
          <cell r="F11">
            <v>3645822.38</v>
          </cell>
          <cell r="G11">
            <v>25</v>
          </cell>
          <cell r="H11">
            <v>0.3</v>
          </cell>
        </row>
        <row r="12">
          <cell r="B12" t="str">
            <v>Nhà 1 tầng-9</v>
          </cell>
          <cell r="C12" t="str">
            <v>Nhà một tầng có chiều cao tường ≥ 3m. Nhà xây gạch chỉ tường 110, kết cấu vì kèo gỗ, lợp mái ngói 75viên/m2, không có công trình phụ khép kín</v>
          </cell>
          <cell r="E12" t="str">
            <v>m2sàn</v>
          </cell>
          <cell r="F12">
            <v>3782015.7379999999</v>
          </cell>
          <cell r="G12">
            <v>25</v>
          </cell>
          <cell r="H12">
            <v>0.3</v>
          </cell>
        </row>
        <row r="13">
          <cell r="B13" t="str">
            <v>Nhà 1 tầng-10</v>
          </cell>
          <cell r="C13" t="str">
            <v>Nhà một tầng có chiều cao tường ≥ 3m. Nhà xây gạch chỉ tường 110 bổ trụ, kết cấu vì kèo thép, lợp mái tôn, không có công trình phụ khép kín</v>
          </cell>
          <cell r="E13" t="str">
            <v>m2sàn</v>
          </cell>
          <cell r="F13">
            <v>3095045.7549999999</v>
          </cell>
          <cell r="G13">
            <v>25</v>
          </cell>
          <cell r="H13">
            <v>0.3</v>
          </cell>
        </row>
        <row r="14">
          <cell r="B14" t="str">
            <v>Nhà 1 tầng-11</v>
          </cell>
          <cell r="C14" t="str">
            <v>Nhà một tầng có chiều cao tường ≥ 3m. Nhà xây gạch chỉ tường 110 bổ trụ, mái bằng không có công trình phụ khép kín</v>
          </cell>
          <cell r="E14" t="str">
            <v>m2sàn</v>
          </cell>
          <cell r="F14">
            <v>3429263.5959999999</v>
          </cell>
          <cell r="G14">
            <v>25</v>
          </cell>
          <cell r="H14">
            <v>0.3</v>
          </cell>
        </row>
        <row r="15">
          <cell r="B15" t="str">
            <v>Nhà 1 tầng-12</v>
          </cell>
          <cell r="C15" t="str">
            <v>Nhà một tầng có chiều cao tường ≥ 3m. Nhà xây gạch chỉ tường 110 bổ trụ, hiên tây, kết cấu gỗ, lợp mái ngói 22viên/m2,  không có công trình phụ khép kín</v>
          </cell>
          <cell r="E15" t="str">
            <v>m2sàn</v>
          </cell>
          <cell r="F15">
            <v>3535738.6079999995</v>
          </cell>
          <cell r="G15">
            <v>25</v>
          </cell>
          <cell r="H15">
            <v>0.3</v>
          </cell>
        </row>
        <row r="16">
          <cell r="B16" t="str">
            <v>Nhà 1 tầng-13</v>
          </cell>
          <cell r="C16" t="str">
            <v>Nhà một tầng có chiều cao tường ≥ 3m. Nhà xây gạch không nung tường 110, kết cấu vì kèo tre, lợp mái Fibro xi măng, không có công trình phụ khép kín</v>
          </cell>
          <cell r="E16" t="str">
            <v>m2sàn</v>
          </cell>
          <cell r="F16">
            <v>2692384.8769999999</v>
          </cell>
          <cell r="G16">
            <v>25</v>
          </cell>
          <cell r="H16">
            <v>0.3</v>
          </cell>
        </row>
        <row r="17">
          <cell r="B17" t="str">
            <v>Nhà 1 tầng-14</v>
          </cell>
          <cell r="C17" t="str">
            <v>Nhà một tầng có chiều cao tường ≥ 3m. Nhà xây gạch không nung tường 110 bổ trụ, kết cấu gỗ, lợp mái ngói 22viên/m2, không có công trình phụ khép kín</v>
          </cell>
          <cell r="E17" t="str">
            <v>m2sàn</v>
          </cell>
          <cell r="F17">
            <v>3606687.0369999995</v>
          </cell>
          <cell r="G17">
            <v>25</v>
          </cell>
          <cell r="H17">
            <v>0.3</v>
          </cell>
        </row>
        <row r="18">
          <cell r="B18" t="str">
            <v>Nhà 1 tầng-15</v>
          </cell>
          <cell r="C18" t="str">
            <v>Nhà một tầng có chiều cao tường ≥ 3m. Nhà xây gạch không nung tường 110 bổ trụ, kết cấu gỗ, lợp mái ngói 75viên/m2, không có công trình phụ khép kín</v>
          </cell>
          <cell r="E18" t="str">
            <v>m2sàn</v>
          </cell>
          <cell r="F18">
            <v>3742880.3949999996</v>
          </cell>
          <cell r="G18">
            <v>25</v>
          </cell>
          <cell r="H18">
            <v>0.3</v>
          </cell>
        </row>
        <row r="19">
          <cell r="B19" t="str">
            <v>Nhà 1 tầng-16</v>
          </cell>
          <cell r="C19" t="str">
            <v>Nhà một tầng có chiều cao tường ≥ 3m. Nhà xây gạch không nung tường 110 bổ trụ, kết cấu vì kèo thép, lợp mái tôn, không có công trình phụ khép kín</v>
          </cell>
          <cell r="E19" t="str">
            <v>m2sàn</v>
          </cell>
          <cell r="F19">
            <v>3055910.4119999995</v>
          </cell>
          <cell r="G19">
            <v>25</v>
          </cell>
          <cell r="H19">
            <v>0.3</v>
          </cell>
        </row>
        <row r="20">
          <cell r="B20" t="str">
            <v>Nhà 1 tầng-17</v>
          </cell>
          <cell r="C20" t="str">
            <v>Nhà một tầng có chiều cao tường ≥ 3m. Nhà xây gạch không nung tường 110 bổ trụ, mái bằng không có công trình phụ khép kín</v>
          </cell>
          <cell r="E20" t="str">
            <v>m2sàn</v>
          </cell>
          <cell r="F20">
            <v>3406066.943</v>
          </cell>
          <cell r="G20">
            <v>25</v>
          </cell>
          <cell r="H20">
            <v>0.3</v>
          </cell>
        </row>
        <row r="21">
          <cell r="B21" t="str">
            <v>Nhà 1 tầng-18</v>
          </cell>
          <cell r="C21" t="str">
            <v>Nhà một tầng có chiều cao tường ≥ 3m. Nhà xây gạch không nung tường 110 bổ trụ, hiên tây, kết cấu gỗ, lợp mái ngói 22viên/m2,  không có công trình phụ khép kín</v>
          </cell>
          <cell r="E21" t="str">
            <v>m2sàn</v>
          </cell>
          <cell r="F21">
            <v>3511234.298</v>
          </cell>
          <cell r="G21">
            <v>25</v>
          </cell>
          <cell r="H21">
            <v>0.3</v>
          </cell>
        </row>
        <row r="22">
          <cell r="B22" t="str">
            <v>Nhà 1 tầng-19</v>
          </cell>
          <cell r="C22" t="str">
            <v>Nhà một tầng có chiều cao tường ≥ 3m. Nhà xây gạch chỉ tường 220, kết cấu vì kèo tre, lợp mái Fibro xi măng, không có công trình phụ khép kín,</v>
          </cell>
          <cell r="E22" t="str">
            <v>m2sàn</v>
          </cell>
          <cell r="F22">
            <v>2966890.1839999999</v>
          </cell>
          <cell r="G22">
            <v>25</v>
          </cell>
          <cell r="H22">
            <v>0.3</v>
          </cell>
        </row>
        <row r="23">
          <cell r="B23" t="str">
            <v>Nhà 1 tầng-20</v>
          </cell>
          <cell r="C23" t="str">
            <v>Nhà một tầng có chiều cao tường ≥ 3m. Nhà xây gạch chỉ tường 220, kết cấu vì kèo tre, lợp mái ngói 22viên/m2 không có công trình phụ khép kín</v>
          </cell>
          <cell r="E23" t="str">
            <v>m2sàn</v>
          </cell>
          <cell r="F23">
            <v>3575004.6129999999</v>
          </cell>
          <cell r="G23">
            <v>25</v>
          </cell>
          <cell r="H23">
            <v>0.3</v>
          </cell>
        </row>
        <row r="24">
          <cell r="B24" t="str">
            <v>Nhà 1 tầng-21</v>
          </cell>
          <cell r="C24" t="str">
            <v>Nhà một tầng có chiều cao tường ≥ 3m. Nhà xây gạch chỉ tường 220, kết cấu vì kèo gỗ, lợp mái ngói 22viên/m2, không có công trình phụ khép kín</v>
          </cell>
          <cell r="E24" t="str">
            <v>m2sàn</v>
          </cell>
          <cell r="F24">
            <v>3891064.5839999998</v>
          </cell>
          <cell r="G24">
            <v>25</v>
          </cell>
          <cell r="H24">
            <v>0.3</v>
          </cell>
        </row>
        <row r="25">
          <cell r="B25" t="str">
            <v>Nhà 1 tầng-22</v>
          </cell>
          <cell r="C25" t="str">
            <v>Nhà một tầng có chiều cao tường ≥ 3m. Nhà xây gạch chỉ tường 220, kết cấu vì kèo gỗ, lợp mái ngói 75viên/m2 không có công trình phụ khép kín</v>
          </cell>
          <cell r="E25" t="str">
            <v>m2sàn</v>
          </cell>
          <cell r="F25">
            <v>4027256.9049999998</v>
          </cell>
          <cell r="G25">
            <v>25</v>
          </cell>
          <cell r="H25">
            <v>0.3</v>
          </cell>
        </row>
        <row r="26">
          <cell r="B26" t="str">
            <v>Nhà 1 tầng-23</v>
          </cell>
          <cell r="C26" t="str">
            <v>Nhà một tầng có chiều cao tường ≥ 3m. Nhà xây gạch chỉ tường 220, kết cấu vì kèo thép, lợp mái tôn, không có công trình phụ khép kín</v>
          </cell>
          <cell r="E26" t="str">
            <v>m2sàn</v>
          </cell>
          <cell r="F26">
            <v>3340287.9589999998</v>
          </cell>
          <cell r="G26">
            <v>25</v>
          </cell>
          <cell r="H26">
            <v>0.3</v>
          </cell>
        </row>
        <row r="27">
          <cell r="B27" t="str">
            <v>Nhà 1 tầng-24</v>
          </cell>
          <cell r="C27" t="str">
            <v>Nhà một tầng có chiều cao tường ≥ 3m. Nhà xây gạch chỉ tường 220 hiên tây, kết cấu vì kèo tre, lợp mái ngói 22viên/m2, không có công trình phụ</v>
          </cell>
          <cell r="E27" t="str">
            <v>m2sàn</v>
          </cell>
          <cell r="F27">
            <v>3711032.0509999995</v>
          </cell>
          <cell r="G27">
            <v>25</v>
          </cell>
          <cell r="H27">
            <v>0.3</v>
          </cell>
        </row>
        <row r="28">
          <cell r="B28" t="str">
            <v>Nhà 1 tầng-25</v>
          </cell>
          <cell r="C28" t="str">
            <v>Nhà một tầng có chiều cao tường ≥ 3m. Nhà xây gạch chỉ tường 220 hiên tây, kết cấu vì kèo gỗ, lợp mái ngói 22viên/m2, không có công trình phụ</v>
          </cell>
          <cell r="E28" t="str">
            <v>m2sàn</v>
          </cell>
          <cell r="F28">
            <v>3872544.8009999995</v>
          </cell>
          <cell r="G28">
            <v>25</v>
          </cell>
          <cell r="H28">
            <v>0.3</v>
          </cell>
        </row>
        <row r="29">
          <cell r="B29" t="str">
            <v>Nhà 1 tầng-26</v>
          </cell>
          <cell r="C29" t="str">
            <v>Nhà một tầng có chiều cao tường ≥ 3m. Nhà xây gạch chỉ tường 220 hiên tây, kết cấu vì kèo gỗ, lợp mái ngói 22viên/m2, có công trình phụ khép kín</v>
          </cell>
          <cell r="E29" t="str">
            <v>m2sàn</v>
          </cell>
          <cell r="F29">
            <v>4115489.0129999998</v>
          </cell>
          <cell r="G29">
            <v>25</v>
          </cell>
          <cell r="H29">
            <v>0.3</v>
          </cell>
        </row>
        <row r="30">
          <cell r="B30" t="str">
            <v>Nhà 1 tầng-27</v>
          </cell>
          <cell r="C30" t="str">
            <v>Nhà một tầng có chiều cao tường ≥ 3m. Nhà xây gạch chỉ tường 220 hiên tây, kết cấu vì kèo thép, lợp mái tôn, không có công trình phụ</v>
          </cell>
          <cell r="E30" t="str">
            <v>m2sàn</v>
          </cell>
          <cell r="F30">
            <v>3455279.852</v>
          </cell>
          <cell r="G30">
            <v>25</v>
          </cell>
          <cell r="H30">
            <v>0.3</v>
          </cell>
        </row>
        <row r="31">
          <cell r="B31" t="str">
            <v>Nhà 1 tầng-28</v>
          </cell>
          <cell r="C31" t="str">
            <v>Nhà một tầng có chiều cao tường ≥ 3m. Nhà xây gạch chỉ, mái bằng, tường 220, không gia cố nền móng, có công trình phụ khép kín</v>
          </cell>
          <cell r="E31" t="str">
            <v>m2sàn</v>
          </cell>
          <cell r="F31">
            <v>4631996.9359999998</v>
          </cell>
          <cell r="G31">
            <v>25</v>
          </cell>
          <cell r="H31">
            <v>0.3</v>
          </cell>
        </row>
        <row r="32">
          <cell r="B32" t="str">
            <v>Nhà 1 tầng-29</v>
          </cell>
          <cell r="C32" t="str">
            <v>Nhà một tầng có chiều cao tường ≥ 3m. Nhà xây gạch chỉ, mái bằng, tường 220 móng bê tông cốt thép, có công trình phụ khép kín</v>
          </cell>
          <cell r="E32" t="str">
            <v>m2sàn</v>
          </cell>
          <cell r="F32">
            <v>4852337.659</v>
          </cell>
          <cell r="G32">
            <v>25</v>
          </cell>
          <cell r="H32">
            <v>0.3</v>
          </cell>
        </row>
        <row r="33">
          <cell r="B33" t="str">
            <v>Nhà 1 tầng-30</v>
          </cell>
          <cell r="C33" t="str">
            <v>Nhà một tầng có chiều cao tường ≥ 3m. Nhà xây gạch chỉ, mái bằng, tường 220, móng xây gạch đặc, không có công trình phụ</v>
          </cell>
          <cell r="E33" t="str">
            <v>m2sàn</v>
          </cell>
          <cell r="F33">
            <v>4018984.7559999996</v>
          </cell>
          <cell r="G33">
            <v>25</v>
          </cell>
          <cell r="H33">
            <v>0.3</v>
          </cell>
        </row>
        <row r="34">
          <cell r="B34" t="str">
            <v>Nhà 1 tầng-31</v>
          </cell>
          <cell r="C34" t="str">
            <v>Nhà một tầng có chiều cao tường ≥ 3m. Nhà xây gạch chỉ, mái bằng, tường 220, móng bê tông cốt thép, không có công trình phụ</v>
          </cell>
          <cell r="E34" t="str">
            <v>m2sàn</v>
          </cell>
          <cell r="F34">
            <v>4364979.8059999999</v>
          </cell>
          <cell r="G34">
            <v>25</v>
          </cell>
          <cell r="H34">
            <v>0.3</v>
          </cell>
        </row>
        <row r="35">
          <cell r="B35" t="str">
            <v>Nhà 1 tầng-32</v>
          </cell>
          <cell r="C35" t="str">
            <v>Nhà một tầng có chiều cao tường ≥ 3m. Nhà xây gạch không nung, mái bằng, tường 220 móng bê tông cốt thép, có công trình phụ khép kín</v>
          </cell>
          <cell r="E35" t="str">
            <v>m2sàn</v>
          </cell>
          <cell r="F35">
            <v>4810316.3449999997</v>
          </cell>
          <cell r="G35">
            <v>25</v>
          </cell>
          <cell r="H35">
            <v>0.3</v>
          </cell>
        </row>
        <row r="36">
          <cell r="B36" t="str">
            <v>Nhà 1 tầng-33</v>
          </cell>
          <cell r="C36" t="str">
            <v>Nhà một tầng có chiều cao tường ≥ 3m. Nhà xây gạch không nung tường 220, kết cấu vì kèo tre, lợp mái Fibro xi măng, không có công trình phụ khép kín</v>
          </cell>
          <cell r="E36" t="str">
            <v>m2sàn</v>
          </cell>
          <cell r="F36">
            <v>2930248.8259999999</v>
          </cell>
          <cell r="G36">
            <v>25</v>
          </cell>
          <cell r="H36">
            <v>0.3</v>
          </cell>
        </row>
        <row r="37">
          <cell r="B37" t="str">
            <v>Nhà 1 tầng-34</v>
          </cell>
          <cell r="C37" t="str">
            <v>Nhà một tầng có chiều cao tường ≥ 3m. Nhà xây gạch không nung tường 220, kết cấu vì kèo gỗ, lợp mái ngói 22viên/m2, không có công trình phụ khép kín</v>
          </cell>
          <cell r="E37" t="str">
            <v>m2sàn</v>
          </cell>
          <cell r="F37">
            <v>3854423.2259999998</v>
          </cell>
          <cell r="G37">
            <v>25</v>
          </cell>
          <cell r="H37">
            <v>0.3</v>
          </cell>
        </row>
        <row r="38">
          <cell r="B38" t="str">
            <v>Nhà 1 tầng-35</v>
          </cell>
          <cell r="C38" t="str">
            <v>Nhà một tầng có chiều cao tường ≥ 3m. Nhà xây gạch không nung tường 220, kết cấu vì kèo thép, lợp mái tôn, không có công trình phụ khép kín</v>
          </cell>
          <cell r="E38" t="str">
            <v>m2sàn</v>
          </cell>
          <cell r="F38">
            <v>3303646.6009999998</v>
          </cell>
          <cell r="G38">
            <v>25</v>
          </cell>
          <cell r="H38">
            <v>0.3</v>
          </cell>
        </row>
        <row r="39">
          <cell r="B39" t="str">
            <v>Nhà 1 tầng-36</v>
          </cell>
          <cell r="C39" t="str">
            <v>Nhà một tầng có chiều cao tường ≥ 3m. Nhà xây gạch không nung tường 220 hiên tây, kết cấu vì kèo tre, lợp mái ngói 22viên/m2, không có công trình phụ</v>
          </cell>
          <cell r="E39" t="str">
            <v>m2sàn</v>
          </cell>
          <cell r="F39">
            <v>3711032.0509999995</v>
          </cell>
          <cell r="G39">
            <v>25</v>
          </cell>
          <cell r="H39">
            <v>0.3</v>
          </cell>
        </row>
        <row r="40">
          <cell r="B40" t="str">
            <v>Nhà 1 tầng-37</v>
          </cell>
          <cell r="C40" t="str">
            <v>Nhà một tầng có chiều cao tường ≥ 3m. Nhà xây gạch không nung tường 220 hiên tây, kết cấu vì kèo gỗ, lợp mái ngói 22viên/m2, không có công trình phụ</v>
          </cell>
          <cell r="E40" t="str">
            <v>m2sàn</v>
          </cell>
          <cell r="F40">
            <v>3839137.8459999999</v>
          </cell>
          <cell r="G40">
            <v>25</v>
          </cell>
          <cell r="H40">
            <v>0.3</v>
          </cell>
        </row>
        <row r="41">
          <cell r="B41" t="str">
            <v>Nhà 1 tầng-38</v>
          </cell>
          <cell r="C41" t="str">
            <v>Nhà một tầng có chiều cao tường ≥ 3m. Nhà xây gạch không nung tường 220 hiên tây, kết cấu vì kèo gỗ, lợp mái ngói 22viên/m2, có công trình phụ</v>
          </cell>
          <cell r="E41" t="str">
            <v>m2sàn</v>
          </cell>
          <cell r="F41">
            <v>4082082.0579999997</v>
          </cell>
          <cell r="G41">
            <v>25</v>
          </cell>
          <cell r="H41">
            <v>0.3</v>
          </cell>
        </row>
        <row r="42">
          <cell r="B42" t="str">
            <v>Nhà 1 tầng-39</v>
          </cell>
          <cell r="C42" t="str">
            <v>Nhà một tầng có chiều cao tường ≥ 3m. Nhà xây gạch không nung tường 220 hiên tây, kết cấu vì kèo thép, lợp mái tôn, không có công trình phụ</v>
          </cell>
          <cell r="E42" t="str">
            <v>m2sàn</v>
          </cell>
          <cell r="F42">
            <v>3425440.1769999997</v>
          </cell>
          <cell r="G42">
            <v>25</v>
          </cell>
          <cell r="H42">
            <v>0.3</v>
          </cell>
        </row>
        <row r="43">
          <cell r="B43" t="str">
            <v>Nhà 1 tầng-40</v>
          </cell>
          <cell r="C43" t="str">
            <v>Nhà một tầng có chiều cao tường ≥ 3m. Nhà xây gạch không nung, mái bằng, tường 220, không gia cố nền móng, có công trình phụ khép kín</v>
          </cell>
          <cell r="E43" t="str">
            <v>m2sàn</v>
          </cell>
          <cell r="F43">
            <v>4589948.6599999992</v>
          </cell>
          <cell r="G43">
            <v>25</v>
          </cell>
          <cell r="H43">
            <v>0.3</v>
          </cell>
        </row>
        <row r="44">
          <cell r="B44" t="str">
            <v>Nhà 1 tầng-41</v>
          </cell>
          <cell r="C44" t="str">
            <v>Nhà một tầng có chiều cao tường ≥ 3m. Nhà xây gạch không nung, mái bằng, tường 220, không gia cố nền móng, không có công trình phụ</v>
          </cell>
          <cell r="E44" t="str">
            <v>m2sàn</v>
          </cell>
          <cell r="F44">
            <v>3978813.4499999997</v>
          </cell>
          <cell r="G44">
            <v>25</v>
          </cell>
          <cell r="H44">
            <v>0.3</v>
          </cell>
        </row>
        <row r="45">
          <cell r="B45" t="str">
            <v>NHÀ 2 TẦNG</v>
          </cell>
          <cell r="C45" t="str">
            <v xml:space="preserve">Nhà 2 tầng, mái bằng </v>
          </cell>
        </row>
        <row r="46">
          <cell r="B46" t="str">
            <v>Nhà 2 tầng-1</v>
          </cell>
          <cell r="C46" t="str">
            <v>Nhà 2 tầng, mái bằng, xây gạch chỉ, kết cấu khung chịu lực, tường 110, móng băng bê tông cốt thép, công trình phụ khép kín</v>
          </cell>
          <cell r="E46" t="str">
            <v>m2sàn</v>
          </cell>
          <cell r="F46">
            <v>5138443.8849999998</v>
          </cell>
          <cell r="G46">
            <v>25</v>
          </cell>
          <cell r="H46">
            <v>0.3</v>
          </cell>
        </row>
        <row r="47">
          <cell r="B47" t="str">
            <v>Nhà 2 tầng-2</v>
          </cell>
          <cell r="C47" t="str">
            <v>Nhà 2 tầng, mái bằng, xây gạch chỉ, kết cấu khung chịu lực, tường 110, móng băng bê tông cốt thép, không có công trình phụ</v>
          </cell>
          <cell r="E47" t="str">
            <v>m2sàn</v>
          </cell>
          <cell r="F47">
            <v>5018789.6399999997</v>
          </cell>
          <cell r="G47">
            <v>25</v>
          </cell>
          <cell r="H47">
            <v>0.3</v>
          </cell>
        </row>
        <row r="48">
          <cell r="B48" t="str">
            <v>Nhà 2 tầng-3</v>
          </cell>
          <cell r="C48" t="str">
            <v>Nhà 2 tầng, mái bằng, xây gạch chỉ, kết cấu khung chịu lực, tường 110, móng đơn bê tông cốt thép, công trình phụ khép kín</v>
          </cell>
          <cell r="E48" t="str">
            <v>m2sàn</v>
          </cell>
          <cell r="F48">
            <v>4816249.0219999999</v>
          </cell>
          <cell r="G48">
            <v>25</v>
          </cell>
          <cell r="H48">
            <v>0.3</v>
          </cell>
        </row>
        <row r="49">
          <cell r="B49" t="str">
            <v>Nhà 2 tầng-4</v>
          </cell>
          <cell r="C49" t="str">
            <v>Nhà 2 tầng, mái bằng, xây gạch chỉ, kết cấu khung chịu lực, tường 110, móng đơn bê tông cốt thép, không có công trình phụ</v>
          </cell>
          <cell r="E49" t="str">
            <v>m2sàn</v>
          </cell>
          <cell r="F49">
            <v>4688902.3109999998</v>
          </cell>
          <cell r="G49">
            <v>25</v>
          </cell>
          <cell r="H49">
            <v>0.3</v>
          </cell>
        </row>
        <row r="50">
          <cell r="B50" t="str">
            <v>Nhà 2 tầng-5</v>
          </cell>
          <cell r="C50" t="str">
            <v>Nhà 2 tầng, mái bằng, xây gạch chỉ, kết cấu khung chịu lực, tường 110, móng cọc bê tông cốt thép, công trình phụ khép kín (đơn giá chưa bao gồm cọc BTCT)</v>
          </cell>
          <cell r="E50" t="str">
            <v>m2sàn</v>
          </cell>
          <cell r="F50">
            <v>4249582.4459999995</v>
          </cell>
          <cell r="G50">
            <v>25</v>
          </cell>
          <cell r="H50">
            <v>0.3</v>
          </cell>
        </row>
        <row r="51">
          <cell r="B51" t="str">
            <v>Nhà 2 tầng-6</v>
          </cell>
          <cell r="C51" t="str">
            <v>Nhà 2 tầng, mái bằng, xây gạch chỉ, kết cấu khung chịu lực, tường 110, móng cọc bê tông cốt thép, không có công trình phụ (đơn giá chưa bao gồm cọc BTCT)</v>
          </cell>
          <cell r="E51" t="str">
            <v>m2sàn</v>
          </cell>
          <cell r="F51">
            <v>4145304.8369999998</v>
          </cell>
          <cell r="G51">
            <v>25</v>
          </cell>
          <cell r="H51">
            <v>0.3</v>
          </cell>
        </row>
        <row r="52">
          <cell r="B52" t="str">
            <v>Nhà 2 tầng-7</v>
          </cell>
          <cell r="C52" t="str">
            <v>Nhà 2 tầng, mái bằng, xây gạch không nung, kết cấu khung chịu lực, tường 110, Móng băng bê tông cốt thép, công trình phụ khép kín</v>
          </cell>
          <cell r="E52" t="str">
            <v>m2sàn</v>
          </cell>
          <cell r="F52">
            <v>5119349.6039999994</v>
          </cell>
          <cell r="G52">
            <v>25</v>
          </cell>
          <cell r="H52">
            <v>0.3</v>
          </cell>
        </row>
        <row r="53">
          <cell r="B53" t="str">
            <v>Nhà 2 tầng-8</v>
          </cell>
          <cell r="C53" t="str">
            <v>Nhà 2 tầng, mái bằng, xây gạch không nung, kết cấu khung chịu lực, tường 110, Móng băng bê tông cốt thép, không có công trình phụ khép kín</v>
          </cell>
          <cell r="E53" t="str">
            <v>m2sàn</v>
          </cell>
          <cell r="F53">
            <v>4984228.5039999997</v>
          </cell>
          <cell r="G53">
            <v>25</v>
          </cell>
          <cell r="H53">
            <v>0.3</v>
          </cell>
        </row>
        <row r="54">
          <cell r="B54" t="str">
            <v>Nhà 2 tầng-9</v>
          </cell>
          <cell r="C54" t="str">
            <v>Nhà 2 tầng, mái bằng, xây gạch không nung, kết cấu khung chịu lực, tường 110, móng đơn bê tông cốt thép, công trình phụ khép kín</v>
          </cell>
          <cell r="E54" t="str">
            <v>m2sàn</v>
          </cell>
          <cell r="F54">
            <v>4797153.7039999999</v>
          </cell>
          <cell r="G54">
            <v>25</v>
          </cell>
          <cell r="H54">
            <v>0.3</v>
          </cell>
        </row>
        <row r="55">
          <cell r="B55" t="str">
            <v>Nhà 2 tầng-10</v>
          </cell>
          <cell r="C55" t="str">
            <v>Nhà 2 tầng, mái bằng, xây gạch không nung, kết cấu khung chịu lực, tường 110, móng đơn bê tông cốt thép, không có công trình phụ khép kín</v>
          </cell>
          <cell r="E55" t="str">
            <v>m2sàn</v>
          </cell>
          <cell r="F55">
            <v>4670382.5279999999</v>
          </cell>
          <cell r="G55">
            <v>25</v>
          </cell>
          <cell r="H55">
            <v>0.3</v>
          </cell>
        </row>
        <row r="56">
          <cell r="B56" t="str">
            <v>Nhà 2 tầng-11</v>
          </cell>
          <cell r="C56" t="str">
            <v>Nhà 2 tầng, mái bằng, xây gạch không nung, kết cấu khung chịu lực, tường 110, móng cọc  bê tông cốt thép, công trình phụ khép kín (đơn giá chưa bao gồm cọc BTCT)</v>
          </cell>
          <cell r="E56" t="str">
            <v>m2sàn</v>
          </cell>
          <cell r="F56">
            <v>4231061.6259999992</v>
          </cell>
          <cell r="G56">
            <v>25</v>
          </cell>
          <cell r="H56">
            <v>0.3</v>
          </cell>
        </row>
        <row r="57">
          <cell r="B57" t="str">
            <v>Nhà 2 tầng-12</v>
          </cell>
          <cell r="C57" t="str">
            <v>Nhà 2 tầng, mái bằng, xây gạch không nung, kết cấu khung chịu lực, tường 110, móng cọc  bê tông cốt thép, không có công trình phụ khép kín (đơn giá chưa bao gồm cọc BTCT)</v>
          </cell>
          <cell r="E57" t="str">
            <v>m2sàn</v>
          </cell>
          <cell r="F57">
            <v>4125215.0359999998</v>
          </cell>
          <cell r="G57">
            <v>25</v>
          </cell>
          <cell r="H57">
            <v>0.3</v>
          </cell>
        </row>
        <row r="58">
          <cell r="B58" t="str">
            <v>Nhà 2 tầng-13</v>
          </cell>
          <cell r="C58" t="str">
            <v>Nhà 2 tầng, mái bằng, xây gạch chỉ, tường chịu lực 220, Móng băng bê tông cốt thép, công trình phụ khép kín</v>
          </cell>
          <cell r="E58" t="str">
            <v>m2sàn</v>
          </cell>
          <cell r="F58">
            <v>5299257.6969999997</v>
          </cell>
          <cell r="G58">
            <v>25</v>
          </cell>
          <cell r="H58">
            <v>0.3</v>
          </cell>
        </row>
        <row r="59">
          <cell r="B59" t="str">
            <v>Nhà 2 tầng-14</v>
          </cell>
          <cell r="C59" t="str">
            <v>Nhà 2 tầng, mái bằng, xây gạch chỉ, tường chịu lực 220, Móng băng bê tông cốt thép, không có công trình phụ khép kín</v>
          </cell>
          <cell r="E59" t="str">
            <v>m2sàn</v>
          </cell>
          <cell r="F59">
            <v>5125015.7719999999</v>
          </cell>
          <cell r="G59">
            <v>25</v>
          </cell>
          <cell r="H59">
            <v>0.3</v>
          </cell>
        </row>
        <row r="60">
          <cell r="B60" t="str">
            <v>Nhà 2 tầng-15</v>
          </cell>
          <cell r="C60" t="str">
            <v>Nhà 2 tầng, mái bằng, xây gạch chỉ, kết cấu khung chịu lực, tường 220, móng băng bê tông cốt thép, công trình phụ khép kín</v>
          </cell>
          <cell r="E60" t="str">
            <v>m2sàn</v>
          </cell>
          <cell r="F60">
            <v>5258168.6459999997</v>
          </cell>
          <cell r="G60">
            <v>25</v>
          </cell>
          <cell r="H60">
            <v>0.3</v>
          </cell>
        </row>
        <row r="61">
          <cell r="B61" t="str">
            <v>Nhà 2 tầng-16</v>
          </cell>
          <cell r="C61" t="str">
            <v>Nhà 2 tầng, mái bằng, xây gạch chỉ, kết cấu khung chịu lực, tường 220, móng băng bê tông cốt thép, không có công trình phụ</v>
          </cell>
          <cell r="E61" t="str">
            <v>m2sàn</v>
          </cell>
          <cell r="F61">
            <v>5088264.4919999996</v>
          </cell>
          <cell r="G61">
            <v>25</v>
          </cell>
          <cell r="H61">
            <v>0.3</v>
          </cell>
        </row>
        <row r="62">
          <cell r="B62" t="str">
            <v>Nhà 2 tầng-17</v>
          </cell>
          <cell r="C62" t="str">
            <v>Nhà 2 tầng, mái bằng, xây gạch chỉ, kết cấu khung chịu lực, tường 220, móng đơn bê tông cốt thép, công trình phụ khép kín</v>
          </cell>
          <cell r="E62" t="str">
            <v>m2sàn</v>
          </cell>
          <cell r="F62">
            <v>5079968.4919999996</v>
          </cell>
          <cell r="G62">
            <v>25</v>
          </cell>
          <cell r="H62">
            <v>0.3</v>
          </cell>
        </row>
        <row r="63">
          <cell r="B63" t="str">
            <v>Nhà 2 tầng-18</v>
          </cell>
          <cell r="C63" t="str">
            <v>Nhà 2 tầng, mái bằng, xây gạch chỉ, kết cấu khung chịu lực, tường 220, móng đơn bê tông cốt thép, không có công trình phụ</v>
          </cell>
          <cell r="E63" t="str">
            <v>m2sàn</v>
          </cell>
          <cell r="F63">
            <v>4988339.1719999993</v>
          </cell>
          <cell r="G63">
            <v>25</v>
          </cell>
          <cell r="H63">
            <v>0.3</v>
          </cell>
        </row>
        <row r="64">
          <cell r="B64" t="str">
            <v>Nhà 2 tầng-19</v>
          </cell>
          <cell r="C64" t="str">
            <v>Nhà 2 tầng, mái bằng, xây gạch chỉ, kết cấu khung chịu lực, tường 220, móng cọc bê tông cốt thép, công trình phụ khép kín (đơn giá chưa bao gồm cọc BTCT)</v>
          </cell>
          <cell r="E64" t="str">
            <v>m2sàn</v>
          </cell>
          <cell r="F64">
            <v>4513301.9159999993</v>
          </cell>
          <cell r="G64">
            <v>25</v>
          </cell>
          <cell r="H64">
            <v>0.3</v>
          </cell>
        </row>
        <row r="65">
          <cell r="B65" t="str">
            <v>Nhà 2 tầng-20</v>
          </cell>
          <cell r="C65" t="str">
            <v>Nhà 2 tầng, mái bằng, xây gạch chỉ, kết cấu khung chịu lực, tường 220, móng cọc bê tông cốt thép, không có công trình phụ (đơn giá chưa bao gồm cọc BTCT)</v>
          </cell>
          <cell r="E65" t="str">
            <v>m2sàn</v>
          </cell>
          <cell r="F65">
            <v>4368126.0639999993</v>
          </cell>
          <cell r="G65">
            <v>25</v>
          </cell>
          <cell r="H65">
            <v>0.3</v>
          </cell>
        </row>
        <row r="66">
          <cell r="B66" t="str">
            <v>Nhà 2 tầng-21</v>
          </cell>
          <cell r="C66" t="str">
            <v>Nhà 2 tầng, mái bằng, xây gạch không nung, tường chịu lực 220, Móng băng bê tông cốt thép, công trình phụ khép kín</v>
          </cell>
          <cell r="E66" t="str">
            <v>m2sàn</v>
          </cell>
          <cell r="F66">
            <v>5269497.8709999993</v>
          </cell>
          <cell r="G66">
            <v>25</v>
          </cell>
          <cell r="H66">
            <v>0.3</v>
          </cell>
        </row>
        <row r="67">
          <cell r="B67" t="str">
            <v>Nhà 2 tầng-22</v>
          </cell>
          <cell r="C67" t="str">
            <v>Nhà 2 tầng, mái bằng, xây gạch không nung, tường chịu lực 220, Móng băng bê tông cốt thép, không có công trình phụ khép kín</v>
          </cell>
          <cell r="E67" t="str">
            <v>m2sàn</v>
          </cell>
          <cell r="F67">
            <v>5096721.227</v>
          </cell>
          <cell r="G67">
            <v>25</v>
          </cell>
          <cell r="H67">
            <v>0.3</v>
          </cell>
        </row>
        <row r="68">
          <cell r="B68" t="str">
            <v>Nhà 2 tầng-23</v>
          </cell>
          <cell r="C68" t="str">
            <v>Nhà 2 tầng, mái bằng, xây gạch không nung, kết cấu khung chịu lực, tường 220, Móng băng bê tông cốt thép, công trình phụ khép kín</v>
          </cell>
          <cell r="E68" t="str">
            <v>m2sàn</v>
          </cell>
          <cell r="F68">
            <v>5234901.477</v>
          </cell>
          <cell r="G68">
            <v>25</v>
          </cell>
          <cell r="H68">
            <v>0.3</v>
          </cell>
        </row>
        <row r="69">
          <cell r="B69" t="str">
            <v>Nhà 2 tầng-24</v>
          </cell>
          <cell r="C69" t="str">
            <v>Nhà 2 tầng, mái bằng, xây gạch không nung, kết cấu khung chịu lực, tường 220, Móng băng bê tông cốt thép, không có công trình phụ khép kín</v>
          </cell>
          <cell r="E69" t="str">
            <v>m2sàn</v>
          </cell>
          <cell r="F69">
            <v>5062787.4759999998</v>
          </cell>
          <cell r="G69">
            <v>25</v>
          </cell>
          <cell r="H69">
            <v>0.3</v>
          </cell>
        </row>
        <row r="70">
          <cell r="B70" t="str">
            <v>Nhà 2 tầng-25</v>
          </cell>
          <cell r="C70" t="str">
            <v>Nhà 2 tầng, mái bằng, xây gạch không nung, kết cấu khung chịu lực, tường 220, móng đơn bê tông cốt thép, công trình phụ khép kín</v>
          </cell>
          <cell r="E70" t="str">
            <v>m2sàn</v>
          </cell>
          <cell r="F70">
            <v>5052445.4749999996</v>
          </cell>
          <cell r="G70">
            <v>25</v>
          </cell>
          <cell r="H70">
            <v>0.3</v>
          </cell>
        </row>
        <row r="71">
          <cell r="B71" t="str">
            <v>Nhà 2 tầng-26</v>
          </cell>
          <cell r="C71" t="str">
            <v>Nhà 2 tầng, mái bằng, xây gạch không nung, kết cấu khung chịu lực, tường 220, móng đơn bê tông cốt thép, không có công trình phụ khép kín</v>
          </cell>
          <cell r="E71" t="str">
            <v>m2sàn</v>
          </cell>
          <cell r="F71">
            <v>4962148.6999999993</v>
          </cell>
          <cell r="G71">
            <v>25</v>
          </cell>
          <cell r="H71">
            <v>0.3</v>
          </cell>
        </row>
        <row r="72">
          <cell r="B72" t="str">
            <v>Nhà 2 tầng-27</v>
          </cell>
          <cell r="C72" t="str">
            <v>Nhà 2 tầng, mái bằng, xây gạch không nung, kết cấu khung chịu lực, tường 220, móng cọc  bê tông cốt thép, công trình phụ khép kín (đơn giá chưa bao gồm cọc BTCT)</v>
          </cell>
          <cell r="E72" t="str">
            <v>m2sàn</v>
          </cell>
          <cell r="F72">
            <v>4485778.8989999993</v>
          </cell>
          <cell r="G72">
            <v>25</v>
          </cell>
          <cell r="H72">
            <v>0.3</v>
          </cell>
        </row>
        <row r="73">
          <cell r="B73" t="str">
            <v>Nhà 2 tầng-28</v>
          </cell>
          <cell r="C73" t="str">
            <v>Nhà 2 tầng, mái bằng, xây gạch không nung, kết cấu khung chịu lực, tường 220, móng cọc  bê tông cốt thép, không có công trình phụ khép kín (đơn giá chưa bao gồm cọc BTCT)</v>
          </cell>
          <cell r="E73" t="str">
            <v>m2sàn</v>
          </cell>
          <cell r="F73">
            <v>4341934.5549999997</v>
          </cell>
          <cell r="G73">
            <v>25</v>
          </cell>
          <cell r="H73">
            <v>0.3</v>
          </cell>
        </row>
        <row r="74">
          <cell r="B74" t="str">
            <v>NHÀ 3 TẦNG</v>
          </cell>
          <cell r="C74" t="str">
            <v xml:space="preserve">Nhà 3 tầng, mái bằng công trình phụ khép kín </v>
          </cell>
        </row>
        <row r="75">
          <cell r="B75" t="str">
            <v>Nhà 3 tầng-1</v>
          </cell>
          <cell r="C75" t="str">
            <v>Nhà 3 tầng, mái bằng công trình phụ khép kín, xây gạch chỉ, kết cấu khung chịu lực, tường 110, móng băng bê tông cốt thép</v>
          </cell>
          <cell r="E75" t="str">
            <v>m2sàn</v>
          </cell>
          <cell r="F75">
            <v>4813492.676</v>
          </cell>
          <cell r="G75">
            <v>25</v>
          </cell>
          <cell r="H75">
            <v>0.3</v>
          </cell>
        </row>
        <row r="76">
          <cell r="B76" t="str">
            <v>Nhà 3 tầng-2</v>
          </cell>
          <cell r="C76" t="str">
            <v>Nhà 3 tầng, mái bằng công trình phụ khép kín, xây gạch chỉ, kết cấu khung chịu lực, tường 110, móng cọc bê tông cốt thép (đơn giá chưa bao gồm cọc BTCT)</v>
          </cell>
          <cell r="E76" t="str">
            <v>m2sàn</v>
          </cell>
          <cell r="F76">
            <v>4471823.9899999993</v>
          </cell>
          <cell r="G76">
            <v>25</v>
          </cell>
          <cell r="H76">
            <v>0.3</v>
          </cell>
        </row>
        <row r="77">
          <cell r="B77" t="str">
            <v>Nhà 3 tầng-3</v>
          </cell>
          <cell r="C77" t="str">
            <v>Nhà 3 tầng, mái bằng công trình phụ khép kín, xây gạch không nung, kết cấu khung chịu lực, tường 110, móng băng bê tông cốt thép</v>
          </cell>
          <cell r="E77" t="str">
            <v>m2sàn</v>
          </cell>
          <cell r="F77">
            <v>4792833.5619999999</v>
          </cell>
          <cell r="G77">
            <v>25</v>
          </cell>
          <cell r="H77">
            <v>0.3</v>
          </cell>
        </row>
        <row r="78">
          <cell r="B78" t="str">
            <v>Nhà 3 tầng-4</v>
          </cell>
          <cell r="C78" t="str">
            <v>Nhà 3 tầng, mái bằng công trình phụ khép kín, xây gạch không nung, kết cấu khung chịu lực, tường 110, móng cọc bê tông cốt thép (đơn giá chưa bao gồm cọc BTCT)</v>
          </cell>
          <cell r="E78" t="str">
            <v>m2sàn</v>
          </cell>
          <cell r="F78">
            <v>4471823.9899999993</v>
          </cell>
          <cell r="G78">
            <v>25</v>
          </cell>
          <cell r="H78">
            <v>0.3</v>
          </cell>
        </row>
        <row r="79">
          <cell r="B79" t="str">
            <v>Nhà 3 tầng-5</v>
          </cell>
          <cell r="C79" t="str">
            <v>Nhà 3 tầng, mái bằng công trình phụ khép kín, xây gạch chỉ, tường chịu lực 220, móng băng bê tông cốt thép.</v>
          </cell>
          <cell r="E79" t="str">
            <v>m2sàn</v>
          </cell>
          <cell r="F79">
            <v>4640786.5479999995</v>
          </cell>
          <cell r="G79">
            <v>25</v>
          </cell>
          <cell r="H79">
            <v>0.3</v>
          </cell>
        </row>
        <row r="80">
          <cell r="B80" t="str">
            <v>Nhà 3 tầng-6</v>
          </cell>
          <cell r="C80" t="str">
            <v>Nhà 3 tầng, mái bằng công trình phụ khép kín, xây gạch chỉ, kết cấu khung chịu lực, tường 220, móng băng bê tông cốt thép.</v>
          </cell>
          <cell r="E80" t="str">
            <v>m2sàn</v>
          </cell>
          <cell r="F80">
            <v>5101282.9899999993</v>
          </cell>
          <cell r="G80">
            <v>25</v>
          </cell>
          <cell r="H80">
            <v>0.3</v>
          </cell>
        </row>
        <row r="81">
          <cell r="B81" t="str">
            <v>Nhà 3 tầng-7</v>
          </cell>
          <cell r="C81" t="str">
            <v>Nhà 3 tầng, mái bằng công trình phụ khép kín, xây gạch chỉ, kết cấu khung chịu lực, tường 220, móng cọc bê tông cốt thép (đơn giá chưa bao gồm cọc BTCT)</v>
          </cell>
          <cell r="E81" t="str">
            <v>m2sàn</v>
          </cell>
          <cell r="F81">
            <v>4774065.9359999998</v>
          </cell>
          <cell r="G81">
            <v>25</v>
          </cell>
          <cell r="H81">
            <v>0.3</v>
          </cell>
        </row>
        <row r="82">
          <cell r="B82" t="str">
            <v>Nhà 3 tầng-8</v>
          </cell>
          <cell r="C82" t="str">
            <v>Nhà 3 tầng, mái bằng công trình phụ khép kín, xây gạch không nung, kết cấu khung chịu lực, tường 220, móng băng bê tông cốt thép</v>
          </cell>
          <cell r="E82" t="str">
            <v>m2sàn</v>
          </cell>
          <cell r="F82">
            <v>5072532.165</v>
          </cell>
          <cell r="G82">
            <v>25</v>
          </cell>
          <cell r="H82">
            <v>0.3</v>
          </cell>
        </row>
        <row r="83">
          <cell r="B83" t="str">
            <v>Nhà 3 tầng-9</v>
          </cell>
          <cell r="C83" t="str">
            <v>Nhà 3 tầng, mái bằng công trình phụ khép kín, xây gạch không nung, kết cấu khung chịu lực, tường 220, móng cọc bê tông cốt thép (đơn giá chưa bao gồm cọc BTCT)</v>
          </cell>
          <cell r="E83" t="str">
            <v>m2sàn</v>
          </cell>
          <cell r="F83">
            <v>4745246.6689999998</v>
          </cell>
          <cell r="G83">
            <v>25</v>
          </cell>
          <cell r="H83">
            <v>0.3</v>
          </cell>
        </row>
        <row r="84">
          <cell r="B84" t="str">
            <v>NHÀ 4 TẦNG</v>
          </cell>
          <cell r="C84" t="str">
            <v xml:space="preserve">Nhà 4 tầng, mái bằng công trình phụ khép kín </v>
          </cell>
        </row>
        <row r="85">
          <cell r="B85" t="str">
            <v>Nhà 4 tầng-1</v>
          </cell>
          <cell r="C85" t="str">
            <v>Nhà 4 tầng, mái bằng công trình phụ khép kín, xây gạch chỉ, kết cấu khung chịu lực, tường 110, móng băng bê tông cốt thép.</v>
          </cell>
          <cell r="E85" t="str">
            <v>m2sàn</v>
          </cell>
          <cell r="F85">
            <v>5122104.9129999997</v>
          </cell>
          <cell r="G85">
            <v>25</v>
          </cell>
          <cell r="H85">
            <v>0.3</v>
          </cell>
        </row>
        <row r="86">
          <cell r="B86" t="str">
            <v>Nhà 4 tầng-2</v>
          </cell>
          <cell r="C86" t="str">
            <v>Nhà 4 tầng, mái bằng công trình phụ khép kín, xây gạch chỉ, kết cấu khung chịu lực, tường 110, móng cọc bê tông cốt thép (đơn giá chưa bao gồm cọc BTCT)</v>
          </cell>
          <cell r="E86" t="str">
            <v>m2sàn</v>
          </cell>
          <cell r="F86">
            <v>4413405.6319999993</v>
          </cell>
          <cell r="G86">
            <v>25</v>
          </cell>
          <cell r="H86">
            <v>0.3</v>
          </cell>
        </row>
        <row r="87">
          <cell r="B87" t="str">
            <v>Nhà 4 tầng-3</v>
          </cell>
          <cell r="C87" t="str">
            <v>Nhà 4 tầng, mái bằng công trình phụ khép kín, xây gạch không nung, kết cấu khung chịu lực, tường 110, móng băng bê tông cốt thép.</v>
          </cell>
          <cell r="E87" t="str">
            <v>m2sàn</v>
          </cell>
          <cell r="F87">
            <v>5098214.5069999993</v>
          </cell>
          <cell r="G87">
            <v>25</v>
          </cell>
          <cell r="H87">
            <v>0.3</v>
          </cell>
        </row>
        <row r="88">
          <cell r="B88" t="str">
            <v>Nhà 4 tầng-4</v>
          </cell>
          <cell r="C88" t="str">
            <v>Nhà 4 tầng, mái bằng công trình phụ khép kín, xây gạch không nung, kết cấu khung chịu lực, tường 110, móng cọc bê tông cốt thép (đơn giá chưa bao gồm cọc BTCT)</v>
          </cell>
          <cell r="E88" t="str">
            <v>m2sàn</v>
          </cell>
          <cell r="F88">
            <v>4388857.7679999992</v>
          </cell>
          <cell r="G88">
            <v>25</v>
          </cell>
          <cell r="H88">
            <v>0.3</v>
          </cell>
        </row>
        <row r="89">
          <cell r="B89" t="str">
            <v>Nhà 4 tầng-5</v>
          </cell>
          <cell r="C89" t="str">
            <v>Nhà 4 tầng, mái bằng công trình phụ khép kín, xây gạch chỉ, kết cấu khung chịu lực, tường 220, móng băng bê tông cốt thép</v>
          </cell>
          <cell r="E89" t="str">
            <v>m2sàn</v>
          </cell>
          <cell r="F89">
            <v>5443018.0439999998</v>
          </cell>
          <cell r="G89">
            <v>25</v>
          </cell>
          <cell r="H89">
            <v>0.3</v>
          </cell>
        </row>
        <row r="90">
          <cell r="B90" t="str">
            <v>Nhà 4 tầng-6</v>
          </cell>
          <cell r="C90" t="str">
            <v>Nhà 4 tầng, mái bằng công trình phụ khép kín, xây gạch chỉ, kết cấu khung chịu lực, tường 220, móng cọc bê tông cốt thép (đơn giá chưa bao gồm cọc BTCT)</v>
          </cell>
          <cell r="E90" t="str">
            <v>m2sàn</v>
          </cell>
          <cell r="F90">
            <v>4527082.6089999992</v>
          </cell>
          <cell r="G90">
            <v>25</v>
          </cell>
          <cell r="H90">
            <v>0.3</v>
          </cell>
        </row>
        <row r="91">
          <cell r="B91" t="str">
            <v>Nhà 4 tầng-7</v>
          </cell>
          <cell r="C91" t="str">
            <v xml:space="preserve">Nhà 4 tầng, mái bằng công trình phụ khép kín, xây gạch không nung, kết cấu khung chịu lực, tường 220, móng băng bê tông cốt thép </v>
          </cell>
          <cell r="E91" t="str">
            <v>m2sàn</v>
          </cell>
          <cell r="F91">
            <v>5413290.3649999993</v>
          </cell>
          <cell r="G91">
            <v>25</v>
          </cell>
          <cell r="H91">
            <v>0.3</v>
          </cell>
        </row>
        <row r="92">
          <cell r="B92" t="str">
            <v>Nhà 4 tầng-8</v>
          </cell>
          <cell r="C92" t="str">
            <v>Nhà 4 tầng, mái bằng công trình phụ khép kín, xây gạch không nung, kết cấu khung chịu lực, tường 220, móng cọc bê tông cốt thép (đơn giá chưa bao gồm cọc BTCT)</v>
          </cell>
          <cell r="E92" t="str">
            <v>m2sàn</v>
          </cell>
          <cell r="F92">
            <v>4501873.1389999995</v>
          </cell>
          <cell r="G92">
            <v>25</v>
          </cell>
          <cell r="H92">
            <v>0.3</v>
          </cell>
        </row>
        <row r="93">
          <cell r="B93" t="str">
            <v>NHÀ 5 TẦNG</v>
          </cell>
          <cell r="C93" t="str">
            <v xml:space="preserve">Nhà 5 tầng, mái bằng công trình phụ khép kín </v>
          </cell>
        </row>
        <row r="94">
          <cell r="B94" t="str">
            <v>Nhà 5 tầng-1</v>
          </cell>
          <cell r="C94" t="str">
            <v>Nhà 5 tầng, mái bằng công trình phụ khép kín, xây gạch chỉ, kết cấu khung chịu lực, tường 110, móng băng bê tông cốt thép.</v>
          </cell>
          <cell r="E94" t="str">
            <v>m2sàn</v>
          </cell>
          <cell r="F94">
            <v>5164618.8019999992</v>
          </cell>
          <cell r="G94">
            <v>25</v>
          </cell>
          <cell r="H94">
            <v>0.3</v>
          </cell>
        </row>
        <row r="95">
          <cell r="B95" t="str">
            <v>Nhà 5 tầng-2</v>
          </cell>
          <cell r="C95" t="str">
            <v>Nhà 5 tầng, mái bằng công trình phụ khép kín, xây gạch chỉ, kết cấu khung chịu lực, tường 110, móng cọc bê tông cốt thép (đơn giá chưa bao gồm cọc BTCT)</v>
          </cell>
          <cell r="E95" t="str">
            <v>m2sàn</v>
          </cell>
          <cell r="F95">
            <v>4449154.1329999994</v>
          </cell>
          <cell r="G95">
            <v>25</v>
          </cell>
          <cell r="H95">
            <v>0.3</v>
          </cell>
        </row>
        <row r="96">
          <cell r="B96" t="str">
            <v>Nhà 5 tầng-3</v>
          </cell>
          <cell r="C96" t="str">
            <v>Nhà 5 tầng, mái bằng công trình phụ khép kín, xây gạch không nung, kết cấu khung chịu lực, tường 110, móng băng bê tông cốt thép.</v>
          </cell>
          <cell r="E96" t="str">
            <v>m2sàn</v>
          </cell>
          <cell r="F96">
            <v>5140529.2919999994</v>
          </cell>
          <cell r="G96">
            <v>25</v>
          </cell>
          <cell r="H96">
            <v>0.3</v>
          </cell>
        </row>
        <row r="97">
          <cell r="B97" t="str">
            <v>Nhà 5 tầng-4</v>
          </cell>
          <cell r="C97" t="str">
            <v>Nhà 5 tầng, mái bằng công trình phụ khép kín, xây gạch không nung, kết cấu khung chịu lực, tường 110, móng cọc bê tông cốt thép (đơn giá chưa bao gồm cọc BTCT)</v>
          </cell>
          <cell r="E97" t="str">
            <v>m2sàn</v>
          </cell>
          <cell r="F97">
            <v>4424827.1499999994</v>
          </cell>
          <cell r="G97">
            <v>25</v>
          </cell>
          <cell r="H97">
            <v>0.3</v>
          </cell>
        </row>
        <row r="98">
          <cell r="B98" t="str">
            <v>Nhà 5 tầng-5</v>
          </cell>
          <cell r="C98" t="str">
            <v>Nhà 5 tầng, mái bằng công trình phụ khép kín, xây gạch chỉ, tường 220, kết cấu khung chịu lực, móng băng bê tông cốt thép.</v>
          </cell>
          <cell r="E98" t="str">
            <v>m2sàn</v>
          </cell>
          <cell r="F98">
            <v>5487650.5239999993</v>
          </cell>
          <cell r="G98">
            <v>25</v>
          </cell>
          <cell r="H98">
            <v>0.3</v>
          </cell>
        </row>
        <row r="99">
          <cell r="B99" t="str">
            <v>Nhà 5 tầng-6</v>
          </cell>
          <cell r="C99" t="str">
            <v>Nhà 5 tầng, mái bằng công trình phụ khép kín, xây gạch chỉ tường 220, kết cấu khung chịu lực, móng cọc bê tông cốt thép (đơn giá chưa bao gồm cọc BTCT)</v>
          </cell>
          <cell r="E99" t="str">
            <v>m2sàn</v>
          </cell>
          <cell r="F99">
            <v>4564205.1349999998</v>
          </cell>
          <cell r="G99">
            <v>25</v>
          </cell>
          <cell r="H99">
            <v>0.3</v>
          </cell>
        </row>
        <row r="100">
          <cell r="B100" t="str">
            <v>Nhà 5 tầng-7</v>
          </cell>
          <cell r="C100" t="str">
            <v>Nhà 5 tầng, mái bằng công trình phụ khép kín, xây gạch không nung, tường 220, kết cấu khung chịu lực, móng băng bê tông cốt thép.</v>
          </cell>
          <cell r="E100" t="str">
            <v>m2sàn</v>
          </cell>
          <cell r="F100">
            <v>5457679.1499999994</v>
          </cell>
          <cell r="G100">
            <v>25</v>
          </cell>
          <cell r="H100">
            <v>0.3</v>
          </cell>
        </row>
        <row r="101">
          <cell r="B101" t="str">
            <v>Nhà 5 tầng-8</v>
          </cell>
          <cell r="C101" t="str">
            <v>Nhà 5 tầng, mái bằng công trình phụ khép kín, xây gạch không nung tường 220, kết cấu khung chịu lực, móng cọc bê tông cốt thép (đơn giá chưa bao gồm cọc BTCT)</v>
          </cell>
          <cell r="E101" t="str">
            <v>m2sàn</v>
          </cell>
          <cell r="F101">
            <v>4538788.2649999997</v>
          </cell>
          <cell r="G101">
            <v>25</v>
          </cell>
          <cell r="H101">
            <v>0.3</v>
          </cell>
        </row>
        <row r="102">
          <cell r="B102" t="str">
            <v>NHÀ BIỆT THỰ</v>
          </cell>
          <cell r="C102" t="str">
            <v xml:space="preserve">Nhà dạng biệt thự
(Đảm bảo quy chuẩn quy định đối với loại nhà biệt thự) </v>
          </cell>
        </row>
        <row r="103">
          <cell r="B103" t="str">
            <v>BIỆT THỰ</v>
          </cell>
          <cell r="C103" t="str">
            <v>Nhà biệt thự</v>
          </cell>
          <cell r="E103" t="str">
            <v>m2sàn</v>
          </cell>
          <cell r="F103">
            <v>5610815.0139999995</v>
          </cell>
          <cell r="G103">
            <v>25</v>
          </cell>
          <cell r="H103">
            <v>0.3</v>
          </cell>
        </row>
        <row r="104">
          <cell r="B104" t="str">
            <v>TẦNG MÁI</v>
          </cell>
          <cell r="C104" t="str">
            <v>Tầng mái lợp mái tôn (chưa bao gồm trần + khung xương)</v>
          </cell>
        </row>
        <row r="105">
          <cell r="B105" t="str">
            <v>MÁI 1</v>
          </cell>
          <cell r="C105" t="str">
            <v>Tầng mái lợp mái tôn. Tường xây gạch chỉ 110, cột bê tông cốt thép, vì kèo + xà gồ thép có công trình phụ khép kín</v>
          </cell>
          <cell r="E105" t="str">
            <v>m2sàn</v>
          </cell>
          <cell r="F105">
            <v>2365240.4129999997</v>
          </cell>
          <cell r="G105">
            <v>25</v>
          </cell>
          <cell r="H105">
            <v>0.3</v>
          </cell>
        </row>
        <row r="106">
          <cell r="B106" t="str">
            <v>MÁI 2</v>
          </cell>
          <cell r="C106" t="str">
            <v>Tầng mái lợp mái tôn. Tường xây gạch chỉ 110, cột bê tông cốt thép, vì kèo + xà gồ thép không có công trình phụ khép kín</v>
          </cell>
          <cell r="E106" t="str">
            <v>m2sàn</v>
          </cell>
          <cell r="F106">
            <v>2031590.8479999998</v>
          </cell>
          <cell r="G106">
            <v>25</v>
          </cell>
          <cell r="H106">
            <v>0.3</v>
          </cell>
        </row>
        <row r="107">
          <cell r="B107" t="str">
            <v>MÁI 3</v>
          </cell>
          <cell r="C107" t="str">
            <v>Tầng mái lợp mái tôn. Cột + vì kèo + xà gồ thép, bưng tôn bao che, không có công trình phụ khép kín</v>
          </cell>
          <cell r="E107" t="str">
            <v>m2sàn</v>
          </cell>
          <cell r="F107">
            <v>1293172.1839999999</v>
          </cell>
          <cell r="G107">
            <v>25</v>
          </cell>
          <cell r="H107">
            <v>0.3</v>
          </cell>
        </row>
        <row r="108">
          <cell r="B108" t="str">
            <v>MÁI 4</v>
          </cell>
          <cell r="C108" t="str">
            <v>Tầng mái lợp mái tôn. Tường xây gạch chỉ 220, cột bê tông cốt thép, vì kèo + xà gồ thép có công trình phụ khép kín</v>
          </cell>
          <cell r="E108" t="str">
            <v>m2sàn</v>
          </cell>
          <cell r="F108">
            <v>3066074.0489999996</v>
          </cell>
          <cell r="G108">
            <v>25</v>
          </cell>
          <cell r="H108">
            <v>0.3</v>
          </cell>
        </row>
        <row r="109">
          <cell r="B109" t="str">
            <v>MÁI 5</v>
          </cell>
          <cell r="C109" t="str">
            <v>Tầng mái lợp mái tôn. Tường xây gạch chỉ 220, cột bê tông cốt thép, vì kèo + xà gồ thép không có công trình phụ khép kín</v>
          </cell>
          <cell r="E109" t="str">
            <v>m2sàn</v>
          </cell>
          <cell r="F109">
            <v>2557216.0749999997</v>
          </cell>
          <cell r="G109">
            <v>25</v>
          </cell>
          <cell r="H109">
            <v>0.3</v>
          </cell>
        </row>
        <row r="110">
          <cell r="B110" t="str">
            <v>MÁI 6</v>
          </cell>
          <cell r="C110" t="str">
            <v>Tầng mái lợp mái tôn. Tường xây gạch không nung, cột bê tông cốt thép, vì kèo + xà gồ thép có công trình phụ khép kín</v>
          </cell>
          <cell r="E110" t="str">
            <v>m2sàn</v>
          </cell>
          <cell r="F110">
            <v>3019459.8619999997</v>
          </cell>
          <cell r="G110">
            <v>25</v>
          </cell>
          <cell r="H110">
            <v>0.3</v>
          </cell>
        </row>
        <row r="111">
          <cell r="B111" t="str">
            <v>MÁI 7</v>
          </cell>
          <cell r="C111" t="str">
            <v>Tầng mái lợp mái tôn. Tường xây gạch không nung, cột bê tông cốt thép, vì kèo + xà gồ thép không có công trình phụ khép kín</v>
          </cell>
          <cell r="E111" t="str">
            <v>m2sàn</v>
          </cell>
          <cell r="F111">
            <v>2522254.6569999997</v>
          </cell>
          <cell r="G111">
            <v>25</v>
          </cell>
          <cell r="H111">
            <v>0.3</v>
          </cell>
        </row>
        <row r="112">
          <cell r="B112" t="str">
            <v>NHÀ PHỤ</v>
          </cell>
          <cell r="C112" t="str">
            <v>mái chống nóng (chưa bao gồm xây tường)</v>
          </cell>
        </row>
        <row r="113">
          <cell r="B113" t="str">
            <v>Nhà phụ-1</v>
          </cell>
          <cell r="C113" t="str">
            <v>Nhà phụ, chiều cao tường ≤ 3m xây gạch xỉ, kết cấu tre, lợp mái Fibro xi măng</v>
          </cell>
          <cell r="E113" t="str">
            <v>m2sàn</v>
          </cell>
          <cell r="F113">
            <v>1774434.551</v>
          </cell>
          <cell r="G113">
            <v>25</v>
          </cell>
          <cell r="H113">
            <v>0.3</v>
          </cell>
        </row>
        <row r="114">
          <cell r="B114" t="str">
            <v>Nhà phụ-2</v>
          </cell>
          <cell r="C114" t="str">
            <v>Nhà phụ, chiều cao tường ≤ 3m xây gạch xỉ, kết cấu gỗ, lợp mái ngói 22viên/m2</v>
          </cell>
          <cell r="E114" t="str">
            <v>m2sàn</v>
          </cell>
          <cell r="F114">
            <v>2666120.7779999999</v>
          </cell>
          <cell r="G114">
            <v>25</v>
          </cell>
          <cell r="H114">
            <v>0.3</v>
          </cell>
        </row>
        <row r="115">
          <cell r="B115" t="str">
            <v>Nhà phụ-3</v>
          </cell>
          <cell r="C115" t="str">
            <v>Nhà phụ, chiều cao tường ≤ 3m xây gạch xỉ, kết cấu thép, lợp mái tôn</v>
          </cell>
          <cell r="E115" t="str">
            <v>m2sàn</v>
          </cell>
          <cell r="F115">
            <v>2125551.344</v>
          </cell>
          <cell r="G115">
            <v>25</v>
          </cell>
          <cell r="H115">
            <v>0.3</v>
          </cell>
        </row>
        <row r="116">
          <cell r="B116" t="str">
            <v>Nhà phụ-4</v>
          </cell>
          <cell r="C116" t="str">
            <v>Nhà phụ, chiều cao tường ≤ 3m xây gạch xỉ, mái bằng</v>
          </cell>
          <cell r="E116" t="str">
            <v>m2sàn</v>
          </cell>
          <cell r="F116">
            <v>2661962.4079999998</v>
          </cell>
          <cell r="G116">
            <v>25</v>
          </cell>
          <cell r="H116">
            <v>0.3</v>
          </cell>
        </row>
        <row r="117">
          <cell r="B117" t="str">
            <v>Nhà phụ-5</v>
          </cell>
          <cell r="C117" t="str">
            <v>Nhà phụ, chiều cao tường ≤ 3m xây gạch chỉ tường 110 bổ trụ, kết cấu tre, lợp mái Fibro xi măng</v>
          </cell>
          <cell r="E117" t="str">
            <v>m2sàn</v>
          </cell>
          <cell r="F117">
            <v>1855530.0249999999</v>
          </cell>
          <cell r="G117">
            <v>25</v>
          </cell>
          <cell r="H117">
            <v>0.3</v>
          </cell>
        </row>
        <row r="118">
          <cell r="B118" t="str">
            <v>Nhà phụ-6</v>
          </cell>
          <cell r="C118" t="str">
            <v>Nhà phụ, chiều cao tường ≤ 3m xây gạch chỉ tường 110 bổ trụ, kết cấu gỗ, lợp mái ngói 22viên/m2</v>
          </cell>
          <cell r="E118" t="str">
            <v>m2sàn</v>
          </cell>
          <cell r="F118">
            <v>2558589.0629999996</v>
          </cell>
          <cell r="G118">
            <v>25</v>
          </cell>
          <cell r="H118">
            <v>0.3</v>
          </cell>
        </row>
        <row r="119">
          <cell r="B119" t="str">
            <v>Nhà phụ-7</v>
          </cell>
          <cell r="C119" t="str">
            <v>Nhà phụ, chiều cao tường ≤ 3m xây gạch chỉ tường 110 bổ trụ, kết cấu thép, lợp mái tôn</v>
          </cell>
          <cell r="E119" t="str">
            <v>m2sàn</v>
          </cell>
          <cell r="F119">
            <v>2108302.923</v>
          </cell>
          <cell r="G119">
            <v>25</v>
          </cell>
          <cell r="H119">
            <v>0.3</v>
          </cell>
        </row>
        <row r="120">
          <cell r="B120" t="str">
            <v>Nhà phụ-8</v>
          </cell>
          <cell r="C120" t="str">
            <v>Nhà phụ, chiều cao tường ≤ 3m xây gạch chỉ tường 110 bổ trụ, mái bằng</v>
          </cell>
          <cell r="E120" t="str">
            <v>m2sàn</v>
          </cell>
          <cell r="F120">
            <v>2825820.852</v>
          </cell>
          <cell r="G120">
            <v>25</v>
          </cell>
          <cell r="H120">
            <v>0.3</v>
          </cell>
        </row>
        <row r="121">
          <cell r="B121" t="str">
            <v>Nhà phụ-9</v>
          </cell>
          <cell r="C121" t="str">
            <v>Nhà phụ, chiều cao tường ≤ 3m xây gạch không nung tường 110 bổ trụ, kết cấu tre, lợp mái Fibro xi măng</v>
          </cell>
          <cell r="E121" t="str">
            <v>m2sàn</v>
          </cell>
          <cell r="F121">
            <v>1839625.5559999999</v>
          </cell>
          <cell r="G121">
            <v>25</v>
          </cell>
          <cell r="H121">
            <v>0.3</v>
          </cell>
        </row>
        <row r="122">
          <cell r="B122" t="str">
            <v>Nhà phụ-10</v>
          </cell>
          <cell r="C122" t="str">
            <v>Nhà phụ, chiều cao tường ≤ 3m xây gạch không nung tường 110 bổ trụ, kết cấu gỗ, lợp mái ngói 22viên/m2</v>
          </cell>
          <cell r="E122" t="str">
            <v>m2sàn</v>
          </cell>
          <cell r="F122">
            <v>2752754.8689999999</v>
          </cell>
          <cell r="G122">
            <v>25</v>
          </cell>
          <cell r="H122">
            <v>0.3</v>
          </cell>
        </row>
        <row r="123">
          <cell r="B123" t="str">
            <v>Nhà phụ-11</v>
          </cell>
          <cell r="C123" t="str">
            <v>Nhà phụ, chiều cao tường ≤ 3m xây gạch không nung tường 110 bổ trụ, kết cấu thép, lợp mái tôn</v>
          </cell>
          <cell r="E123" t="str">
            <v>m2sàn</v>
          </cell>
          <cell r="F123">
            <v>2171035.2009999999</v>
          </cell>
          <cell r="G123">
            <v>25</v>
          </cell>
          <cell r="H123">
            <v>0.3</v>
          </cell>
        </row>
        <row r="124">
          <cell r="B124" t="str">
            <v>Nhà phụ-12</v>
          </cell>
          <cell r="C124" t="str">
            <v>Nhà phụ, chiều cao tường ≤ 3m xây gạch không nung tường 110 bổ trụ, mái bằng</v>
          </cell>
          <cell r="E124" t="str">
            <v>m2sàn</v>
          </cell>
          <cell r="F124">
            <v>2799986.071</v>
          </cell>
          <cell r="G124">
            <v>25</v>
          </cell>
          <cell r="H124">
            <v>0.3</v>
          </cell>
        </row>
        <row r="125">
          <cell r="B125" t="str">
            <v>Nhà phụ-13</v>
          </cell>
          <cell r="C125" t="str">
            <v>Nhà phụ, chiều cao tường ≤ 3m xây gạch chỉ tường 220, kết cấu tre, lợp mái Fibro xi măng</v>
          </cell>
          <cell r="E125" t="str">
            <v>m2sàn</v>
          </cell>
          <cell r="F125">
            <v>2441495.1709999996</v>
          </cell>
          <cell r="G125">
            <v>25</v>
          </cell>
          <cell r="H125">
            <v>0.3</v>
          </cell>
        </row>
        <row r="126">
          <cell r="B126" t="str">
            <v>Nhà phụ-14</v>
          </cell>
          <cell r="C126" t="str">
            <v>Nhà phụ, chiều cao tường ≤ 3m xây gạch chỉ tường 220, kết cấu gỗ, lợp mái ngói 22viên/m2</v>
          </cell>
          <cell r="E126" t="str">
            <v>m2sàn</v>
          </cell>
          <cell r="F126">
            <v>3254066.5939999996</v>
          </cell>
          <cell r="G126">
            <v>25</v>
          </cell>
          <cell r="H126">
            <v>0.3</v>
          </cell>
        </row>
        <row r="127">
          <cell r="B127" t="str">
            <v>Nhà phụ-15</v>
          </cell>
          <cell r="C127" t="str">
            <v>Nhà phụ, chiều cao tường ≤ 3m xây gạch chỉ tường 220, kết cấu thép, lợp mái tôn</v>
          </cell>
          <cell r="E127" t="str">
            <v>m2sàn</v>
          </cell>
          <cell r="F127">
            <v>3115278.6619999995</v>
          </cell>
          <cell r="G127">
            <v>25</v>
          </cell>
          <cell r="H127">
            <v>0.3</v>
          </cell>
        </row>
        <row r="128">
          <cell r="B128" t="str">
            <v>Nhà phụ-16</v>
          </cell>
          <cell r="C128" t="str">
            <v>Nhà phụ, chiều cao tường ≤ 3m xây gạch chỉ, mái bằng, tường 220</v>
          </cell>
          <cell r="E128" t="str">
            <v>m2sàn</v>
          </cell>
          <cell r="F128">
            <v>3113574.8709999998</v>
          </cell>
          <cell r="G128">
            <v>25</v>
          </cell>
          <cell r="H128">
            <v>0.3</v>
          </cell>
        </row>
        <row r="129">
          <cell r="B129" t="str">
            <v>Nhà phụ-17</v>
          </cell>
          <cell r="C129" t="str">
            <v>Nhà phụ, chiều cao tường ≤ 3m xây gạch không nung tường 220, kết cấu tre, lợp mái Fibro xi măng</v>
          </cell>
          <cell r="E129" t="str">
            <v>m2sàn</v>
          </cell>
          <cell r="F129">
            <v>2405295.5749999997</v>
          </cell>
          <cell r="G129">
            <v>25</v>
          </cell>
          <cell r="H129">
            <v>0.3</v>
          </cell>
        </row>
        <row r="130">
          <cell r="B130" t="str">
            <v>Nhà phụ-18</v>
          </cell>
          <cell r="C130" t="str">
            <v>Nhà phụ, chiều cao tường ≤ 3m xây gạch không nung tường 220, kết cấu gỗ, lợp mái ngói 22viên/m2</v>
          </cell>
          <cell r="E130" t="str">
            <v>m2sàn</v>
          </cell>
          <cell r="F130">
            <v>3217397.2369999997</v>
          </cell>
          <cell r="G130">
            <v>25</v>
          </cell>
          <cell r="H130">
            <v>0.3</v>
          </cell>
        </row>
        <row r="131">
          <cell r="B131" t="str">
            <v>Nhà phụ-19</v>
          </cell>
          <cell r="C131" t="str">
            <v>Nhà phụ, chiều cao tường ≤ 3m xây gạch không nung tường 220, kết cấu thép, lợp mái tôn</v>
          </cell>
          <cell r="E131" t="str">
            <v>m2sàn</v>
          </cell>
          <cell r="F131">
            <v>3071437.4129999997</v>
          </cell>
          <cell r="G131">
            <v>25</v>
          </cell>
          <cell r="H131">
            <v>0.3</v>
          </cell>
        </row>
        <row r="132">
          <cell r="B132" t="str">
            <v>Nhà phụ-20</v>
          </cell>
          <cell r="C132" t="str">
            <v>Nhà phụ, chiều cao tường ≤ 3m xây gạch không nung, mái bằng, tường 220</v>
          </cell>
          <cell r="E132" t="str">
            <v>m2sàn</v>
          </cell>
          <cell r="F132">
            <v>3077453.05</v>
          </cell>
          <cell r="G132">
            <v>25</v>
          </cell>
          <cell r="H132">
            <v>0.3</v>
          </cell>
        </row>
        <row r="133">
          <cell r="B133" t="str">
            <v>Nhà phụ-21</v>
          </cell>
          <cell r="C133" t="str">
            <v>Nhà phụ, chiều cao tường ≤ 3m mái lá, rạ, phên nứa, sườn tre</v>
          </cell>
          <cell r="E133" t="str">
            <v>m2sàn</v>
          </cell>
          <cell r="F133">
            <v>1142976.2149999999</v>
          </cell>
          <cell r="G133">
            <v>25</v>
          </cell>
          <cell r="H133">
            <v>0.3</v>
          </cell>
        </row>
        <row r="134">
          <cell r="B134" t="str">
            <v>Nhà phụ-22</v>
          </cell>
          <cell r="C134" t="str">
            <v>Nhà phụ,  xây gạch chỉ, chiều cao tường &lt; 2m, kết cấu tre, lợp mái Fibro xi măng</v>
          </cell>
          <cell r="E134" t="str">
            <v>m2sàn</v>
          </cell>
          <cell r="F134">
            <v>1289364.3199999998</v>
          </cell>
          <cell r="G134">
            <v>25</v>
          </cell>
          <cell r="H134">
            <v>0.3</v>
          </cell>
        </row>
        <row r="135">
          <cell r="B135" t="str">
            <v>Nhà phụ-23</v>
          </cell>
          <cell r="C135" t="str">
            <v>Nhà phụ,  xây gạch chỉ, chiều cao tường &lt; 2m, kết cấu thép, lợp mái tôn</v>
          </cell>
          <cell r="E135" t="str">
            <v>m2sàn</v>
          </cell>
          <cell r="F135">
            <v>1492815.4239999999</v>
          </cell>
          <cell r="G135">
            <v>25</v>
          </cell>
          <cell r="H135">
            <v>0.3</v>
          </cell>
        </row>
        <row r="136">
          <cell r="B136" t="str">
            <v>Nhà phụ-24</v>
          </cell>
          <cell r="C136" t="str">
            <v>Nhà phụ,  xây gạch không nung, chiều cao tường &lt; 2m, kết cấu tre, lợp mái Fibro xi măng</v>
          </cell>
          <cell r="E136" t="str">
            <v>m2sàn</v>
          </cell>
          <cell r="F136">
            <v>1275952.7989999999</v>
          </cell>
          <cell r="G136">
            <v>25</v>
          </cell>
          <cell r="H136">
            <v>0.3</v>
          </cell>
        </row>
        <row r="137">
          <cell r="B137" t="str">
            <v>Nhà phụ-25</v>
          </cell>
          <cell r="C137" t="str">
            <v>Nhà phụ,  xây gạch không nung, chiều cao tường &lt; 2m, kết cấu thép, lợp mái tôn</v>
          </cell>
          <cell r="E137" t="str">
            <v>m2sàn</v>
          </cell>
          <cell r="F137">
            <v>1484519.4239999999</v>
          </cell>
          <cell r="G137">
            <v>25</v>
          </cell>
          <cell r="H137">
            <v>0.3</v>
          </cell>
        </row>
        <row r="138">
          <cell r="B138" t="str">
            <v>Rãnh nước</v>
          </cell>
          <cell r="C138" t="str">
            <v xml:space="preserve">Rãnh thoát nước nắp bằng tấm đan bê tông </v>
          </cell>
        </row>
        <row r="139">
          <cell r="B139" t="str">
            <v>rãnh nước 1</v>
          </cell>
          <cell r="C139" t="str">
            <v>Rãnh thoát nước kích thước 0,4x0,6 xây gạch không nung</v>
          </cell>
          <cell r="E139" t="str">
            <v>m</v>
          </cell>
          <cell r="F139">
            <v>1007342.8369999999</v>
          </cell>
          <cell r="G139">
            <v>20</v>
          </cell>
          <cell r="H139">
            <v>0.3</v>
          </cell>
        </row>
        <row r="140">
          <cell r="B140" t="str">
            <v>rãnh nước 2</v>
          </cell>
          <cell r="C140" t="str">
            <v>Rãnh thoát nước kích thước 0,4x0,6 xây gạch chỉ</v>
          </cell>
          <cell r="E140" t="str">
            <v>m</v>
          </cell>
          <cell r="F140">
            <v>1015892.9019999999</v>
          </cell>
          <cell r="G140">
            <v>20</v>
          </cell>
          <cell r="H140">
            <v>0.3</v>
          </cell>
        </row>
        <row r="141">
          <cell r="B141" t="str">
            <v>rãnh nước 3</v>
          </cell>
          <cell r="C141" t="str">
            <v>Rãnh thoát nước xây gạch chỉ tấm đan bê tông kích thước 0,3x0,8</v>
          </cell>
          <cell r="E141" t="str">
            <v>m</v>
          </cell>
          <cell r="F141">
            <v>1132742.0619999999</v>
          </cell>
          <cell r="G141">
            <v>20</v>
          </cell>
          <cell r="H141">
            <v>0.3</v>
          </cell>
        </row>
        <row r="142">
          <cell r="B142" t="str">
            <v>rãnh nước 4</v>
          </cell>
          <cell r="C142" t="str">
            <v>Rãnh thoát nước xây gạch chỉ tấm đan bê tông kích thước 0,4x0,8</v>
          </cell>
          <cell r="E142" t="str">
            <v>m</v>
          </cell>
          <cell r="F142">
            <v>1216249.598</v>
          </cell>
          <cell r="G142">
            <v>20</v>
          </cell>
          <cell r="H142">
            <v>0.3</v>
          </cell>
        </row>
        <row r="143">
          <cell r="B143" t="str">
            <v>rãnh nước 5</v>
          </cell>
          <cell r="C143" t="str">
            <v>Rãnh thoát nước xây gạch chỉ tấm đan bê tông kích thước 0,5x 0,9</v>
          </cell>
          <cell r="E143" t="str">
            <v>m</v>
          </cell>
          <cell r="F143">
            <v>1401653.791</v>
          </cell>
          <cell r="G143">
            <v>20</v>
          </cell>
          <cell r="H143">
            <v>0.3</v>
          </cell>
        </row>
        <row r="144">
          <cell r="B144" t="str">
            <v>rãnh nước 6</v>
          </cell>
          <cell r="C144" t="str">
            <v>Rãnh thoát nước xây gạch không nung tấm đan bê tông kích thước 0,3x0,6</v>
          </cell>
          <cell r="E144" t="str">
            <v>m</v>
          </cell>
          <cell r="F144">
            <v>970808.28999999992</v>
          </cell>
          <cell r="G144">
            <v>20</v>
          </cell>
          <cell r="H144">
            <v>0.3</v>
          </cell>
        </row>
        <row r="145">
          <cell r="B145" t="str">
            <v>rãnh nước 7</v>
          </cell>
          <cell r="C145" t="str">
            <v>Rãnh thoát nước xây gạch không nung tấm đan bê tông kích thước 0,4x 0,9</v>
          </cell>
          <cell r="E145" t="str">
            <v>m</v>
          </cell>
          <cell r="F145">
            <v>1374372.3949999998</v>
          </cell>
          <cell r="G145">
            <v>20</v>
          </cell>
          <cell r="H145">
            <v>0.3</v>
          </cell>
        </row>
        <row r="146">
          <cell r="B146" t="str">
            <v>rãnh nước 8</v>
          </cell>
          <cell r="C146" t="str">
            <v>Rãnh thoát nước xây gạch không nung tấm đan bê tông kích thước 0,5x 0,8</v>
          </cell>
          <cell r="E146" t="str">
            <v>m</v>
          </cell>
          <cell r="F146">
            <v>1379682.872</v>
          </cell>
          <cell r="G146">
            <v>20</v>
          </cell>
          <cell r="H146">
            <v>0.3</v>
          </cell>
        </row>
        <row r="147">
          <cell r="B147" t="str">
            <v>Bể</v>
          </cell>
          <cell r="C147" t="str">
            <v>Bể nước – giếng khoan – bể phốt:</v>
          </cell>
        </row>
        <row r="148">
          <cell r="B148" t="str">
            <v>bể nước 1</v>
          </cell>
          <cell r="C148" t="str">
            <v>Bể nước xây gạch chỉ khối tích ≤ 4m3</v>
          </cell>
          <cell r="E148" t="str">
            <v>m3</v>
          </cell>
          <cell r="F148">
            <v>1909855.3439999998</v>
          </cell>
          <cell r="G148">
            <v>20</v>
          </cell>
          <cell r="H148">
            <v>0.3</v>
          </cell>
        </row>
        <row r="149">
          <cell r="B149" t="str">
            <v>bể nước 2</v>
          </cell>
          <cell r="C149" t="str">
            <v>Bể nước xây gạch chỉ khối tích ≤ 10m3 có nắp đan bê tông</v>
          </cell>
          <cell r="E149" t="str">
            <v>m3</v>
          </cell>
          <cell r="F149">
            <v>1715256.0719999999</v>
          </cell>
          <cell r="G149">
            <v>20</v>
          </cell>
          <cell r="H149">
            <v>0.3</v>
          </cell>
        </row>
        <row r="150">
          <cell r="B150" t="str">
            <v>bể nước 3</v>
          </cell>
          <cell r="C150" t="str">
            <v>Bể nước xây gạch chỉ khối tích ≤ 10m3 không có nắp đan bê tông</v>
          </cell>
          <cell r="E150" t="str">
            <v>m3</v>
          </cell>
          <cell r="F150">
            <v>1139113.3899999999</v>
          </cell>
          <cell r="G150">
            <v>20</v>
          </cell>
          <cell r="H150">
            <v>0.3</v>
          </cell>
        </row>
        <row r="151">
          <cell r="B151" t="str">
            <v>bể nước 4</v>
          </cell>
          <cell r="C151" t="str">
            <v>Bể nước xây gạch chỉ khối tích &gt; 10m3 có nắp đan bê tông</v>
          </cell>
          <cell r="E151" t="str">
            <v>m3</v>
          </cell>
          <cell r="F151">
            <v>1222713.2189999998</v>
          </cell>
          <cell r="G151">
            <v>20</v>
          </cell>
          <cell r="H151">
            <v>0.3</v>
          </cell>
          <cell r="K151">
            <v>26.25</v>
          </cell>
        </row>
        <row r="152">
          <cell r="B152" t="str">
            <v>bể nước 5</v>
          </cell>
          <cell r="C152" t="str">
            <v>Bể nước xây gạch chỉ khối tích &gt; 10m3 không có nắp đan bê tông</v>
          </cell>
          <cell r="E152" t="str">
            <v>m3</v>
          </cell>
          <cell r="F152">
            <v>991300.44699999993</v>
          </cell>
          <cell r="G152">
            <v>20</v>
          </cell>
          <cell r="H152">
            <v>0.3</v>
          </cell>
        </row>
        <row r="153">
          <cell r="B153" t="str">
            <v>bể phốt</v>
          </cell>
          <cell r="C153" t="str">
            <v xml:space="preserve">Bể phốt </v>
          </cell>
          <cell r="E153" t="str">
            <v>m3</v>
          </cell>
          <cell r="F153">
            <v>2470041.7069999999</v>
          </cell>
          <cell r="G153">
            <v>20</v>
          </cell>
          <cell r="H153">
            <v>0.3</v>
          </cell>
        </row>
        <row r="154">
          <cell r="B154" t="str">
            <v>gk</v>
          </cell>
          <cell r="C154" t="str">
            <v>Giếng khoan</v>
          </cell>
          <cell r="E154" t="str">
            <v>m</v>
          </cell>
          <cell r="F154">
            <v>94113.971999999994</v>
          </cell>
          <cell r="G154">
            <v>20</v>
          </cell>
          <cell r="H154">
            <v>0.3</v>
          </cell>
        </row>
        <row r="155">
          <cell r="B155" t="str">
            <v>giếng khơi</v>
          </cell>
          <cell r="C155" t="str">
            <v>Giếng khơi</v>
          </cell>
          <cell r="E155" t="str">
            <v>m</v>
          </cell>
          <cell r="F155">
            <v>2573644.2289999998</v>
          </cell>
          <cell r="G155">
            <v>20</v>
          </cell>
          <cell r="H155">
            <v>0.3</v>
          </cell>
        </row>
        <row r="156">
          <cell r="B156" t="str">
            <v>Sân</v>
          </cell>
          <cell r="C156" t="str">
            <v>Sân</v>
          </cell>
        </row>
        <row r="157">
          <cell r="B157" t="str">
            <v>sân láng vữa</v>
          </cell>
          <cell r="C157" t="str">
            <v>Sân bê tông gạch vỡ láng vữa XM cát</v>
          </cell>
          <cell r="E157" t="str">
            <v>m2</v>
          </cell>
          <cell r="F157">
            <v>205465.995</v>
          </cell>
          <cell r="H157">
            <v>0.3</v>
          </cell>
        </row>
        <row r="158">
          <cell r="B158" t="str">
            <v>sân gạch chỉ</v>
          </cell>
          <cell r="C158" t="str">
            <v>Sân lát gạch chỉ</v>
          </cell>
          <cell r="E158" t="str">
            <v>m2</v>
          </cell>
          <cell r="F158">
            <v>291091.08499999996</v>
          </cell>
          <cell r="H158">
            <v>0.3</v>
          </cell>
        </row>
        <row r="159">
          <cell r="B159" t="str">
            <v>sân gạch lá nêm</v>
          </cell>
          <cell r="C159" t="str">
            <v>Sân lát gạch lá nem</v>
          </cell>
          <cell r="E159" t="str">
            <v>m2</v>
          </cell>
          <cell r="F159">
            <v>292663.17699999997</v>
          </cell>
          <cell r="H159">
            <v>0.3</v>
          </cell>
        </row>
        <row r="160">
          <cell r="B160" t="str">
            <v>sân bê tông</v>
          </cell>
          <cell r="C160" t="str">
            <v>Sân bê tông M200</v>
          </cell>
          <cell r="E160" t="str">
            <v>m2</v>
          </cell>
          <cell r="F160">
            <v>327172.46299999999</v>
          </cell>
          <cell r="H160">
            <v>0.3</v>
          </cell>
        </row>
        <row r="161">
          <cell r="B161" t="str">
            <v>sân gạch chống trơn</v>
          </cell>
          <cell r="C161" t="str">
            <v>Sân đổ bê tông lát gạch chống trơn trượt, kích thước 40x40/60x60 cm</v>
          </cell>
          <cell r="E161" t="str">
            <v>m2</v>
          </cell>
          <cell r="F161">
            <v>482632.24399999995</v>
          </cell>
          <cell r="H161">
            <v>0.3</v>
          </cell>
        </row>
        <row r="162">
          <cell r="B162" t="str">
            <v>Chống nóng</v>
          </cell>
          <cell r="C162" t="str">
            <v>Mái chống nóng (chưa bao gồm xây tường)</v>
          </cell>
        </row>
        <row r="163">
          <cell r="B163" t="str">
            <v>chống nóng 01</v>
          </cell>
          <cell r="C163" t="str">
            <v>Mái chống nóng (chưa bao gồm xây tường) lợp ngói 22viên/m2 kèo gỗ</v>
          </cell>
          <cell r="E163" t="str">
            <v>m2</v>
          </cell>
          <cell r="F163">
            <v>1379661.095</v>
          </cell>
          <cell r="H163">
            <v>0.3</v>
          </cell>
        </row>
        <row r="164">
          <cell r="B164" t="str">
            <v>chống nóng 02</v>
          </cell>
          <cell r="C164" t="str">
            <v>Mái chống nóng (chưa bao gồm xây tường) lợp tôn kèo thép</v>
          </cell>
          <cell r="E164" t="str">
            <v>m2</v>
          </cell>
          <cell r="F164">
            <v>895938.96399999992</v>
          </cell>
          <cell r="H164">
            <v>0.3</v>
          </cell>
        </row>
        <row r="165">
          <cell r="B165" t="str">
            <v>chống nóng 03</v>
          </cell>
          <cell r="C165" t="str">
            <v>Mái chống nóng (chưa bao gồm xây tường) lợp tôn cột + kèo thép</v>
          </cell>
          <cell r="E165" t="str">
            <v>m2</v>
          </cell>
          <cell r="F165">
            <v>976749.26299999992</v>
          </cell>
          <cell r="H165">
            <v>0.3</v>
          </cell>
        </row>
        <row r="166">
          <cell r="B166" t="str">
            <v>chống nóng 04</v>
          </cell>
          <cell r="C166" t="str">
            <v>Mái chống nóng (chưa bao gồm xây tường) lợp fibrõximăng kèo tre</v>
          </cell>
          <cell r="E166" t="str">
            <v>m2</v>
          </cell>
          <cell r="F166">
            <v>231113.07899999997</v>
          </cell>
          <cell r="H166">
            <v>0.3</v>
          </cell>
        </row>
        <row r="167">
          <cell r="B167" t="str">
            <v>chống nóng 05</v>
          </cell>
          <cell r="C167" t="str">
            <v>Mái chống nóng (chưa bao gồm xây tường) lát gạch rỗng 6 lỗ</v>
          </cell>
          <cell r="E167" t="str">
            <v>m2</v>
          </cell>
          <cell r="F167">
            <v>307757.74899999995</v>
          </cell>
          <cell r="H167">
            <v>0.3</v>
          </cell>
        </row>
        <row r="168">
          <cell r="B168" t="str">
            <v>chống nóng 06</v>
          </cell>
          <cell r="C168" t="str">
            <v>Mái chống nóng (chưa bao gồm xây tường) xây gạch, đặt tấm đan bê tông</v>
          </cell>
          <cell r="E168" t="str">
            <v>m2</v>
          </cell>
          <cell r="F168">
            <v>465195.08899999998</v>
          </cell>
          <cell r="H168">
            <v>0.3</v>
          </cell>
        </row>
        <row r="169">
          <cell r="B169" t="str">
            <v>Mái vẩy</v>
          </cell>
          <cell r="C169" t="str">
            <v>Mái đua mái vẩy không xây tường gắn với công trình chính</v>
          </cell>
        </row>
        <row r="170">
          <cell r="B170" t="str">
            <v>mái vẩy bê tông</v>
          </cell>
          <cell r="C170" t="str">
            <v>Mái đua mái vẩy không xây tường gắn với công trình chính, mái bê tông cốt thép dán ngói</v>
          </cell>
          <cell r="E170" t="str">
            <v>m2</v>
          </cell>
          <cell r="F170">
            <v>1115228.169</v>
          </cell>
          <cell r="H170">
            <v>0.3</v>
          </cell>
        </row>
        <row r="171">
          <cell r="B171" t="str">
            <v>mái vẩy ngói</v>
          </cell>
          <cell r="C171" t="str">
            <v xml:space="preserve">Mái đua mái vẩy không xây tường gắn với công trình chính, mái ngói </v>
          </cell>
          <cell r="E171" t="str">
            <v>m2</v>
          </cell>
          <cell r="F171">
            <v>758408.91299999994</v>
          </cell>
          <cell r="H171">
            <v>0.3</v>
          </cell>
        </row>
        <row r="172">
          <cell r="B172" t="str">
            <v>mái vẩy tôn</v>
          </cell>
          <cell r="C172" t="str">
            <v>Mái đua mái vẩy không xây tường gắn với công trình chính, mái tôn</v>
          </cell>
          <cell r="E172" t="str">
            <v>m2</v>
          </cell>
          <cell r="F172">
            <v>651940.12299999991</v>
          </cell>
          <cell r="H172">
            <v>0.3</v>
          </cell>
        </row>
        <row r="173">
          <cell r="B173" t="str">
            <v>mái vẩy fibro</v>
          </cell>
          <cell r="C173" t="str">
            <v>Mái đua mái vẩy không xây tường gắn với công trình chính, mái fibro xi măng</v>
          </cell>
          <cell r="E173" t="str">
            <v>m2</v>
          </cell>
          <cell r="F173">
            <v>141583.68399999998</v>
          </cell>
          <cell r="H173">
            <v>0.3</v>
          </cell>
        </row>
        <row r="174">
          <cell r="B174" t="str">
            <v>Gác xép</v>
          </cell>
          <cell r="C174" t="str">
            <v>Gác xép</v>
          </cell>
        </row>
        <row r="175">
          <cell r="B175" t="str">
            <v>gác xép BTCT</v>
          </cell>
          <cell r="C175" t="str">
            <v>Gác xép bê tông cốt thép</v>
          </cell>
          <cell r="E175" t="str">
            <v>m2</v>
          </cell>
          <cell r="F175">
            <v>1243574.548</v>
          </cell>
          <cell r="H175">
            <v>0.3</v>
          </cell>
        </row>
        <row r="176">
          <cell r="B176" t="str">
            <v>gác xép gỗ</v>
          </cell>
          <cell r="C176" t="str">
            <v>Gác xép: Dầm, sàn bằng gỗ</v>
          </cell>
          <cell r="E176" t="str">
            <v>m2</v>
          </cell>
          <cell r="F176">
            <v>3097066.8679999998</v>
          </cell>
          <cell r="H176">
            <v>0.3</v>
          </cell>
        </row>
        <row r="177">
          <cell r="B177" t="str">
            <v>gác xép thép</v>
          </cell>
          <cell r="C177" t="str">
            <v>Gác xép: Dầm bằng thép, sàn bằng gỗ</v>
          </cell>
          <cell r="E177" t="str">
            <v>m2</v>
          </cell>
          <cell r="F177">
            <v>1427356.8729999999</v>
          </cell>
          <cell r="H177">
            <v>0.3</v>
          </cell>
        </row>
        <row r="178">
          <cell r="B178" t="str">
            <v>Ban công BTCT</v>
          </cell>
          <cell r="C178" t="str">
            <v>Ban công sàn bê tông cốt thép</v>
          </cell>
        </row>
        <row r="179">
          <cell r="B179" t="str">
            <v>ban công tưởng gạch</v>
          </cell>
          <cell r="C179" t="str">
            <v>Ban công sàn bê tông cốt thép, tường lửng xây gạch</v>
          </cell>
          <cell r="E179" t="str">
            <v>m2</v>
          </cell>
          <cell r="F179">
            <v>3215544.1179999998</v>
          </cell>
          <cell r="G179">
            <v>25</v>
          </cell>
          <cell r="H179">
            <v>0.3</v>
          </cell>
        </row>
        <row r="180">
          <cell r="B180" t="str">
            <v>ban công lan can sắt</v>
          </cell>
          <cell r="C180" t="str">
            <v>Ban công sàn bê tông cốt thép, lan can sắt</v>
          </cell>
          <cell r="E180" t="str">
            <v>m2</v>
          </cell>
          <cell r="F180">
            <v>3745001.0599999996</v>
          </cell>
          <cell r="G180">
            <v>25</v>
          </cell>
          <cell r="H180">
            <v>0.3</v>
          </cell>
        </row>
        <row r="181">
          <cell r="B181" t="str">
            <v>ban công lan can inox</v>
          </cell>
          <cell r="C181" t="str">
            <v>Ban công sàn bê tông cốt thép, lan can I-NOX</v>
          </cell>
          <cell r="E181" t="str">
            <v>m2</v>
          </cell>
          <cell r="F181">
            <v>4533961.0299999993</v>
          </cell>
          <cell r="G181">
            <v>25</v>
          </cell>
          <cell r="H181">
            <v>0.3</v>
          </cell>
        </row>
        <row r="182">
          <cell r="B182" t="str">
            <v>ban công lan can kính</v>
          </cell>
          <cell r="C182" t="str">
            <v>Ban công sàn bê tông cốt thép, lan can Kính</v>
          </cell>
          <cell r="E182" t="str">
            <v>m2</v>
          </cell>
          <cell r="F182">
            <v>2769233.8359999997</v>
          </cell>
          <cell r="G182">
            <v>25</v>
          </cell>
          <cell r="H182">
            <v>0.3</v>
          </cell>
        </row>
        <row r="183">
          <cell r="B183" t="str">
            <v>Công tác đào đắp đất, đóng cọc tre</v>
          </cell>
          <cell r="C183" t="str">
            <v>Công tác đào đắp đất, đóng cọc tre</v>
          </cell>
        </row>
        <row r="184">
          <cell r="B184" t="str">
            <v>đào móng 1</v>
          </cell>
          <cell r="C184" t="str">
            <v>Đào móng trụ cột bằng thủ công</v>
          </cell>
          <cell r="E184" t="str">
            <v>m3</v>
          </cell>
          <cell r="F184">
            <v>400469.69699999999</v>
          </cell>
          <cell r="G184">
            <v>25</v>
          </cell>
          <cell r="H184">
            <v>0.3</v>
          </cell>
        </row>
        <row r="185">
          <cell r="B185" t="str">
            <v>đào móng 2</v>
          </cell>
          <cell r="C185" t="str">
            <v>Đào móng băng, bằng thủ công</v>
          </cell>
          <cell r="E185" t="str">
            <v>m3</v>
          </cell>
          <cell r="F185">
            <v>275945.69999999995</v>
          </cell>
          <cell r="G185">
            <v>25</v>
          </cell>
          <cell r="H185">
            <v>0.3</v>
          </cell>
        </row>
        <row r="186">
          <cell r="B186" t="str">
            <v>đào móng 3</v>
          </cell>
          <cell r="C186" t="str">
            <v>Đào móng bằng máy đào 0,8m3</v>
          </cell>
          <cell r="E186" t="str">
            <v>m3</v>
          </cell>
          <cell r="F186">
            <v>33328.142999999996</v>
          </cell>
          <cell r="G186">
            <v>25</v>
          </cell>
          <cell r="H186">
            <v>0.3</v>
          </cell>
        </row>
        <row r="187">
          <cell r="B187" t="str">
            <v>đắp đất 1</v>
          </cell>
          <cell r="C187" t="str">
            <v>Đắp đất nền móng công trình, bằng thủ công</v>
          </cell>
          <cell r="E187" t="str">
            <v>m3</v>
          </cell>
          <cell r="F187">
            <v>192130.17499999999</v>
          </cell>
          <cell r="G187">
            <v>25</v>
          </cell>
          <cell r="H187">
            <v>0.3</v>
          </cell>
        </row>
        <row r="188">
          <cell r="B188" t="str">
            <v>đắp đất 2</v>
          </cell>
          <cell r="C188" t="str">
            <v>Đắp đất công trình bằng đầm cóc</v>
          </cell>
          <cell r="E188" t="str">
            <v>m3</v>
          </cell>
          <cell r="F188">
            <v>50624.265999999996</v>
          </cell>
          <cell r="G188">
            <v>25</v>
          </cell>
          <cell r="H188">
            <v>0.3</v>
          </cell>
        </row>
        <row r="189">
          <cell r="B189" t="str">
            <v>đắp cát 1</v>
          </cell>
          <cell r="C189" t="str">
            <v>Đắp cát nền móng công trình bằng thủ công cát mođun 0,7-1,4</v>
          </cell>
          <cell r="E189" t="str">
            <v>m3</v>
          </cell>
          <cell r="F189">
            <v>490537.29499999998</v>
          </cell>
          <cell r="G189">
            <v>25</v>
          </cell>
          <cell r="H189">
            <v>0.3</v>
          </cell>
        </row>
        <row r="190">
          <cell r="B190" t="str">
            <v>đắp cát 2</v>
          </cell>
          <cell r="C190" t="str">
            <v>Đắp cát bằng máy đầm cóc cát modun 0,7-1,4</v>
          </cell>
          <cell r="E190" t="str">
            <v>m3</v>
          </cell>
          <cell r="F190">
            <v>357380.27299999999</v>
          </cell>
          <cell r="G190">
            <v>25</v>
          </cell>
          <cell r="H190">
            <v>0.3</v>
          </cell>
        </row>
        <row r="191">
          <cell r="B191" t="str">
            <v>đóng cọc tre</v>
          </cell>
          <cell r="C191" t="str">
            <v>Đóng cọc tre gia cố nền đất</v>
          </cell>
          <cell r="E191" t="str">
            <v>m</v>
          </cell>
          <cell r="F191">
            <v>29089.923999999999</v>
          </cell>
          <cell r="G191">
            <v>25</v>
          </cell>
          <cell r="H191">
            <v>0.3</v>
          </cell>
        </row>
        <row r="192">
          <cell r="B192" t="str">
            <v>đào ao 1</v>
          </cell>
          <cell r="C192" t="str">
            <v>Đào ao, kênh mương bằng máy đào 0,8m3</v>
          </cell>
          <cell r="E192" t="str">
            <v>m3</v>
          </cell>
          <cell r="F192">
            <v>32117.963999999996</v>
          </cell>
          <cell r="G192">
            <v>25</v>
          </cell>
          <cell r="H192">
            <v>0.3</v>
          </cell>
        </row>
        <row r="193">
          <cell r="B193" t="str">
            <v>đào ao 2</v>
          </cell>
          <cell r="C193" t="str">
            <v>Đào ao, kênh mương bằng thủ công</v>
          </cell>
          <cell r="E193" t="str">
            <v>m3</v>
          </cell>
          <cell r="F193">
            <v>284764.348</v>
          </cell>
          <cell r="G193">
            <v>25</v>
          </cell>
          <cell r="H193">
            <v>0.3</v>
          </cell>
        </row>
        <row r="194">
          <cell r="B194" t="str">
            <v>Móng, tường, xây trụ</v>
          </cell>
          <cell r="C194" t="str">
            <v>Công tác xây gạch</v>
          </cell>
        </row>
        <row r="195">
          <cell r="B195" t="str">
            <v>Móng 1</v>
          </cell>
          <cell r="C195" t="str">
            <v>Móng gạch chỉ vữa TH M50</v>
          </cell>
          <cell r="E195" t="str">
            <v>m3</v>
          </cell>
          <cell r="F195">
            <v>1872193.5779999997</v>
          </cell>
          <cell r="G195">
            <v>20</v>
          </cell>
          <cell r="H195">
            <v>0.3</v>
          </cell>
        </row>
        <row r="196">
          <cell r="B196" t="str">
            <v>Móng 2</v>
          </cell>
          <cell r="C196" t="str">
            <v>Móng gạch chỉ vữa XM M75</v>
          </cell>
          <cell r="E196" t="str">
            <v>m3</v>
          </cell>
          <cell r="F196">
            <v>1991366.6549999998</v>
          </cell>
          <cell r="G196">
            <v>20</v>
          </cell>
          <cell r="H196">
            <v>0.3</v>
          </cell>
        </row>
        <row r="197">
          <cell r="B197" t="str">
            <v>Móng 3</v>
          </cell>
          <cell r="C197" t="str">
            <v>Móng gạch chỉ vữa XM M50</v>
          </cell>
          <cell r="E197" t="str">
            <v>m3</v>
          </cell>
          <cell r="F197">
            <v>1938471.3589999999</v>
          </cell>
          <cell r="G197">
            <v>20</v>
          </cell>
          <cell r="H197">
            <v>0.3</v>
          </cell>
        </row>
        <row r="198">
          <cell r="B198" t="str">
            <v>Móng 4</v>
          </cell>
          <cell r="C198" t="str">
            <v>Móng bằng gạch không nung vữa XM  M75</v>
          </cell>
          <cell r="E198" t="str">
            <v>m3</v>
          </cell>
          <cell r="F198">
            <v>2024382.6609999998</v>
          </cell>
          <cell r="G198">
            <v>20</v>
          </cell>
          <cell r="H198">
            <v>0.3</v>
          </cell>
        </row>
        <row r="199">
          <cell r="B199" t="str">
            <v>tường 1</v>
          </cell>
          <cell r="C199" t="str">
            <v>Tường gạch chỉ, chiều dày ≤ 11cm, cao ≤ 4m, vữa TH M25</v>
          </cell>
          <cell r="E199" t="str">
            <v>m3</v>
          </cell>
          <cell r="F199">
            <v>2245450.321</v>
          </cell>
          <cell r="G199">
            <v>20</v>
          </cell>
          <cell r="H199">
            <v>0.3</v>
          </cell>
        </row>
        <row r="200">
          <cell r="B200" t="str">
            <v>tường 2</v>
          </cell>
          <cell r="C200" t="str">
            <v>Tường gạch chỉ, chiều dày ≤ 11cm, cao ≤ 4m, vữa TH M50</v>
          </cell>
          <cell r="E200" t="str">
            <v>m3</v>
          </cell>
          <cell r="F200">
            <v>2417696.0209999997</v>
          </cell>
          <cell r="G200">
            <v>20</v>
          </cell>
          <cell r="H200">
            <v>0.3</v>
          </cell>
        </row>
        <row r="201">
          <cell r="B201" t="str">
            <v>tường 3</v>
          </cell>
          <cell r="C201" t="str">
            <v>Tường gạch chỉ, chiều dày ≤ 11 cm, cao ≤ 6m, vữa XM M50</v>
          </cell>
          <cell r="E201" t="str">
            <v>m3</v>
          </cell>
          <cell r="F201">
            <v>2300644.6459999997</v>
          </cell>
          <cell r="G201">
            <v>20</v>
          </cell>
          <cell r="H201">
            <v>0.3</v>
          </cell>
        </row>
        <row r="202">
          <cell r="B202" t="str">
            <v>tường 4</v>
          </cell>
          <cell r="C202" t="str">
            <v>Tường gạch chỉ, chiều dày ≤ 11cm, cao ≤ 6m, vữa XM M75</v>
          </cell>
          <cell r="E202" t="str">
            <v>m3</v>
          </cell>
          <cell r="F202">
            <v>2344693.2949999999</v>
          </cell>
          <cell r="G202">
            <v>20</v>
          </cell>
          <cell r="H202">
            <v>0.3</v>
          </cell>
        </row>
        <row r="203">
          <cell r="B203" t="str">
            <v>tường 5</v>
          </cell>
          <cell r="C203" t="str">
            <v>Tường gạch chỉ, chiều dày ≤ 33cm, cao ≤ 4m, vữa TH M25</v>
          </cell>
          <cell r="E203" t="str">
            <v>m3</v>
          </cell>
          <cell r="F203">
            <v>2021287.2159999998</v>
          </cell>
          <cell r="G203">
            <v>20</v>
          </cell>
          <cell r="H203">
            <v>0.3</v>
          </cell>
        </row>
        <row r="204">
          <cell r="B204" t="str">
            <v>tường 6</v>
          </cell>
          <cell r="C204" t="str">
            <v>Tường gạch chỉ, chiều dày ≤ 33cm, cao ≤ 4m, vữa TH M50</v>
          </cell>
          <cell r="E204" t="str">
            <v>m3</v>
          </cell>
          <cell r="F204">
            <v>2168620.0279999999</v>
          </cell>
          <cell r="G204">
            <v>20</v>
          </cell>
          <cell r="H204">
            <v>0.3</v>
          </cell>
        </row>
        <row r="205">
          <cell r="B205" t="str">
            <v>tường 7</v>
          </cell>
          <cell r="C205" t="str">
            <v>Tường gạch chỉ, chiều dày ≤ 33cm, cao ≤ 6m, vữa XM M50</v>
          </cell>
          <cell r="E205" t="str">
            <v>m3</v>
          </cell>
          <cell r="F205">
            <v>2090878.2119999998</v>
          </cell>
          <cell r="G205">
            <v>20</v>
          </cell>
          <cell r="H205">
            <v>0.3</v>
          </cell>
        </row>
        <row r="206">
          <cell r="B206" t="str">
            <v>tường 8</v>
          </cell>
          <cell r="C206" t="str">
            <v>Tường gạch không nung, chiều dày ≤ 33cm, cao &lt;=6m, vữa XM M50</v>
          </cell>
          <cell r="E206" t="str">
            <v>m3</v>
          </cell>
          <cell r="F206">
            <v>2087788.9889999998</v>
          </cell>
          <cell r="G206">
            <v>20</v>
          </cell>
          <cell r="H206">
            <v>0.3</v>
          </cell>
        </row>
        <row r="207">
          <cell r="B207" t="str">
            <v>tường 9</v>
          </cell>
          <cell r="C207" t="str">
            <v>Tường gạch chỉ, chiều dày ≤ 33cm, cao ≤ 6m, vữa XM M75</v>
          </cell>
          <cell r="E207" t="str">
            <v>m3</v>
          </cell>
          <cell r="F207">
            <v>2146417.858</v>
          </cell>
          <cell r="G207">
            <v>20</v>
          </cell>
          <cell r="H207">
            <v>0.3</v>
          </cell>
        </row>
        <row r="208">
          <cell r="B208" t="str">
            <v>tường 10</v>
          </cell>
          <cell r="C208" t="str">
            <v>Tường gạch chỉ, chiều dày ≤ 11cm,cao ≤ 16m, vữa TH M25</v>
          </cell>
          <cell r="E208" t="str">
            <v>m3</v>
          </cell>
          <cell r="F208">
            <v>2386384.8429999999</v>
          </cell>
          <cell r="G208">
            <v>20</v>
          </cell>
          <cell r="H208">
            <v>0.3</v>
          </cell>
        </row>
        <row r="209">
          <cell r="B209" t="str">
            <v>tường 11</v>
          </cell>
          <cell r="C209" t="str">
            <v>Tường gạch chỉ, chiều dày ≤ 11cm, cao ≤ 16m, vữa TH M50</v>
          </cell>
          <cell r="E209" t="str">
            <v>m3</v>
          </cell>
          <cell r="F209">
            <v>2558630.5429999996</v>
          </cell>
          <cell r="G209">
            <v>20</v>
          </cell>
          <cell r="H209">
            <v>0.3</v>
          </cell>
        </row>
        <row r="210">
          <cell r="B210" t="str">
            <v>tường 12</v>
          </cell>
          <cell r="C210" t="str">
            <v>Tường gạch chỉ, chiều dày ≤ 11cm, cao ≤ 28m, vữa XM M50</v>
          </cell>
          <cell r="E210" t="str">
            <v>m3</v>
          </cell>
          <cell r="F210">
            <v>2441579.1679999996</v>
          </cell>
          <cell r="G210">
            <v>20</v>
          </cell>
          <cell r="H210">
            <v>0.3</v>
          </cell>
        </row>
        <row r="211">
          <cell r="B211" t="str">
            <v>tường 13</v>
          </cell>
          <cell r="C211" t="str">
            <v>Tường gạch chỉ, chiều dày ≤ 11cm, cao ≤ 28m, vữa XM M75</v>
          </cell>
          <cell r="E211" t="str">
            <v>m3</v>
          </cell>
          <cell r="F211">
            <v>2485627.8169999998</v>
          </cell>
          <cell r="G211">
            <v>20</v>
          </cell>
          <cell r="H211">
            <v>0.3</v>
          </cell>
        </row>
        <row r="212">
          <cell r="B212" t="str">
            <v>tường 14</v>
          </cell>
          <cell r="C212" t="str">
            <v>Tường gạch chỉ, chiều dày ≤ 33cm, cao ≤ 16m, vữa TH M25</v>
          </cell>
          <cell r="E212" t="str">
            <v>m3</v>
          </cell>
          <cell r="F212">
            <v>2109547.3229999999</v>
          </cell>
          <cell r="G212">
            <v>20</v>
          </cell>
          <cell r="H212">
            <v>0.3</v>
          </cell>
        </row>
        <row r="213">
          <cell r="B213" t="str">
            <v>tường 15</v>
          </cell>
          <cell r="C213" t="str">
            <v>Tường gạch chỉ, chiều dày ≤ 33cm, cao ≤ 16m, vữa TH M50</v>
          </cell>
          <cell r="E213" t="str">
            <v>m3</v>
          </cell>
          <cell r="F213">
            <v>2256879.0979999998</v>
          </cell>
          <cell r="G213">
            <v>20</v>
          </cell>
          <cell r="H213">
            <v>0.3</v>
          </cell>
        </row>
        <row r="214">
          <cell r="B214" t="str">
            <v>tường 16</v>
          </cell>
          <cell r="C214" t="str">
            <v>Tường gạch chỉ, chiều dày ≤ 33cm, cao ≤ 28m, vữa XM M50</v>
          </cell>
          <cell r="E214" t="str">
            <v>m3</v>
          </cell>
          <cell r="F214">
            <v>2179138.3189999997</v>
          </cell>
          <cell r="G214">
            <v>20</v>
          </cell>
          <cell r="H214">
            <v>0.3</v>
          </cell>
        </row>
        <row r="215">
          <cell r="B215" t="str">
            <v>tường 17</v>
          </cell>
          <cell r="C215" t="str">
            <v>Tường gạch chỉ, chiều dày ≤ 33cm, cao ≤ 28m, vữa XM M75</v>
          </cell>
          <cell r="E215" t="str">
            <v>m3</v>
          </cell>
          <cell r="F215">
            <v>2234677.9649999999</v>
          </cell>
          <cell r="G215">
            <v>20</v>
          </cell>
          <cell r="H215">
            <v>0.3</v>
          </cell>
        </row>
        <row r="216">
          <cell r="B216" t="str">
            <v>tường 18</v>
          </cell>
          <cell r="C216" t="str">
            <v>Tường gạch không nung, chiều dày ≤ 33cm,  cao ≤28m, vữa XM M50</v>
          </cell>
          <cell r="E216" t="str">
            <v>m3</v>
          </cell>
          <cell r="F216">
            <v>2184511.0159999998</v>
          </cell>
          <cell r="G216">
            <v>20</v>
          </cell>
          <cell r="H216">
            <v>0.3</v>
          </cell>
        </row>
        <row r="217">
          <cell r="B217" t="str">
            <v>tường 19</v>
          </cell>
          <cell r="C217" t="str">
            <v>Tường gạch không nung, chiều dày ≤ 33cm,  cao &lt;=28m, vữa XM M75</v>
          </cell>
          <cell r="E217" t="str">
            <v>m3</v>
          </cell>
          <cell r="F217">
            <v>2209550.4180000001</v>
          </cell>
          <cell r="G217">
            <v>20</v>
          </cell>
          <cell r="H217">
            <v>0.3</v>
          </cell>
        </row>
        <row r="218">
          <cell r="B218" t="str">
            <v>tường 20</v>
          </cell>
          <cell r="C218" t="str">
            <v>Tường gạch không nung 6,5x10,5x22</v>
          </cell>
          <cell r="E218" t="str">
            <v>m3</v>
          </cell>
          <cell r="F218">
            <v>2341172.6799999997</v>
          </cell>
          <cell r="G218">
            <v>20</v>
          </cell>
          <cell r="H218">
            <v>0.3</v>
          </cell>
        </row>
        <row r="219">
          <cell r="B219" t="str">
            <v>tường 21</v>
          </cell>
          <cell r="C219" t="str">
            <v>Tường xây gạch block bê tông rỗng, chiều dày 10cm, M50</v>
          </cell>
          <cell r="E219" t="str">
            <v>m3</v>
          </cell>
          <cell r="F219">
            <v>2211829.7439999999</v>
          </cell>
          <cell r="G219">
            <v>20</v>
          </cell>
          <cell r="H219">
            <v>0.3</v>
          </cell>
        </row>
        <row r="220">
          <cell r="B220" t="str">
            <v>tường 22</v>
          </cell>
          <cell r="C220" t="str">
            <v>Tường xây gạch block bê tông rỗng, chiều dày 20cm, M50</v>
          </cell>
          <cell r="E220" t="str">
            <v>m3</v>
          </cell>
          <cell r="F220">
            <v>1915231.1519999998</v>
          </cell>
          <cell r="G220">
            <v>20</v>
          </cell>
          <cell r="H220">
            <v>0.3</v>
          </cell>
        </row>
        <row r="221">
          <cell r="B221" t="str">
            <v>tường 23</v>
          </cell>
          <cell r="C221" t="str">
            <v>Tường xây gạch xỉ, vữa TH M50</v>
          </cell>
          <cell r="E221" t="str">
            <v>m3</v>
          </cell>
          <cell r="F221">
            <v>1646085.061</v>
          </cell>
          <cell r="G221">
            <v>20</v>
          </cell>
          <cell r="H221">
            <v>0.3</v>
          </cell>
        </row>
        <row r="222">
          <cell r="B222" t="str">
            <v>tường 24</v>
          </cell>
          <cell r="C222" t="str">
            <v>Tường xây gạch xỉ vữa XM M50</v>
          </cell>
          <cell r="E222" t="str">
            <v>m3</v>
          </cell>
          <cell r="F222">
            <v>1671993.4689999998</v>
          </cell>
          <cell r="G222">
            <v>20</v>
          </cell>
          <cell r="H222">
            <v>0.3</v>
          </cell>
        </row>
        <row r="223">
          <cell r="B223" t="str">
            <v>xây trụ 1</v>
          </cell>
          <cell r="C223" t="str">
            <v>Xây cột, trụ gạch chỉ, h ≤ 4m, vữa TH M50</v>
          </cell>
          <cell r="E223" t="str">
            <v>m3</v>
          </cell>
          <cell r="F223">
            <v>2566091.7579999999</v>
          </cell>
          <cell r="G223">
            <v>20</v>
          </cell>
          <cell r="H223">
            <v>0.3</v>
          </cell>
        </row>
        <row r="224">
          <cell r="B224" t="str">
            <v>xây trụ 2</v>
          </cell>
          <cell r="C224" t="str">
            <v>Xây cột, trụ gạch chỉ, h ≤ 6m, vữa XM M50</v>
          </cell>
          <cell r="E224" t="str">
            <v>m3</v>
          </cell>
          <cell r="F224">
            <v>2638083.409</v>
          </cell>
          <cell r="G224">
            <v>20</v>
          </cell>
          <cell r="H224">
            <v>0.3</v>
          </cell>
        </row>
        <row r="225">
          <cell r="B225" t="str">
            <v>xây trụ 3</v>
          </cell>
          <cell r="C225" t="str">
            <v>Xây cột, trụ gạch chỉ, h ≤ 6m, vữa XM M75</v>
          </cell>
          <cell r="E225" t="str">
            <v>m3</v>
          </cell>
          <cell r="F225">
            <v>2695538.3939999999</v>
          </cell>
          <cell r="G225">
            <v>20</v>
          </cell>
          <cell r="H225">
            <v>0.3</v>
          </cell>
        </row>
        <row r="226">
          <cell r="B226" t="str">
            <v>xây trụ 4</v>
          </cell>
          <cell r="C226" t="str">
            <v>Xây cột, trụ gạch chỉ, cao ≤ 28m, vữa XM M50</v>
          </cell>
          <cell r="E226" t="str">
            <v>m3</v>
          </cell>
          <cell r="F226">
            <v>3115327.4009999996</v>
          </cell>
          <cell r="G226">
            <v>20</v>
          </cell>
          <cell r="H226">
            <v>0.3</v>
          </cell>
        </row>
        <row r="227">
          <cell r="B227" t="str">
            <v>xây trụ 5</v>
          </cell>
          <cell r="C227" t="str">
            <v>Xây cột, trụ gạch chỉ, cao ≤ 28m, vữa XM M75</v>
          </cell>
          <cell r="E227" t="str">
            <v>m3</v>
          </cell>
          <cell r="F227">
            <v>3172782.3859999999</v>
          </cell>
          <cell r="G227">
            <v>20</v>
          </cell>
          <cell r="H227">
            <v>0.3</v>
          </cell>
        </row>
        <row r="228">
          <cell r="B228" t="str">
            <v>xây trụ 6</v>
          </cell>
          <cell r="C228" t="str">
            <v>Xây cột bằng gạch không nung 6,5x10,5x22</v>
          </cell>
          <cell r="E228" t="str">
            <v>m3</v>
          </cell>
          <cell r="F228">
            <v>3206755.5429999996</v>
          </cell>
          <cell r="G228">
            <v>20</v>
          </cell>
          <cell r="H228">
            <v>0.3</v>
          </cell>
        </row>
        <row r="229">
          <cell r="B229" t="str">
            <v>Bê tông</v>
          </cell>
          <cell r="C229" t="str">
            <v>Công tác bê tông</v>
          </cell>
        </row>
        <row r="230">
          <cell r="B230" t="str">
            <v>bê tông 1</v>
          </cell>
          <cell r="C230" t="str">
            <v>Bê tông móng vữa BT mác 200</v>
          </cell>
          <cell r="E230" t="str">
            <v>m3</v>
          </cell>
          <cell r="F230">
            <v>2410561.4609999997</v>
          </cell>
          <cell r="G230">
            <v>20</v>
          </cell>
          <cell r="H230">
            <v>0.3</v>
          </cell>
        </row>
        <row r="231">
          <cell r="B231" t="str">
            <v>bê tông 2</v>
          </cell>
          <cell r="C231" t="str">
            <v>Bê tông sàn mái vữa BT mác 200</v>
          </cell>
          <cell r="E231" t="str">
            <v>m3</v>
          </cell>
          <cell r="F231">
            <v>2786991.4239999996</v>
          </cell>
          <cell r="G231">
            <v>20</v>
          </cell>
          <cell r="H231">
            <v>0.3</v>
          </cell>
        </row>
        <row r="232">
          <cell r="B232" t="str">
            <v>bê tông 3</v>
          </cell>
          <cell r="C232" t="str">
            <v>Bê tông cột BT mác 200</v>
          </cell>
          <cell r="E232" t="str">
            <v>m3</v>
          </cell>
          <cell r="F232">
            <v>3346042.2719999999</v>
          </cell>
          <cell r="G232">
            <v>20</v>
          </cell>
          <cell r="H232">
            <v>0.3</v>
          </cell>
        </row>
        <row r="233">
          <cell r="B233" t="str">
            <v>bê tông 4</v>
          </cell>
          <cell r="C233" t="str">
            <v>Bê tông xà dầm, giằng nhà BT mác 200</v>
          </cell>
          <cell r="E233" t="str">
            <v>m3</v>
          </cell>
          <cell r="F233">
            <v>2985145.5319999997</v>
          </cell>
          <cell r="G233">
            <v>20</v>
          </cell>
          <cell r="H233">
            <v>0.3</v>
          </cell>
        </row>
        <row r="234">
          <cell r="B234" t="str">
            <v>bê tông 5</v>
          </cell>
          <cell r="C234" t="str">
            <v>Bê tông cầu thang xoáy trôn ốc BT mác 200</v>
          </cell>
          <cell r="E234" t="str">
            <v>m3</v>
          </cell>
          <cell r="F234">
            <v>2904497.0049999999</v>
          </cell>
          <cell r="G234">
            <v>20</v>
          </cell>
          <cell r="H234">
            <v>0.3</v>
          </cell>
        </row>
        <row r="235">
          <cell r="B235" t="str">
            <v>bê tông 6</v>
          </cell>
          <cell r="C235" t="str">
            <v>Bê tông cầu thang thường vữa BT mác 200</v>
          </cell>
          <cell r="E235" t="str">
            <v>m3</v>
          </cell>
          <cell r="F235">
            <v>2855874.1489999997</v>
          </cell>
          <cell r="G235">
            <v>20</v>
          </cell>
          <cell r="H235">
            <v>0.3</v>
          </cell>
        </row>
        <row r="236">
          <cell r="B236" t="str">
            <v>bê tông 7</v>
          </cell>
          <cell r="C236" t="str">
            <v>Bê tông nền BT mác 200</v>
          </cell>
          <cell r="E236" t="str">
            <v>m3</v>
          </cell>
          <cell r="F236">
            <v>2395121.568</v>
          </cell>
          <cell r="G236">
            <v>20</v>
          </cell>
          <cell r="H236">
            <v>0.3</v>
          </cell>
        </row>
        <row r="237">
          <cell r="B237" t="str">
            <v>bê tông 8</v>
          </cell>
          <cell r="C237" t="str">
            <v>Bê tông gạch vỡ</v>
          </cell>
          <cell r="E237" t="str">
            <v>m3</v>
          </cell>
          <cell r="F237">
            <v>915045.6889999999</v>
          </cell>
          <cell r="G237">
            <v>20</v>
          </cell>
          <cell r="H237">
            <v>0.3</v>
          </cell>
        </row>
        <row r="238">
          <cell r="B238" t="str">
            <v>bê tông 9</v>
          </cell>
          <cell r="C238" t="str">
            <v>Bê tông tấm đan mác 200</v>
          </cell>
          <cell r="E238" t="str">
            <v>m3</v>
          </cell>
          <cell r="F238">
            <v>3111145.1799999997</v>
          </cell>
          <cell r="G238">
            <v>20</v>
          </cell>
          <cell r="H238">
            <v>0.3</v>
          </cell>
        </row>
        <row r="239">
          <cell r="B239" t="str">
            <v>Cốt thép</v>
          </cell>
          <cell r="C239" t="str">
            <v>Công tác cốt thép</v>
          </cell>
        </row>
        <row r="240">
          <cell r="B240" t="str">
            <v>cốt thép 1</v>
          </cell>
          <cell r="C240" t="str">
            <v>Sản xuất, lắp dựng cốt thép móng đường kính ≤ 10mm</v>
          </cell>
          <cell r="E240" t="str">
            <v>kg</v>
          </cell>
          <cell r="F240">
            <v>26320.096999999998</v>
          </cell>
          <cell r="G240">
            <v>20</v>
          </cell>
          <cell r="H240">
            <v>0.3</v>
          </cell>
        </row>
        <row r="241">
          <cell r="B241" t="str">
            <v>cốt thép 2</v>
          </cell>
          <cell r="C241" t="str">
            <v>Sản xuất, lắp dựng cốt thép móng đường kính ≤ 18mm</v>
          </cell>
          <cell r="E241" t="str">
            <v>kg</v>
          </cell>
          <cell r="F241">
            <v>25944.702999999998</v>
          </cell>
          <cell r="G241">
            <v>20</v>
          </cell>
          <cell r="H241">
            <v>0.3</v>
          </cell>
        </row>
        <row r="242">
          <cell r="B242" t="str">
            <v>cốt thép 3</v>
          </cell>
          <cell r="C242" t="str">
            <v>Sản xuất, lắp dựng cốt thép móng đường kính &gt;18mm</v>
          </cell>
          <cell r="E242" t="str">
            <v>kg</v>
          </cell>
          <cell r="F242">
            <v>25636.713999999996</v>
          </cell>
          <cell r="G242">
            <v>20</v>
          </cell>
          <cell r="H242">
            <v>0.3</v>
          </cell>
        </row>
        <row r="243">
          <cell r="B243" t="str">
            <v>cốt thép 4</v>
          </cell>
          <cell r="C243" t="str">
            <v>Sản xuất, lắp dựng cốt thép sàn mái đường kính ≤ 10mm</v>
          </cell>
          <cell r="E243" t="str">
            <v>kg</v>
          </cell>
          <cell r="F243">
            <v>27980.333999999999</v>
          </cell>
          <cell r="G243">
            <v>20</v>
          </cell>
          <cell r="H243">
            <v>0.3</v>
          </cell>
        </row>
        <row r="244">
          <cell r="B244" t="str">
            <v>cốt thép 5</v>
          </cell>
          <cell r="C244" t="str">
            <v>Sản xuất, lắp dựng cốt thép sàn mái đường kính ≤ 18mm</v>
          </cell>
          <cell r="E244" t="str">
            <v>kg</v>
          </cell>
          <cell r="F244">
            <v>27495.017999999996</v>
          </cell>
          <cell r="G244">
            <v>20</v>
          </cell>
          <cell r="H244">
            <v>0.3</v>
          </cell>
        </row>
        <row r="245">
          <cell r="B245" t="str">
            <v>cốt thép 6</v>
          </cell>
          <cell r="C245" t="str">
            <v>Sản xuất, lắp dựng cốt thép cột, trụ đường kính ≤ 10mm</v>
          </cell>
          <cell r="E245" t="str">
            <v>kg</v>
          </cell>
          <cell r="F245">
            <v>27693.084999999999</v>
          </cell>
          <cell r="G245">
            <v>20</v>
          </cell>
          <cell r="H245">
            <v>0.3</v>
          </cell>
        </row>
        <row r="246">
          <cell r="B246" t="str">
            <v>cốt thép 7</v>
          </cell>
          <cell r="C246" t="str">
            <v>Sản xuất, lắp dựng cốt thép cột, trụ đường kính ≤18mm</v>
          </cell>
          <cell r="E246" t="str">
            <v>kg</v>
          </cell>
          <cell r="F246">
            <v>26601.124</v>
          </cell>
          <cell r="G246">
            <v>20</v>
          </cell>
          <cell r="H246">
            <v>0.3</v>
          </cell>
        </row>
        <row r="247">
          <cell r="B247" t="str">
            <v>cốt thép 8</v>
          </cell>
          <cell r="C247" t="str">
            <v>Sản xuất, lắp dựng cốt thép cột, trụ đường kính &gt;18mm</v>
          </cell>
          <cell r="E247" t="str">
            <v>kg</v>
          </cell>
          <cell r="F247">
            <v>26573.124999999996</v>
          </cell>
          <cell r="G247">
            <v>20</v>
          </cell>
          <cell r="H247">
            <v>0.3</v>
          </cell>
        </row>
        <row r="248">
          <cell r="B248" t="str">
            <v>cốt thép 9</v>
          </cell>
          <cell r="C248" t="str">
            <v>Sản xuất, lắp dựng cốt thép xà dầm, giằng đường kính ≤10mm</v>
          </cell>
          <cell r="E248" t="str">
            <v>kg</v>
          </cell>
          <cell r="F248">
            <v>28200.177999999996</v>
          </cell>
          <cell r="G248">
            <v>20</v>
          </cell>
          <cell r="H248">
            <v>0.3</v>
          </cell>
        </row>
        <row r="249">
          <cell r="B249" t="str">
            <v>cốt thép 10</v>
          </cell>
          <cell r="C249" t="str">
            <v>Sản xuất, lắp dựng cốt thép xà dầm, giằng đường kính ≤ 18mm</v>
          </cell>
          <cell r="E249" t="str">
            <v>kg</v>
          </cell>
          <cell r="F249">
            <v>26591.790999999997</v>
          </cell>
          <cell r="G249">
            <v>20</v>
          </cell>
          <cell r="H249">
            <v>0.3</v>
          </cell>
        </row>
        <row r="250">
          <cell r="B250" t="str">
            <v>cốt thép 11</v>
          </cell>
          <cell r="C250" t="str">
            <v>Sản xuất, lắp dựng cốt thép xà dầm, giằng đường kính &gt;18mm</v>
          </cell>
          <cell r="E250" t="str">
            <v>kg</v>
          </cell>
          <cell r="F250">
            <v>26767.043999999998</v>
          </cell>
          <cell r="G250">
            <v>20</v>
          </cell>
          <cell r="H250">
            <v>0.3</v>
          </cell>
        </row>
        <row r="251">
          <cell r="B251" t="str">
            <v>cốt thép 12</v>
          </cell>
          <cell r="C251" t="str">
            <v>Sản xuất, lắp dựng cốt thép cầu thang đường kính ≤ 10mm</v>
          </cell>
          <cell r="E251" t="str">
            <v>kg</v>
          </cell>
          <cell r="F251">
            <v>29217.474999999999</v>
          </cell>
          <cell r="G251">
            <v>20</v>
          </cell>
          <cell r="H251">
            <v>0.3</v>
          </cell>
        </row>
        <row r="252">
          <cell r="B252" t="str">
            <v>cốt thép 13</v>
          </cell>
          <cell r="C252" t="str">
            <v>Sản xuất, lắp dựng cốt thép cầu thang đường kính ≤18mm</v>
          </cell>
          <cell r="E252" t="str">
            <v>kg</v>
          </cell>
          <cell r="F252">
            <v>28689.641999999996</v>
          </cell>
          <cell r="G252">
            <v>20</v>
          </cell>
          <cell r="H252">
            <v>0.3</v>
          </cell>
        </row>
        <row r="253">
          <cell r="B253" t="str">
            <v>cốt thép 14</v>
          </cell>
          <cell r="C253" t="str">
            <v>Sản xuất, lắp đặt cốt thép panen đúc sẵn, đường kính ≤10mm</v>
          </cell>
          <cell r="E253" t="str">
            <v>kg</v>
          </cell>
          <cell r="F253">
            <v>30502.317999999999</v>
          </cell>
          <cell r="G253">
            <v>20</v>
          </cell>
          <cell r="H253">
            <v>0.3</v>
          </cell>
        </row>
        <row r="254">
          <cell r="B254" t="str">
            <v>cốt thép 15</v>
          </cell>
          <cell r="C254" t="str">
            <v>Sản xuất, lắp đặt cốt thép panen đúc sẵn, đường kính &gt;10mm</v>
          </cell>
          <cell r="E254" t="str">
            <v>kg</v>
          </cell>
          <cell r="F254">
            <v>28900.152999999998</v>
          </cell>
          <cell r="G254">
            <v>20</v>
          </cell>
          <cell r="H254">
            <v>0.3</v>
          </cell>
        </row>
        <row r="255">
          <cell r="B255" t="str">
            <v>cốt thép 16</v>
          </cell>
          <cell r="C255" t="str">
            <v>Sản xuất, lắp đặt cốt thép tấm đan, hàng rào, cửa sổ, lá chớp, nan hoa, con sơn đúc sẵn</v>
          </cell>
          <cell r="E255" t="str">
            <v>kg</v>
          </cell>
          <cell r="F255">
            <v>29146.958999999999</v>
          </cell>
          <cell r="G255">
            <v>20</v>
          </cell>
          <cell r="H255">
            <v>0.3</v>
          </cell>
        </row>
        <row r="256">
          <cell r="B256" t="str">
            <v>cốt thép 17</v>
          </cell>
          <cell r="C256" t="str">
            <v>Sản xuất, lắp đặt cốt thép ống cống, ống buy đúc sẵn, đường kính ≤10mm</v>
          </cell>
          <cell r="E256" t="str">
            <v>kg</v>
          </cell>
          <cell r="F256">
            <v>31117.258999999998</v>
          </cell>
          <cell r="G256">
            <v>20</v>
          </cell>
          <cell r="H256">
            <v>0.3</v>
          </cell>
        </row>
        <row r="257">
          <cell r="B257" t="str">
            <v>cốt thép 18</v>
          </cell>
          <cell r="C257" t="str">
            <v>Sản xuất, lắp đặt cốt thép ống cống, ống buy đúc sẵn, đường kính ≤18mm</v>
          </cell>
          <cell r="E257" t="str">
            <v>kg</v>
          </cell>
          <cell r="F257">
            <v>28882.523999999998</v>
          </cell>
          <cell r="G257">
            <v>20</v>
          </cell>
          <cell r="H257">
            <v>0.3</v>
          </cell>
        </row>
        <row r="258">
          <cell r="B258" t="str">
            <v>cốt thép 19</v>
          </cell>
          <cell r="C258" t="str">
            <v>Sản xuất, lắp đặt cốt thép ống cống, ống buy đúc sẵn, đường kính &gt;18mm</v>
          </cell>
          <cell r="E258" t="str">
            <v>kg</v>
          </cell>
          <cell r="F258">
            <v>28389.948999999997</v>
          </cell>
          <cell r="G258">
            <v>20</v>
          </cell>
          <cell r="H258">
            <v>0.3</v>
          </cell>
        </row>
        <row r="259">
          <cell r="B259" t="str">
            <v>Ván khuôn</v>
          </cell>
          <cell r="C259" t="str">
            <v>Công tác ván khuôn</v>
          </cell>
        </row>
        <row r="260">
          <cell r="B260" t="str">
            <v>ván khuôn 1</v>
          </cell>
          <cell r="C260" t="str">
            <v>Sản xuất, lắp dựng tháo dỡ ván khuôn móng</v>
          </cell>
          <cell r="E260" t="str">
            <v>m2</v>
          </cell>
          <cell r="F260">
            <v>129541.003</v>
          </cell>
          <cell r="G260">
            <v>20</v>
          </cell>
          <cell r="H260">
            <v>0.3</v>
          </cell>
        </row>
        <row r="261">
          <cell r="B261" t="str">
            <v>ván khuôn 2</v>
          </cell>
          <cell r="C261" t="str">
            <v>Sản xuất, lắp dựng tháo dỡ ván khuôn sàn mái</v>
          </cell>
          <cell r="E261" t="str">
            <v>m2</v>
          </cell>
          <cell r="F261">
            <v>194918.66799999998</v>
          </cell>
          <cell r="G261">
            <v>20</v>
          </cell>
          <cell r="H261">
            <v>0.3</v>
          </cell>
        </row>
        <row r="262">
          <cell r="B262" t="str">
            <v>ván khuôn 3</v>
          </cell>
          <cell r="C262" t="str">
            <v>Sản xuất, lắp dựng tháo dỡ ván khuôn xà dầm, giằng</v>
          </cell>
          <cell r="E262" t="str">
            <v>m2</v>
          </cell>
          <cell r="F262">
            <v>218283.31499999997</v>
          </cell>
          <cell r="G262">
            <v>20</v>
          </cell>
          <cell r="H262">
            <v>0.3</v>
          </cell>
        </row>
        <row r="263">
          <cell r="B263" t="str">
            <v>ván khuôn 4</v>
          </cell>
          <cell r="C263" t="str">
            <v>Sản xuất, lắp dựng tháo dỡ ván khuôn cột vuông, chữ nhật</v>
          </cell>
          <cell r="E263" t="str">
            <v>m2</v>
          </cell>
          <cell r="F263">
            <v>209729.10199999998</v>
          </cell>
          <cell r="G263">
            <v>20</v>
          </cell>
          <cell r="H263">
            <v>0.3</v>
          </cell>
        </row>
        <row r="264">
          <cell r="B264" t="str">
            <v>ván khuôn 5</v>
          </cell>
          <cell r="C264" t="str">
            <v>Sản xuất, lắp dựng tháo dỡ ván khuôn cầu thang xoáy trôn ốc</v>
          </cell>
          <cell r="E264" t="str">
            <v>m2</v>
          </cell>
          <cell r="F264">
            <v>361143.54599999997</v>
          </cell>
          <cell r="G264">
            <v>20</v>
          </cell>
          <cell r="H264">
            <v>0.3</v>
          </cell>
        </row>
        <row r="265">
          <cell r="B265" t="str">
            <v>ván khuôn 6</v>
          </cell>
          <cell r="C265" t="str">
            <v>Sản xuất, lắp dựng tháo dỡ ván khuôn cầu thang thường</v>
          </cell>
          <cell r="E265" t="str">
            <v>m2</v>
          </cell>
          <cell r="F265">
            <v>255964.78399999999</v>
          </cell>
          <cell r="G265">
            <v>20</v>
          </cell>
          <cell r="H265">
            <v>0.3</v>
          </cell>
        </row>
        <row r="266">
          <cell r="B266" t="str">
            <v>ván khuôn 7</v>
          </cell>
          <cell r="C266" t="str">
            <v>Gia công, lắp dựng tháo dỡ ván khuôn gỗ, ván khuôn panen</v>
          </cell>
          <cell r="E266" t="str">
            <v>m2</v>
          </cell>
          <cell r="F266">
            <v>129833.43699999999</v>
          </cell>
          <cell r="G266">
            <v>20</v>
          </cell>
          <cell r="H266">
            <v>0.3</v>
          </cell>
        </row>
        <row r="267">
          <cell r="B267" t="str">
            <v>ván khuôn 8</v>
          </cell>
          <cell r="C267" t="str">
            <v>Gia công, lắp dựng tháo dỡ ván khuôn cho bê tông đổ tại chỗ, ván khuôn gỗ ống cống, ống buy</v>
          </cell>
          <cell r="E267" t="str">
            <v>m2</v>
          </cell>
          <cell r="F267">
            <v>280172.51199999999</v>
          </cell>
          <cell r="G267">
            <v>20</v>
          </cell>
          <cell r="H267">
            <v>0.3</v>
          </cell>
        </row>
        <row r="268">
          <cell r="B268" t="str">
            <v>Hoàn thiện</v>
          </cell>
          <cell r="C268" t="str">
            <v>Công tác hoàn thiện</v>
          </cell>
        </row>
        <row r="269">
          <cell r="B269" t="str">
            <v>trát tường 1</v>
          </cell>
          <cell r="C269" t="str">
            <v>Trát tường ngoài vữa XM mác 50</v>
          </cell>
          <cell r="E269" t="str">
            <v>m2</v>
          </cell>
          <cell r="F269">
            <v>126787.768</v>
          </cell>
          <cell r="G269">
            <v>10</v>
          </cell>
          <cell r="H269">
            <v>0.3</v>
          </cell>
        </row>
        <row r="270">
          <cell r="B270" t="str">
            <v>trát tường 2</v>
          </cell>
          <cell r="C270" t="str">
            <v>Trát tường ngoài vữa XM mác 75</v>
          </cell>
          <cell r="E270" t="str">
            <v>m2</v>
          </cell>
          <cell r="F270">
            <v>129903.95299999999</v>
          </cell>
          <cell r="G270">
            <v>10</v>
          </cell>
          <cell r="H270">
            <v>0.3</v>
          </cell>
        </row>
        <row r="271">
          <cell r="B271" t="str">
            <v>trát tường 3</v>
          </cell>
          <cell r="C271" t="str">
            <v>Trát tường ngoài vữa TH mác 50</v>
          </cell>
          <cell r="E271" t="str">
            <v>m2</v>
          </cell>
          <cell r="F271">
            <v>122882.42599999999</v>
          </cell>
          <cell r="G271">
            <v>10</v>
          </cell>
          <cell r="H271">
            <v>0.3</v>
          </cell>
        </row>
        <row r="272">
          <cell r="B272" t="str">
            <v>trát tường 4</v>
          </cell>
          <cell r="C272" t="str">
            <v>Trát tường trong vữa XM mác 50</v>
          </cell>
          <cell r="E272" t="str">
            <v>m2</v>
          </cell>
          <cell r="F272">
            <v>102476.34</v>
          </cell>
          <cell r="G272">
            <v>10</v>
          </cell>
          <cell r="H272">
            <v>0.3</v>
          </cell>
        </row>
        <row r="273">
          <cell r="B273" t="str">
            <v>trát tường 5</v>
          </cell>
          <cell r="C273" t="str">
            <v>Trát tường trong vữa XM mác 75</v>
          </cell>
          <cell r="E273" t="str">
            <v>m2</v>
          </cell>
          <cell r="F273">
            <v>105592.52499999999</v>
          </cell>
          <cell r="G273">
            <v>10</v>
          </cell>
          <cell r="H273">
            <v>0.3</v>
          </cell>
        </row>
        <row r="274">
          <cell r="B274" t="str">
            <v>trát tường 6</v>
          </cell>
          <cell r="C274" t="str">
            <v>Trát tường trong vữa TH mác 50</v>
          </cell>
          <cell r="E274" t="str">
            <v>m2</v>
          </cell>
          <cell r="F274">
            <v>98570.997999999992</v>
          </cell>
          <cell r="G274">
            <v>10</v>
          </cell>
          <cell r="H274">
            <v>0.3</v>
          </cell>
        </row>
        <row r="275">
          <cell r="B275" t="str">
            <v>trát cột 1</v>
          </cell>
          <cell r="C275" t="str">
            <v>Trát trụ cột, cầu thang vữa XM mác 50</v>
          </cell>
          <cell r="E275" t="str">
            <v>m2</v>
          </cell>
          <cell r="F275">
            <v>251839.59799999997</v>
          </cell>
          <cell r="G275">
            <v>10</v>
          </cell>
          <cell r="H275">
            <v>0.3</v>
          </cell>
        </row>
        <row r="276">
          <cell r="B276" t="str">
            <v>trát cột 2</v>
          </cell>
          <cell r="C276" t="str">
            <v>Trát trụ cột, cầu thang vữa XM mác 75</v>
          </cell>
          <cell r="E276" t="str">
            <v>m2</v>
          </cell>
          <cell r="F276">
            <v>255140.36899999998</v>
          </cell>
          <cell r="G276">
            <v>10</v>
          </cell>
          <cell r="H276">
            <v>0.3</v>
          </cell>
        </row>
        <row r="277">
          <cell r="B277" t="str">
            <v>trát cột 3</v>
          </cell>
          <cell r="C277" t="str">
            <v>Trát trụ cột, cầu thang vữa TH mác 50</v>
          </cell>
          <cell r="E277" t="str">
            <v>m2</v>
          </cell>
          <cell r="F277">
            <v>277002.40299999999</v>
          </cell>
          <cell r="G277">
            <v>10</v>
          </cell>
          <cell r="H277">
            <v>0.3</v>
          </cell>
        </row>
        <row r="278">
          <cell r="B278" t="str">
            <v>trát xà 1</v>
          </cell>
          <cell r="C278" t="str">
            <v>Trát xà dầm, vữa XM mác 50</v>
          </cell>
          <cell r="E278" t="str">
            <v>m2</v>
          </cell>
          <cell r="F278">
            <v>177065.67599999998</v>
          </cell>
          <cell r="G278">
            <v>10</v>
          </cell>
          <cell r="H278">
            <v>0.3</v>
          </cell>
        </row>
        <row r="279">
          <cell r="B279" t="str">
            <v>trát xà 2</v>
          </cell>
          <cell r="C279" t="str">
            <v>Trát xà dầm, vữa XM mác 75</v>
          </cell>
          <cell r="E279" t="str">
            <v>m2</v>
          </cell>
          <cell r="F279">
            <v>180365.40999999997</v>
          </cell>
          <cell r="G279">
            <v>10</v>
          </cell>
          <cell r="H279">
            <v>0.3</v>
          </cell>
        </row>
        <row r="280">
          <cell r="B280" t="str">
            <v>trát xà 3</v>
          </cell>
          <cell r="C280" t="str">
            <v>Trát xà dầm, vữa TH mác 50</v>
          </cell>
          <cell r="E280" t="str">
            <v>m2</v>
          </cell>
          <cell r="F280">
            <v>182549.33199999999</v>
          </cell>
          <cell r="G280">
            <v>10</v>
          </cell>
          <cell r="H280">
            <v>0.3</v>
          </cell>
        </row>
        <row r="281">
          <cell r="B281" t="str">
            <v>trát trần 1</v>
          </cell>
          <cell r="C281" t="str">
            <v>Trát trần, vữa XM mác 50</v>
          </cell>
          <cell r="E281" t="str">
            <v>m2</v>
          </cell>
          <cell r="F281">
            <v>243042.72699999998</v>
          </cell>
          <cell r="G281">
            <v>10</v>
          </cell>
          <cell r="H281">
            <v>0.3</v>
          </cell>
        </row>
        <row r="282">
          <cell r="B282" t="str">
            <v>trát trần 2</v>
          </cell>
          <cell r="C282" t="str">
            <v>Trát trần, vữa TH mác 50</v>
          </cell>
          <cell r="E282" t="str">
            <v>m2</v>
          </cell>
          <cell r="F282">
            <v>238908.20799999998</v>
          </cell>
          <cell r="G282">
            <v>10</v>
          </cell>
          <cell r="H282">
            <v>0.3</v>
          </cell>
        </row>
        <row r="283">
          <cell r="B283" t="str">
            <v>đắp phào đơn</v>
          </cell>
          <cell r="C283" t="str">
            <v>Đắp phào đơn, vữa XM mác 75</v>
          </cell>
          <cell r="E283" t="str">
            <v>m</v>
          </cell>
          <cell r="F283">
            <v>103388.9</v>
          </cell>
          <cell r="G283">
            <v>10</v>
          </cell>
          <cell r="H283">
            <v>0.3</v>
          </cell>
        </row>
        <row r="284">
          <cell r="B284" t="str">
            <v>đắp phào kép</v>
          </cell>
          <cell r="C284" t="str">
            <v>Đắp phào kép, vữa XM mác 75</v>
          </cell>
          <cell r="E284" t="str">
            <v>m</v>
          </cell>
          <cell r="F284">
            <v>129621.889</v>
          </cell>
          <cell r="G284">
            <v>10</v>
          </cell>
          <cell r="H284">
            <v>0.3</v>
          </cell>
        </row>
        <row r="285">
          <cell r="B285" t="str">
            <v>trát gờ chỉ</v>
          </cell>
          <cell r="C285" t="str">
            <v>Trát gờ chỉ, vữa XM mác 75</v>
          </cell>
          <cell r="E285" t="str">
            <v>m</v>
          </cell>
          <cell r="F285">
            <v>56562.127999999997</v>
          </cell>
          <cell r="G285">
            <v>10</v>
          </cell>
          <cell r="H285">
            <v>0.3</v>
          </cell>
        </row>
        <row r="286">
          <cell r="B286" t="str">
            <v>trát seno</v>
          </cell>
          <cell r="C286" t="str">
            <v>Trát sênô, mái hắt, lam ngang vữa XM mác 75</v>
          </cell>
          <cell r="E286" t="str">
            <v>m2</v>
          </cell>
          <cell r="F286">
            <v>122385.70299999999</v>
          </cell>
          <cell r="G286">
            <v>10</v>
          </cell>
          <cell r="H286">
            <v>0.3</v>
          </cell>
        </row>
        <row r="287">
          <cell r="B287" t="str">
            <v>trát vẩy tường</v>
          </cell>
          <cell r="C287" t="str">
            <v>Trát vẩy tường chống vang, vữa XM mác 75</v>
          </cell>
          <cell r="E287" t="str">
            <v>m2</v>
          </cell>
          <cell r="F287">
            <v>193828.78099999999</v>
          </cell>
          <cell r="G287">
            <v>10</v>
          </cell>
          <cell r="H287">
            <v>0.3</v>
          </cell>
        </row>
        <row r="288">
          <cell r="B288" t="str">
            <v>trát granito gờ chỉ</v>
          </cell>
          <cell r="C288" t="str">
            <v>Trát granitô gờ chỉ, gờ lồi, đố tường vữa XM mác 75</v>
          </cell>
          <cell r="E288" t="str">
            <v>m</v>
          </cell>
          <cell r="F288">
            <v>149217.041</v>
          </cell>
          <cell r="G288">
            <v>10</v>
          </cell>
          <cell r="H288">
            <v>0.3</v>
          </cell>
        </row>
        <row r="289">
          <cell r="B289" t="str">
            <v>trát granito tay vịn</v>
          </cell>
          <cell r="C289" t="str">
            <v>Trát granitô tay vịn cầu thang vữa XM mác 75</v>
          </cell>
          <cell r="E289" t="str">
            <v>m2</v>
          </cell>
          <cell r="F289">
            <v>1377443.9889999998</v>
          </cell>
          <cell r="G289">
            <v>10</v>
          </cell>
          <cell r="H289">
            <v>0.3</v>
          </cell>
        </row>
        <row r="290">
          <cell r="B290" t="str">
            <v>trát granito ô văng</v>
          </cell>
          <cell r="C290" t="str">
            <v>Trát granitô thành ôvăng, sênô vữa XM mác 75</v>
          </cell>
          <cell r="E290" t="str">
            <v>m2</v>
          </cell>
          <cell r="F290">
            <v>558529.23699999996</v>
          </cell>
          <cell r="G290">
            <v>10</v>
          </cell>
          <cell r="H290">
            <v>0.3</v>
          </cell>
        </row>
        <row r="291">
          <cell r="B291" t="str">
            <v>trát granito tường</v>
          </cell>
          <cell r="C291" t="str">
            <v>Trát granitô tường vữa XM mác 75</v>
          </cell>
          <cell r="E291" t="str">
            <v>m2</v>
          </cell>
          <cell r="F291">
            <v>409441.821</v>
          </cell>
          <cell r="G291">
            <v>10</v>
          </cell>
          <cell r="H291">
            <v>0.3</v>
          </cell>
        </row>
        <row r="292">
          <cell r="B292" t="str">
            <v>trát granito cột</v>
          </cell>
          <cell r="C292" t="str">
            <v>Trát granitô trụ cột vữa XM mác 75</v>
          </cell>
          <cell r="E292" t="str">
            <v>m2</v>
          </cell>
          <cell r="F292">
            <v>862483.2699999999</v>
          </cell>
          <cell r="G292">
            <v>10</v>
          </cell>
          <cell r="H292">
            <v>0.3</v>
          </cell>
        </row>
        <row r="293">
          <cell r="B293" t="str">
            <v>Trát đá rửa tường</v>
          </cell>
          <cell r="C293" t="str">
            <v>Trát đá rửa tường vữa XM mác 75</v>
          </cell>
          <cell r="E293" t="str">
            <v>m2</v>
          </cell>
          <cell r="F293">
            <v>298166.53599999996</v>
          </cell>
          <cell r="G293">
            <v>10</v>
          </cell>
          <cell r="H293">
            <v>0.3</v>
          </cell>
        </row>
        <row r="294">
          <cell r="B294" t="str">
            <v>Trát đá rửa cột</v>
          </cell>
          <cell r="C294" t="str">
            <v>Trát đá rửa trụ cột vữa XM mác 75</v>
          </cell>
          <cell r="E294" t="str">
            <v>m2</v>
          </cell>
          <cell r="F294">
            <v>452112.29699999996</v>
          </cell>
          <cell r="G294">
            <v>10</v>
          </cell>
          <cell r="H294">
            <v>0.3</v>
          </cell>
        </row>
        <row r="295">
          <cell r="B295" t="str">
            <v>Trát đá rửa lan can</v>
          </cell>
          <cell r="C295" t="str">
            <v>Trát đá rửa lan can, diềm chắn nắng vữa XM mác 75</v>
          </cell>
          <cell r="E295" t="str">
            <v>m2</v>
          </cell>
          <cell r="F295">
            <v>597660.43199999991</v>
          </cell>
          <cell r="G295">
            <v>10</v>
          </cell>
          <cell r="H295">
            <v>0.3</v>
          </cell>
        </row>
        <row r="296">
          <cell r="B296" t="str">
            <v>Ốp gạch 300x600</v>
          </cell>
          <cell r="C296" t="str">
            <v>Ốp tường, trụ, cột gạch ceramic 300x600</v>
          </cell>
          <cell r="E296" t="str">
            <v>m2</v>
          </cell>
          <cell r="F296">
            <v>584020.77099999995</v>
          </cell>
          <cell r="G296">
            <v>10</v>
          </cell>
          <cell r="H296">
            <v>0.3</v>
          </cell>
        </row>
        <row r="297">
          <cell r="B297" t="str">
            <v>Ốp gạch 200x250</v>
          </cell>
          <cell r="C297" t="str">
            <v>Ốp tường, trụ, cột gạch ceramic 200x250mm</v>
          </cell>
          <cell r="E297" t="str">
            <v>m2</v>
          </cell>
          <cell r="F297">
            <v>496606.85599999997</v>
          </cell>
          <cell r="G297">
            <v>10</v>
          </cell>
          <cell r="H297">
            <v>0.3</v>
          </cell>
        </row>
        <row r="298">
          <cell r="B298" t="str">
            <v>Ốp gạch 250x400</v>
          </cell>
          <cell r="C298" t="str">
            <v>Ốp tường, trụ, cột gạch ceramic  250x400mm</v>
          </cell>
          <cell r="E298" t="str">
            <v>m2</v>
          </cell>
          <cell r="F298">
            <v>439590.52199999994</v>
          </cell>
          <cell r="G298">
            <v>10</v>
          </cell>
          <cell r="H298">
            <v>0.3</v>
          </cell>
        </row>
        <row r="299">
          <cell r="B299" t="str">
            <v>Ốp gạch 600x600</v>
          </cell>
          <cell r="C299" t="str">
            <v>Ốp tường, trụ, cột gạch ceramic 600x600m</v>
          </cell>
          <cell r="E299" t="str">
            <v>m2</v>
          </cell>
          <cell r="F299">
            <v>477419.24499999994</v>
          </cell>
          <cell r="G299">
            <v>10</v>
          </cell>
          <cell r="H299">
            <v>0.3</v>
          </cell>
        </row>
        <row r="300">
          <cell r="B300" t="str">
            <v>Ốp gạch 800x800</v>
          </cell>
          <cell r="C300" t="str">
            <v>Ốp tường, trụ, cột gạch ceramic 800x800m</v>
          </cell>
          <cell r="E300" t="str">
            <v>m2</v>
          </cell>
          <cell r="F300">
            <v>514756.42999999993</v>
          </cell>
          <cell r="G300">
            <v>10</v>
          </cell>
          <cell r="H300">
            <v>0.3</v>
          </cell>
        </row>
        <row r="301">
          <cell r="B301" t="str">
            <v>Ốp gạch chân tường 120x300</v>
          </cell>
          <cell r="C301" t="str">
            <v>Ốp chân tường, viền tường, viền trụ, cột gạch ceramic 120x300mm</v>
          </cell>
          <cell r="E301" t="str">
            <v>m2</v>
          </cell>
          <cell r="F301">
            <v>334937.51899999997</v>
          </cell>
          <cell r="G301">
            <v>10</v>
          </cell>
          <cell r="H301">
            <v>0.3</v>
          </cell>
        </row>
        <row r="302">
          <cell r="B302" t="str">
            <v>Ốp đá granít</v>
          </cell>
          <cell r="C302" t="str">
            <v>Ốp đá granít tự nhiên vào tường, sử dụng keo dán</v>
          </cell>
          <cell r="E302" t="str">
            <v>m2</v>
          </cell>
          <cell r="F302">
            <v>1770242.997</v>
          </cell>
          <cell r="G302">
            <v>10</v>
          </cell>
          <cell r="H302">
            <v>0.3</v>
          </cell>
        </row>
        <row r="303">
          <cell r="B303" t="str">
            <v>Láng nền sàn</v>
          </cell>
          <cell r="C303" t="str">
            <v>Láng nền sàn không đánh mầu vữa XM mác 50</v>
          </cell>
          <cell r="E303" t="str">
            <v>m2</v>
          </cell>
          <cell r="F303">
            <v>90971.861999999994</v>
          </cell>
          <cell r="G303">
            <v>10</v>
          </cell>
          <cell r="H303">
            <v>0.3</v>
          </cell>
        </row>
        <row r="304">
          <cell r="B304" t="str">
            <v>Láng nền sàn có đánh mầu</v>
          </cell>
          <cell r="C304" t="str">
            <v>Láng nền sàn có đánh mầu vữa XM mác 50</v>
          </cell>
          <cell r="E304" t="str">
            <v>m2</v>
          </cell>
          <cell r="F304">
            <v>100016.57599999999</v>
          </cell>
          <cell r="G304">
            <v>10</v>
          </cell>
          <cell r="H304">
            <v>0.3</v>
          </cell>
        </row>
        <row r="305">
          <cell r="B305" t="str">
            <v>Láng sênô, mái hắt, máng nước</v>
          </cell>
          <cell r="C305" t="str">
            <v>Láng sênô, mái hắt, máng nước vữa XM mác 50</v>
          </cell>
          <cell r="E305" t="str">
            <v>m2</v>
          </cell>
          <cell r="F305">
            <v>68520.811999999991</v>
          </cell>
          <cell r="G305">
            <v>10</v>
          </cell>
          <cell r="H305">
            <v>0.3</v>
          </cell>
        </row>
        <row r="306">
          <cell r="B306" t="str">
            <v>Láng bể nước</v>
          </cell>
          <cell r="C306" t="str">
            <v>Láng bể nước, giếng nước, giếng cáp vữa XM mác 50</v>
          </cell>
          <cell r="E306" t="str">
            <v>m2</v>
          </cell>
          <cell r="F306">
            <v>95184.155999999988</v>
          </cell>
          <cell r="G306">
            <v>10</v>
          </cell>
          <cell r="H306">
            <v>0.3</v>
          </cell>
        </row>
        <row r="307">
          <cell r="B307" t="str">
            <v>Láng mương</v>
          </cell>
          <cell r="C307" t="str">
            <v>Láng mương cáp, mương rãnh vữa XM mác 50</v>
          </cell>
          <cell r="E307" t="str">
            <v>m2</v>
          </cell>
          <cell r="F307">
            <v>68520.811999999991</v>
          </cell>
          <cell r="G307">
            <v>10</v>
          </cell>
          <cell r="H307">
            <v>0.3</v>
          </cell>
        </row>
        <row r="308">
          <cell r="B308" t="str">
            <v>Láng hè</v>
          </cell>
          <cell r="C308" t="str">
            <v>Láng hè vữa XM mác 50</v>
          </cell>
          <cell r="E308" t="str">
            <v>m2</v>
          </cell>
          <cell r="F308">
            <v>104626.041</v>
          </cell>
          <cell r="G308">
            <v>10</v>
          </cell>
          <cell r="H308">
            <v>0.3</v>
          </cell>
        </row>
        <row r="309">
          <cell r="B309" t="str">
            <v>Láng granitô nền sàn</v>
          </cell>
          <cell r="C309" t="str">
            <v>Láng granitô nền sàn</v>
          </cell>
          <cell r="E309" t="str">
            <v>m2</v>
          </cell>
          <cell r="F309">
            <v>718911.65699999989</v>
          </cell>
          <cell r="G309">
            <v>10</v>
          </cell>
          <cell r="H309">
            <v>0.3</v>
          </cell>
        </row>
        <row r="310">
          <cell r="B310" t="str">
            <v>Láng granitô cầu thang</v>
          </cell>
          <cell r="C310" t="str">
            <v>Láng granitô cầu thang</v>
          </cell>
          <cell r="E310" t="str">
            <v>m2</v>
          </cell>
          <cell r="F310">
            <v>1299105.8979999998</v>
          </cell>
          <cell r="G310">
            <v>10</v>
          </cell>
          <cell r="H310">
            <v>0.3</v>
          </cell>
        </row>
        <row r="311">
          <cell r="B311" t="str">
            <v>Láng sỏi</v>
          </cell>
          <cell r="C311" t="str">
            <v>Láng sỏi nền, sân, hè đường</v>
          </cell>
          <cell r="E311" t="str">
            <v>m2</v>
          </cell>
          <cell r="F311">
            <v>335236.17499999999</v>
          </cell>
          <cell r="G311">
            <v>10</v>
          </cell>
          <cell r="H311">
            <v>0.3</v>
          </cell>
        </row>
        <row r="312">
          <cell r="B312" t="str">
            <v>Lát gạch chỉ</v>
          </cell>
          <cell r="C312" t="str">
            <v>Lát gạch chỉ 6,5x10,5x21cm</v>
          </cell>
          <cell r="E312" t="str">
            <v>m2</v>
          </cell>
          <cell r="F312">
            <v>177682.69099999999</v>
          </cell>
          <cell r="G312">
            <v>10</v>
          </cell>
          <cell r="H312">
            <v>0.3</v>
          </cell>
        </row>
        <row r="313">
          <cell r="B313" t="str">
            <v>Lát gạch Ceramic 200x200</v>
          </cell>
          <cell r="C313" t="str">
            <v>Lát nền, sàn gạch ceramic 200x200mm</v>
          </cell>
          <cell r="E313" t="str">
            <v>m2</v>
          </cell>
          <cell r="F313">
            <v>345454.77299999999</v>
          </cell>
          <cell r="G313">
            <v>10</v>
          </cell>
          <cell r="H313">
            <v>0.3</v>
          </cell>
        </row>
        <row r="314">
          <cell r="B314" t="str">
            <v>Lát gạch Ceramic 300x300</v>
          </cell>
          <cell r="C314" t="str">
            <v>Lát nền, sàn gạch ceramic 300x300mm</v>
          </cell>
          <cell r="E314" t="str">
            <v>m2</v>
          </cell>
          <cell r="F314">
            <v>340699.09099999996</v>
          </cell>
          <cell r="G314">
            <v>10</v>
          </cell>
          <cell r="H314">
            <v>0.3</v>
          </cell>
        </row>
        <row r="315">
          <cell r="B315" t="str">
            <v>Lát gạch Ceramic 400x400</v>
          </cell>
          <cell r="C315" t="str">
            <v>Lát nền, sàn gạch ceramic 400x400mm</v>
          </cell>
          <cell r="E315" t="str">
            <v>m2</v>
          </cell>
          <cell r="F315">
            <v>331877.33199999999</v>
          </cell>
          <cell r="G315">
            <v>10</v>
          </cell>
          <cell r="H315">
            <v>0.3</v>
          </cell>
        </row>
        <row r="316">
          <cell r="B316" t="str">
            <v>Lát gạch Ceramic 500x500</v>
          </cell>
          <cell r="C316" t="str">
            <v>Lát nền, sàn gạch ceramic 500x500mm</v>
          </cell>
          <cell r="E316" t="str">
            <v>m2</v>
          </cell>
          <cell r="F316">
            <v>372397.06999999995</v>
          </cell>
          <cell r="G316">
            <v>10</v>
          </cell>
          <cell r="H316">
            <v>0.3</v>
          </cell>
        </row>
        <row r="317">
          <cell r="B317" t="str">
            <v>Lát gạch Ceramic 600x600</v>
          </cell>
          <cell r="C317" t="str">
            <v>Lát nền, sàn gạch ceramic 600x600mm</v>
          </cell>
          <cell r="E317" t="str">
            <v>m2</v>
          </cell>
          <cell r="F317">
            <v>405650.54899999994</v>
          </cell>
          <cell r="G317">
            <v>10</v>
          </cell>
          <cell r="H317">
            <v>0.3</v>
          </cell>
        </row>
        <row r="318">
          <cell r="B318" t="str">
            <v>Lát gạch Ceramic 800x800</v>
          </cell>
          <cell r="C318" t="str">
            <v>Lát nền gạch ceramic 800x800mm</v>
          </cell>
          <cell r="E318" t="str">
            <v>m2</v>
          </cell>
          <cell r="F318">
            <v>446388.05699999997</v>
          </cell>
          <cell r="G318">
            <v>10</v>
          </cell>
          <cell r="H318">
            <v>0.3</v>
          </cell>
        </row>
        <row r="319">
          <cell r="B319" t="str">
            <v>Lát gạch vỉ</v>
          </cell>
          <cell r="C319" t="str">
            <v>Lát gạch vỉ vào các kết cấu</v>
          </cell>
          <cell r="E319" t="str">
            <v>m2</v>
          </cell>
          <cell r="F319">
            <v>235671.73099999997</v>
          </cell>
          <cell r="G319">
            <v>10</v>
          </cell>
          <cell r="H319">
            <v>0.3</v>
          </cell>
        </row>
        <row r="320">
          <cell r="B320" t="str">
            <v>Lát gạch Granit 400x400</v>
          </cell>
          <cell r="C320" t="str">
            <v>Lát nền, sàn gạch granít nhân tạo 400x400mm</v>
          </cell>
          <cell r="E320" t="str">
            <v>m2</v>
          </cell>
          <cell r="F320">
            <v>490195.08499999996</v>
          </cell>
          <cell r="G320">
            <v>10</v>
          </cell>
          <cell r="H320">
            <v>0.3</v>
          </cell>
        </row>
        <row r="321">
          <cell r="B321" t="str">
            <v>Lát gạch Granit 500x500</v>
          </cell>
          <cell r="C321" t="str">
            <v>Lát nền, sàn gạch granít nhân tạo 500x500mm</v>
          </cell>
          <cell r="E321" t="str">
            <v>m2</v>
          </cell>
          <cell r="F321">
            <v>477063.55399999995</v>
          </cell>
          <cell r="G321">
            <v>10</v>
          </cell>
          <cell r="H321">
            <v>0.3</v>
          </cell>
        </row>
        <row r="322">
          <cell r="B322" t="str">
            <v>Lát gạch Granit 600x600</v>
          </cell>
          <cell r="C322" t="str">
            <v>Lát nền, sàn gạch granít nhân tạo 600x600mm</v>
          </cell>
          <cell r="E322" t="str">
            <v>m2</v>
          </cell>
          <cell r="F322">
            <v>507728.68099999998</v>
          </cell>
          <cell r="G322">
            <v>10</v>
          </cell>
          <cell r="H322">
            <v>0.3</v>
          </cell>
        </row>
        <row r="323">
          <cell r="B323" t="str">
            <v>Lát gạch Granit 800x800</v>
          </cell>
          <cell r="C323" t="str">
            <v>Lát nền, sàn gạch granít nhân tạo 800x800mm</v>
          </cell>
          <cell r="E323" t="str">
            <v>m2</v>
          </cell>
          <cell r="F323">
            <v>589351.98800000001</v>
          </cell>
          <cell r="G323">
            <v>10</v>
          </cell>
          <cell r="H323">
            <v>0.3</v>
          </cell>
        </row>
        <row r="324">
          <cell r="B324" t="str">
            <v>Lát gạch Granit 1000x1000</v>
          </cell>
          <cell r="C324" t="str">
            <v>Lát nền, sàn gạch granít nhân tạo 1000x1000mm</v>
          </cell>
          <cell r="E324" t="str">
            <v>m2</v>
          </cell>
          <cell r="F324">
            <v>927153.70099999988</v>
          </cell>
          <cell r="G324">
            <v>10</v>
          </cell>
          <cell r="H324">
            <v>0.3</v>
          </cell>
        </row>
        <row r="325">
          <cell r="B325" t="str">
            <v>Lát gạch Granit 1200x1200</v>
          </cell>
          <cell r="C325" t="str">
            <v>Lát nền, sàn gạch granít nhân tạo 1200x1200mm</v>
          </cell>
          <cell r="E325" t="str">
            <v>m2</v>
          </cell>
          <cell r="F325">
            <v>1201853.9639999999</v>
          </cell>
          <cell r="G325">
            <v>10</v>
          </cell>
          <cell r="H325">
            <v>0.3</v>
          </cell>
        </row>
        <row r="326">
          <cell r="B326" t="str">
            <v>Lát gạch granít tam cấp</v>
          </cell>
          <cell r="C326" t="str">
            <v>Lát gạch granít nhân tạo bậc tam cấp</v>
          </cell>
          <cell r="E326" t="str">
            <v>m2</v>
          </cell>
          <cell r="F326">
            <v>574140.23499999999</v>
          </cell>
          <cell r="G326">
            <v>10</v>
          </cell>
          <cell r="H326">
            <v>0.3</v>
          </cell>
        </row>
        <row r="327">
          <cell r="B327" t="str">
            <v>Lát gạch granít cầu thang</v>
          </cell>
          <cell r="C327" t="str">
            <v>Lát gạch granít nhân tạo bậc cầu thang</v>
          </cell>
          <cell r="E327" t="str">
            <v>m2</v>
          </cell>
          <cell r="F327">
            <v>615894.00299999991</v>
          </cell>
          <cell r="G327">
            <v>10</v>
          </cell>
          <cell r="H327">
            <v>0.3</v>
          </cell>
        </row>
        <row r="328">
          <cell r="B328" t="str">
            <v>Lát gạch xi măng</v>
          </cell>
          <cell r="C328" t="str">
            <v>Lát sân, nền đường, vỉa hè gạch xi măng</v>
          </cell>
          <cell r="E328" t="str">
            <v>m2</v>
          </cell>
          <cell r="F328">
            <v>262870.16699999996</v>
          </cell>
          <cell r="G328">
            <v>10</v>
          </cell>
          <cell r="H328">
            <v>0.3</v>
          </cell>
        </row>
        <row r="329">
          <cell r="B329" t="str">
            <v>Lát gạch lá dừa</v>
          </cell>
          <cell r="C329" t="str">
            <v>Lát sân, nền đường, vỉa hè gạch lá dừa 10x20</v>
          </cell>
          <cell r="E329" t="str">
            <v>m2</v>
          </cell>
          <cell r="F329">
            <v>120919.38499999999</v>
          </cell>
          <cell r="G329">
            <v>10</v>
          </cell>
          <cell r="H329">
            <v>0.3</v>
          </cell>
        </row>
        <row r="330">
          <cell r="B330" t="str">
            <v>Lát gạch tự chèn</v>
          </cell>
          <cell r="C330" t="str">
            <v>Lát sân, nền đường, vỉa hè gạch tự chèn</v>
          </cell>
          <cell r="E330" t="str">
            <v>m2</v>
          </cell>
          <cell r="F330">
            <v>214962.84099999999</v>
          </cell>
          <cell r="G330">
            <v>10</v>
          </cell>
          <cell r="H330">
            <v>0.3</v>
          </cell>
        </row>
        <row r="331">
          <cell r="B331" t="str">
            <v>Lát gạch đất nung 300x300</v>
          </cell>
          <cell r="C331" t="str">
            <v>Lát gạch đất nung 300x300mm</v>
          </cell>
          <cell r="E331" t="str">
            <v>m2</v>
          </cell>
          <cell r="F331">
            <v>220453.75599999999</v>
          </cell>
          <cell r="G331">
            <v>10</v>
          </cell>
          <cell r="H331">
            <v>0.3</v>
          </cell>
        </row>
        <row r="332">
          <cell r="B332" t="str">
            <v>Lát gạch đất nung 400x400</v>
          </cell>
          <cell r="C332" t="str">
            <v>Lát gạch đất nung 400x400mm</v>
          </cell>
          <cell r="E332" t="str">
            <v>m2</v>
          </cell>
          <cell r="F332">
            <v>216675.965</v>
          </cell>
          <cell r="G332">
            <v>10</v>
          </cell>
          <cell r="H332">
            <v>0.3</v>
          </cell>
        </row>
        <row r="333">
          <cell r="B333" t="str">
            <v>Lát gạch đất nung 500x500</v>
          </cell>
          <cell r="C333" t="str">
            <v>Lát gạch đất nung 500x500mm</v>
          </cell>
          <cell r="E333" t="str">
            <v>m2</v>
          </cell>
          <cell r="F333">
            <v>217785.55499999999</v>
          </cell>
          <cell r="G333">
            <v>10</v>
          </cell>
          <cell r="H333">
            <v>0.3</v>
          </cell>
        </row>
        <row r="334">
          <cell r="B334" t="str">
            <v>trần cót</v>
          </cell>
          <cell r="C334" t="str">
            <v>Làm trần cót ép</v>
          </cell>
          <cell r="E334" t="str">
            <v>m2</v>
          </cell>
          <cell r="F334">
            <v>235069.234</v>
          </cell>
          <cell r="G334">
            <v>10</v>
          </cell>
          <cell r="H334">
            <v>0.3</v>
          </cell>
        </row>
        <row r="335">
          <cell r="B335" t="str">
            <v>trần gỗ</v>
          </cell>
          <cell r="C335" t="str">
            <v>Làm trần gỗ dán, ván ép</v>
          </cell>
          <cell r="E335" t="str">
            <v>m2</v>
          </cell>
          <cell r="F335">
            <v>309078.88699999999</v>
          </cell>
          <cell r="G335">
            <v>10</v>
          </cell>
          <cell r="H335">
            <v>0.3</v>
          </cell>
        </row>
        <row r="336">
          <cell r="B336" t="str">
            <v>Trần thạch cao</v>
          </cell>
          <cell r="C336" t="str">
            <v>Làm trần phẳng bằng tấm thạch cao có khung xương</v>
          </cell>
          <cell r="E336" t="str">
            <v>m2</v>
          </cell>
          <cell r="F336">
            <v>381807.84499999997</v>
          </cell>
          <cell r="G336">
            <v>10</v>
          </cell>
          <cell r="H336">
            <v>0.3</v>
          </cell>
        </row>
        <row r="337">
          <cell r="B337" t="str">
            <v>trần nhựa</v>
          </cell>
          <cell r="C337" t="str">
            <v>Làm trần bằng tấm nhựa có khung xương</v>
          </cell>
          <cell r="E337" t="str">
            <v>m2</v>
          </cell>
          <cell r="F337">
            <v>199198.367</v>
          </cell>
          <cell r="G337">
            <v>10</v>
          </cell>
          <cell r="H337">
            <v>0.3</v>
          </cell>
        </row>
        <row r="338">
          <cell r="B338" t="str">
            <v>vách ván ép</v>
          </cell>
          <cell r="C338" t="str">
            <v>Làm vách ngăn bằng ván ép</v>
          </cell>
          <cell r="E338" t="str">
            <v>m2</v>
          </cell>
          <cell r="F338">
            <v>262657.58199999999</v>
          </cell>
          <cell r="G338">
            <v>10</v>
          </cell>
          <cell r="H338">
            <v>0.3</v>
          </cell>
        </row>
        <row r="339">
          <cell r="B339" t="str">
            <v>vách nhựa</v>
          </cell>
          <cell r="C339" t="str">
            <v>Làm vách ngăn bằng tấm nhựa</v>
          </cell>
          <cell r="E339" t="str">
            <v>m2</v>
          </cell>
          <cell r="F339">
            <v>182647.84699999998</v>
          </cell>
          <cell r="G339">
            <v>10</v>
          </cell>
          <cell r="H339">
            <v>0.3</v>
          </cell>
        </row>
        <row r="340">
          <cell r="B340" t="str">
            <v>vách gỗ</v>
          </cell>
          <cell r="C340" t="str">
            <v>Làm vách ngăn bằng gỗ ván dày 2cm</v>
          </cell>
          <cell r="E340" t="str">
            <v>m2</v>
          </cell>
          <cell r="F340">
            <v>585430.054</v>
          </cell>
          <cell r="G340">
            <v>10</v>
          </cell>
          <cell r="H340">
            <v>0.3</v>
          </cell>
        </row>
        <row r="341">
          <cell r="B341" t="str">
            <v>vách thạch cao</v>
          </cell>
          <cell r="C341" t="str">
            <v>Làm vách bằng thạch cao có khung xương</v>
          </cell>
          <cell r="E341" t="str">
            <v>m2</v>
          </cell>
          <cell r="F341">
            <v>355866.25299999997</v>
          </cell>
          <cell r="G341">
            <v>10</v>
          </cell>
          <cell r="H341">
            <v>0.3</v>
          </cell>
        </row>
        <row r="342">
          <cell r="B342" t="str">
            <v>chân tường gỗ</v>
          </cell>
          <cell r="C342" t="str">
            <v>Gia công và đóng chân tường bằng gỗ, kích thước 2x10cm</v>
          </cell>
          <cell r="E342" t="str">
            <v>m</v>
          </cell>
          <cell r="F342">
            <v>79454.939999999988</v>
          </cell>
          <cell r="G342">
            <v>10</v>
          </cell>
          <cell r="H342">
            <v>0.3</v>
          </cell>
        </row>
        <row r="343">
          <cell r="B343" t="str">
            <v>tay vịn gỗ</v>
          </cell>
          <cell r="C343" t="str">
            <v>Gia công và lắp đặt tay vịn thang bằng gỗ, kích thước 8x10cm</v>
          </cell>
          <cell r="E343" t="str">
            <v>m</v>
          </cell>
          <cell r="F343">
            <v>262307.076</v>
          </cell>
          <cell r="G343">
            <v>10</v>
          </cell>
          <cell r="H343">
            <v>0.3</v>
          </cell>
        </row>
        <row r="344">
          <cell r="B344" t="str">
            <v>sàn gỗ 2cm</v>
          </cell>
          <cell r="C344" t="str">
            <v>Làm mặt sàn gỗ gỗ ván dày 2cm</v>
          </cell>
          <cell r="E344" t="str">
            <v>m2</v>
          </cell>
          <cell r="F344">
            <v>510956.86199999996</v>
          </cell>
          <cell r="G344">
            <v>10</v>
          </cell>
          <cell r="H344">
            <v>0.3</v>
          </cell>
        </row>
        <row r="345">
          <cell r="B345" t="str">
            <v>quét vôi 1 nước</v>
          </cell>
          <cell r="C345" t="str">
            <v>Quét vôi 1 nước trắng 2 nước màu trong nhà</v>
          </cell>
          <cell r="E345" t="str">
            <v>m2</v>
          </cell>
          <cell r="F345">
            <v>17846.77</v>
          </cell>
          <cell r="G345">
            <v>10</v>
          </cell>
          <cell r="H345">
            <v>0.3</v>
          </cell>
        </row>
        <row r="346">
          <cell r="B346" t="str">
            <v>quét vôi 3 nước</v>
          </cell>
          <cell r="C346" t="str">
            <v>Quét vôi 3 nước trắng</v>
          </cell>
          <cell r="E346" t="str">
            <v>m2</v>
          </cell>
          <cell r="F346">
            <v>16881.323</v>
          </cell>
          <cell r="G346">
            <v>10</v>
          </cell>
          <cell r="H346">
            <v>0.3</v>
          </cell>
        </row>
        <row r="347">
          <cell r="B347" t="str">
            <v>quét xi măng</v>
          </cell>
          <cell r="C347" t="str">
            <v>Quét nước ximăng 2 nước</v>
          </cell>
          <cell r="E347" t="str">
            <v>m2</v>
          </cell>
          <cell r="F347">
            <v>14861.246999999999</v>
          </cell>
          <cell r="G347">
            <v>10</v>
          </cell>
          <cell r="H347">
            <v>0.3</v>
          </cell>
        </row>
        <row r="348">
          <cell r="B348" t="str">
            <v>bả matit tường</v>
          </cell>
          <cell r="C348" t="str">
            <v>Bả matít vào tường</v>
          </cell>
          <cell r="E348" t="str">
            <v>m2</v>
          </cell>
          <cell r="F348">
            <v>45285.789999999994</v>
          </cell>
          <cell r="G348">
            <v>10</v>
          </cell>
          <cell r="H348">
            <v>0.3</v>
          </cell>
        </row>
        <row r="349">
          <cell r="B349" t="str">
            <v>bả matit cột</v>
          </cell>
          <cell r="C349" t="str">
            <v>Bả matít vào cột, dầm, trần</v>
          </cell>
          <cell r="E349" t="str">
            <v>m2</v>
          </cell>
          <cell r="F349">
            <v>53388.907999999996</v>
          </cell>
          <cell r="G349">
            <v>10</v>
          </cell>
          <cell r="H349">
            <v>0.3</v>
          </cell>
        </row>
        <row r="350">
          <cell r="B350" t="str">
            <v>sơn trong có bả</v>
          </cell>
          <cell r="C350" t="str">
            <v>Sơn dầm, trần cột, tường trong nhà đã bả 1 nước lót + 2 nước phủ</v>
          </cell>
          <cell r="E350" t="str">
            <v>m2</v>
          </cell>
          <cell r="F350">
            <v>60167.776999999995</v>
          </cell>
          <cell r="G350">
            <v>10</v>
          </cell>
          <cell r="H350">
            <v>0.3</v>
          </cell>
        </row>
        <row r="351">
          <cell r="B351" t="str">
            <v>sơn trong không bả</v>
          </cell>
          <cell r="C351" t="str">
            <v>Sơn dầm, trần, cột, tường trong nhà không bả 1 nước lót + 2 nước phủ</v>
          </cell>
          <cell r="E351" t="str">
            <v>m2</v>
          </cell>
          <cell r="F351">
            <v>71642.182000000001</v>
          </cell>
          <cell r="G351">
            <v>10</v>
          </cell>
          <cell r="H351">
            <v>0.3</v>
          </cell>
        </row>
        <row r="352">
          <cell r="B352" t="str">
            <v>sơn ngoài không bả</v>
          </cell>
          <cell r="C352" t="str">
            <v>Sơn tường ngoài nhà không bả 1 nước lót + 2 nước phủ</v>
          </cell>
          <cell r="E352" t="str">
            <v>m2</v>
          </cell>
          <cell r="F352">
            <v>131517.52499999999</v>
          </cell>
          <cell r="G352">
            <v>10</v>
          </cell>
          <cell r="H352">
            <v>0.3</v>
          </cell>
        </row>
        <row r="353">
          <cell r="B353" t="str">
            <v>sơn ngoài có bả</v>
          </cell>
          <cell r="C353" t="str">
            <v>Sơn tường ngoài nhà đã bả 1 nước lót + 2 nước phủ</v>
          </cell>
          <cell r="E353" t="str">
            <v>m2</v>
          </cell>
          <cell r="F353">
            <v>107843.852</v>
          </cell>
          <cell r="G353">
            <v>10</v>
          </cell>
          <cell r="H353">
            <v>0.3</v>
          </cell>
        </row>
        <row r="354">
          <cell r="B354" t="str">
            <v>sơn gỗ</v>
          </cell>
          <cell r="C354" t="str">
            <v>Sơn kết cấu gỗ bằng sơn các loại, 1 nước lót + 2 nước phủ</v>
          </cell>
          <cell r="E354" t="str">
            <v>m2</v>
          </cell>
          <cell r="F354">
            <v>127802.99099999999</v>
          </cell>
          <cell r="G354">
            <v>10</v>
          </cell>
          <cell r="H354">
            <v>0.3</v>
          </cell>
        </row>
        <row r="355">
          <cell r="B355" t="str">
            <v>sơn thép</v>
          </cell>
          <cell r="C355" t="str">
            <v>Sơn kết cấu thép bằng sơn các loại, 1 nước lót + 2 nước phủ</v>
          </cell>
          <cell r="E355" t="str">
            <v>m2</v>
          </cell>
          <cell r="F355">
            <v>79066.064999999988</v>
          </cell>
          <cell r="G355">
            <v>10</v>
          </cell>
          <cell r="H355">
            <v>0.3</v>
          </cell>
        </row>
        <row r="356">
          <cell r="B356" t="str">
            <v>lan can thép</v>
          </cell>
          <cell r="C356" t="str">
            <v>Lan can thép</v>
          </cell>
          <cell r="E356" t="str">
            <v>kg</v>
          </cell>
          <cell r="F356">
            <v>41802.506999999998</v>
          </cell>
          <cell r="G356">
            <v>10</v>
          </cell>
          <cell r="H356">
            <v>0.3</v>
          </cell>
        </row>
        <row r="357">
          <cell r="B357" t="str">
            <v>của sổ trời</v>
          </cell>
          <cell r="C357" t="str">
            <v>Cửa sổ trời</v>
          </cell>
          <cell r="E357" t="str">
            <v>kg</v>
          </cell>
          <cell r="F357">
            <v>44612.776999999995</v>
          </cell>
          <cell r="G357">
            <v>10</v>
          </cell>
          <cell r="H357">
            <v>0.3</v>
          </cell>
        </row>
        <row r="358">
          <cell r="B358" t="str">
            <v>hàng rào inox</v>
          </cell>
          <cell r="C358" t="str">
            <v>Hàng rào song Inox</v>
          </cell>
          <cell r="E358" t="str">
            <v>m2</v>
          </cell>
          <cell r="F358">
            <v>2298623.5329999998</v>
          </cell>
          <cell r="G358">
            <v>10</v>
          </cell>
          <cell r="H358">
            <v>0.3</v>
          </cell>
        </row>
        <row r="359">
          <cell r="B359" t="str">
            <v>hàng rào lưới thép</v>
          </cell>
          <cell r="C359" t="str">
            <v>Hàng rào lưới thép</v>
          </cell>
          <cell r="E359" t="str">
            <v>m2</v>
          </cell>
          <cell r="F359">
            <v>978328.61399999994</v>
          </cell>
          <cell r="G359">
            <v>10</v>
          </cell>
          <cell r="H359">
            <v>0.3</v>
          </cell>
        </row>
        <row r="360">
          <cell r="B360" t="str">
            <v>hrb40ck</v>
          </cell>
          <cell r="C360" t="str">
            <v>Hàng rào khung thép vuông, căng lưới B40</v>
          </cell>
          <cell r="E360" t="str">
            <v>m2</v>
          </cell>
          <cell r="F360">
            <v>1063890.4469999999</v>
          </cell>
          <cell r="G360">
            <v>10</v>
          </cell>
          <cell r="H360">
            <v>0.3</v>
          </cell>
        </row>
        <row r="361">
          <cell r="B361" t="str">
            <v>cửa lưới thép</v>
          </cell>
          <cell r="C361" t="str">
            <v>Cửa lưới thép</v>
          </cell>
          <cell r="E361" t="str">
            <v>m2</v>
          </cell>
          <cell r="F361">
            <v>1101122.895</v>
          </cell>
          <cell r="G361">
            <v>10</v>
          </cell>
          <cell r="H361">
            <v>0.3</v>
          </cell>
        </row>
        <row r="362">
          <cell r="B362" t="str">
            <v>hàng rào song sắt</v>
          </cell>
          <cell r="C362" t="str">
            <v>Hàng rào song sắt</v>
          </cell>
          <cell r="E362" t="str">
            <v>m2</v>
          </cell>
          <cell r="F362">
            <v>1166504.7079999999</v>
          </cell>
          <cell r="G362">
            <v>10</v>
          </cell>
          <cell r="H362">
            <v>0.3</v>
          </cell>
        </row>
        <row r="363">
          <cell r="B363" t="str">
            <v>Cửa song sắt</v>
          </cell>
          <cell r="C363" t="str">
            <v>Cửa song sắt</v>
          </cell>
          <cell r="E363" t="str">
            <v>m2</v>
          </cell>
          <cell r="F363">
            <v>1356364.89</v>
          </cell>
          <cell r="G363">
            <v>10</v>
          </cell>
          <cell r="H363">
            <v>0.3</v>
          </cell>
        </row>
        <row r="364">
          <cell r="B364" t="str">
            <v>Cửa song INOX</v>
          </cell>
          <cell r="C364" t="str">
            <v>Cửa song INOX</v>
          </cell>
          <cell r="E364" t="str">
            <v>m2</v>
          </cell>
          <cell r="F364">
            <v>2399776.6609999998</v>
          </cell>
          <cell r="G364">
            <v>10</v>
          </cell>
          <cell r="H364">
            <v>0.3</v>
          </cell>
        </row>
        <row r="365">
          <cell r="B365" t="str">
            <v>Cửa song Tuýp nước</v>
          </cell>
          <cell r="C365" t="str">
            <v>Cửa song Tuýp nước</v>
          </cell>
          <cell r="E365" t="str">
            <v>m2</v>
          </cell>
          <cell r="F365">
            <v>1482716.0809999998</v>
          </cell>
          <cell r="G365">
            <v>10</v>
          </cell>
          <cell r="H365">
            <v>0.3</v>
          </cell>
        </row>
        <row r="366">
          <cell r="B366" t="str">
            <v>cửa sắt 1</v>
          </cell>
          <cell r="C366" t="str">
            <v>Cửa sắt, hoa sắt bằng sắt vuông đặc 12x12mm</v>
          </cell>
          <cell r="E366" t="str">
            <v>kg</v>
          </cell>
          <cell r="F366">
            <v>46483.524999999994</v>
          </cell>
          <cell r="G366">
            <v>10</v>
          </cell>
          <cell r="H366">
            <v>0.3</v>
          </cell>
        </row>
        <row r="367">
          <cell r="B367" t="str">
            <v>cửa sắt 2</v>
          </cell>
          <cell r="C367" t="str">
            <v>Cửa sắt, hoa sắt bằng sắt vuông đặc 14x14mm</v>
          </cell>
          <cell r="E367" t="str">
            <v>kg</v>
          </cell>
          <cell r="F367">
            <v>43761.399999999994</v>
          </cell>
          <cell r="G367">
            <v>10</v>
          </cell>
          <cell r="H367">
            <v>0.3</v>
          </cell>
        </row>
        <row r="368">
          <cell r="B368" t="str">
            <v>cửa sắt 3</v>
          </cell>
          <cell r="C368" t="str">
            <v>Cửa sắt, hoa sắt bằng sắt vuông đặc 16x16mm</v>
          </cell>
          <cell r="E368" t="str">
            <v>kg</v>
          </cell>
          <cell r="F368">
            <v>41492.443999999996</v>
          </cell>
          <cell r="G368">
            <v>10</v>
          </cell>
          <cell r="H368">
            <v>0.3</v>
          </cell>
        </row>
        <row r="369">
          <cell r="B369" t="str">
            <v>cửa sắt 4</v>
          </cell>
          <cell r="C369" t="str">
            <v>Cửa sắt, hoa sắt bằng sắt vuông rỗng 12x12mm</v>
          </cell>
          <cell r="E369" t="str">
            <v>kg</v>
          </cell>
          <cell r="F369">
            <v>59766.457999999999</v>
          </cell>
          <cell r="G369">
            <v>10</v>
          </cell>
          <cell r="H369">
            <v>0.3</v>
          </cell>
        </row>
        <row r="370">
          <cell r="B370" t="str">
            <v>cửa sắt 5</v>
          </cell>
          <cell r="C370" t="str">
            <v>Cửa sắt, hoa sắt bằng sắt vuông rỗng 14x14mm</v>
          </cell>
          <cell r="E370" t="str">
            <v>kg</v>
          </cell>
          <cell r="F370">
            <v>55163.214999999997</v>
          </cell>
          <cell r="G370">
            <v>10</v>
          </cell>
          <cell r="H370">
            <v>0.3</v>
          </cell>
        </row>
        <row r="371">
          <cell r="B371" t="str">
            <v>cửa sắt 6</v>
          </cell>
          <cell r="C371" t="str">
            <v>Cửa sắt, hoa sắt bằng sắt vuông rỗng 16x16mm</v>
          </cell>
          <cell r="E371" t="str">
            <v>kg</v>
          </cell>
          <cell r="F371">
            <v>51213.281999999999</v>
          </cell>
          <cell r="G371">
            <v>10</v>
          </cell>
          <cell r="H371">
            <v>0.3</v>
          </cell>
        </row>
        <row r="372">
          <cell r="B372" t="str">
            <v>cửa sắt 7</v>
          </cell>
          <cell r="C372" t="str">
            <v>Cửa sắt, hoa Inox bằng Inox vuông rỗng 12x12mm</v>
          </cell>
          <cell r="E372" t="str">
            <v>kg</v>
          </cell>
          <cell r="F372">
            <v>126743.177</v>
          </cell>
          <cell r="G372">
            <v>10</v>
          </cell>
          <cell r="H372">
            <v>0.3</v>
          </cell>
        </row>
        <row r="373">
          <cell r="B373" t="str">
            <v>cửa sắt 8</v>
          </cell>
          <cell r="C373" t="str">
            <v>Cửa sắt, hoa Inox bằng Inox vuông rỗng 14x14mm</v>
          </cell>
          <cell r="E373" t="str">
            <v>kg</v>
          </cell>
          <cell r="F373">
            <v>122139.93399999999</v>
          </cell>
          <cell r="G373">
            <v>10</v>
          </cell>
          <cell r="H373">
            <v>0.3</v>
          </cell>
        </row>
        <row r="374">
          <cell r="B374" t="str">
            <v>cửa sắt 9</v>
          </cell>
          <cell r="C374" t="str">
            <v>Cửa sắt, hoa Inox bằng Inox vuông rỗng 16x16mm</v>
          </cell>
          <cell r="E374" t="str">
            <v>kg</v>
          </cell>
          <cell r="F374">
            <v>118188.96399999999</v>
          </cell>
          <cell r="G374">
            <v>10</v>
          </cell>
          <cell r="H374">
            <v>0.3</v>
          </cell>
        </row>
        <row r="375">
          <cell r="B375" t="str">
            <v>cửa inox 1</v>
          </cell>
          <cell r="C375" t="str">
            <v>Cửa Inox, hoa Inox bằng Inox vuông rỗng 12x12mm</v>
          </cell>
          <cell r="E375" t="str">
            <v>kg</v>
          </cell>
          <cell r="F375">
            <v>134603.63699999999</v>
          </cell>
          <cell r="G375">
            <v>10</v>
          </cell>
          <cell r="H375">
            <v>0.3</v>
          </cell>
        </row>
        <row r="376">
          <cell r="B376" t="str">
            <v>cửa inox 2</v>
          </cell>
          <cell r="C376" t="str">
            <v>Cửa Inox, hoa Inox bằng Inox vuông rỗng 14x14mm</v>
          </cell>
          <cell r="E376" t="str">
            <v>kg</v>
          </cell>
          <cell r="F376">
            <v>130000.39399999999</v>
          </cell>
          <cell r="G376">
            <v>10</v>
          </cell>
          <cell r="H376">
            <v>0.3</v>
          </cell>
        </row>
        <row r="377">
          <cell r="B377" t="str">
            <v>cửa inox 3</v>
          </cell>
          <cell r="C377" t="str">
            <v>Cửa Inox, hoa Inox bằng Inox vuông rỗng 16x16mm</v>
          </cell>
          <cell r="E377" t="str">
            <v>kg</v>
          </cell>
          <cell r="F377">
            <v>126050.461</v>
          </cell>
          <cell r="G377">
            <v>10</v>
          </cell>
          <cell r="H377">
            <v>0.3</v>
          </cell>
        </row>
        <row r="378">
          <cell r="B378" t="str">
            <v>cổng sắt 1</v>
          </cell>
          <cell r="C378" t="str">
            <v>Cổng sắt khung bằng sắt hộp, nan bằng sắt hộp 12x12mm</v>
          </cell>
          <cell r="E378" t="str">
            <v>kg</v>
          </cell>
          <cell r="F378">
            <v>61546.986999999994</v>
          </cell>
          <cell r="G378">
            <v>10</v>
          </cell>
          <cell r="H378">
            <v>0.3</v>
          </cell>
        </row>
        <row r="379">
          <cell r="B379" t="str">
            <v>cổng sắt 2</v>
          </cell>
          <cell r="C379" t="str">
            <v>Cổng sắt khung bằng sắt hộp, nan bằng sắt hộp 14x14mm</v>
          </cell>
          <cell r="E379" t="str">
            <v>kg</v>
          </cell>
          <cell r="F379">
            <v>56076.811999999998</v>
          </cell>
          <cell r="G379">
            <v>10</v>
          </cell>
          <cell r="H379">
            <v>0.3</v>
          </cell>
        </row>
        <row r="380">
          <cell r="B380" t="str">
            <v>cổng sắt 3</v>
          </cell>
          <cell r="C380" t="str">
            <v>Cổng sắt khung bằng sắt hộp, nan bằng sắt hộp 16x16mm</v>
          </cell>
          <cell r="E380" t="str">
            <v>kg</v>
          </cell>
          <cell r="F380">
            <v>53357.797999999995</v>
          </cell>
          <cell r="G380">
            <v>10</v>
          </cell>
          <cell r="H380">
            <v>0.3</v>
          </cell>
        </row>
        <row r="381">
          <cell r="B381" t="str">
            <v>cổng sắt 4</v>
          </cell>
          <cell r="C381" t="str">
            <v>Cổng sắt khung bằng sắt ống, nan bằng sắt hộp 12x12mm</v>
          </cell>
          <cell r="E381" t="str">
            <v>kg</v>
          </cell>
          <cell r="F381">
            <v>67458.923999999999</v>
          </cell>
          <cell r="G381">
            <v>10</v>
          </cell>
          <cell r="H381">
            <v>0.3</v>
          </cell>
        </row>
        <row r="382">
          <cell r="B382" t="str">
            <v>cổng sắt 5</v>
          </cell>
          <cell r="C382" t="str">
            <v>Cổng sắt khung bằng sắt ống, nan bằng sắt hộp 14x14mm</v>
          </cell>
          <cell r="E382" t="str">
            <v>kg</v>
          </cell>
          <cell r="F382">
            <v>63272.554999999993</v>
          </cell>
          <cell r="G382">
            <v>10</v>
          </cell>
          <cell r="H382">
            <v>0.3</v>
          </cell>
        </row>
        <row r="383">
          <cell r="B383" t="str">
            <v>cổng sắt 6</v>
          </cell>
          <cell r="C383" t="str">
            <v>Cổng sắt khung bằng sắt ống, nan bằng sắt hộp 16x16mm</v>
          </cell>
          <cell r="E383" t="str">
            <v>kg</v>
          </cell>
          <cell r="F383">
            <v>59747.791999999994</v>
          </cell>
          <cell r="G383">
            <v>10</v>
          </cell>
          <cell r="H383">
            <v>0.3</v>
          </cell>
        </row>
        <row r="384">
          <cell r="B384" t="str">
            <v>lan can gỗ 4</v>
          </cell>
          <cell r="C384" t="str">
            <v>Sản xuất, lắp dựng lan can gỗ nhóm IV</v>
          </cell>
          <cell r="E384" t="str">
            <v>m3</v>
          </cell>
          <cell r="F384">
            <v>11182378.540999999</v>
          </cell>
          <cell r="G384">
            <v>10</v>
          </cell>
          <cell r="H384">
            <v>0.3</v>
          </cell>
        </row>
        <row r="385">
          <cell r="B385" t="str">
            <v>cầu phong gỗ 4</v>
          </cell>
          <cell r="C385" t="str">
            <v>Sản xuất, lắp dựng cầu phong gỗ nhóm IV</v>
          </cell>
          <cell r="E385" t="str">
            <v>m3</v>
          </cell>
          <cell r="F385">
            <v>7389480.5249999994</v>
          </cell>
          <cell r="G385">
            <v>10</v>
          </cell>
          <cell r="H385">
            <v>0.3</v>
          </cell>
        </row>
        <row r="386">
          <cell r="B386" t="str">
            <v>vì kèo gỗ mái ngói 4</v>
          </cell>
          <cell r="C386" t="str">
            <v>Sản xuất, lắp dựng vì kèo gỗ mái ngói gỗ nhóm IV</v>
          </cell>
          <cell r="E386" t="str">
            <v>m3</v>
          </cell>
          <cell r="F386">
            <v>11390240.005999999</v>
          </cell>
          <cell r="G386">
            <v>10</v>
          </cell>
          <cell r="H386">
            <v>0.3</v>
          </cell>
        </row>
        <row r="387">
          <cell r="B387" t="str">
            <v>vì kèo gỗ mái fibro 4</v>
          </cell>
          <cell r="C387" t="str">
            <v>Sản xuất, lắp dựng vì kèo gỗ mái fibro xi măng gỗ nhóm IV</v>
          </cell>
          <cell r="E387" t="str">
            <v>m3</v>
          </cell>
          <cell r="F387">
            <v>10762851.895</v>
          </cell>
          <cell r="G387">
            <v>10</v>
          </cell>
          <cell r="H387">
            <v>0.3</v>
          </cell>
        </row>
        <row r="388">
          <cell r="B388" t="str">
            <v>vì kèo gỗ + sắt tròn mái Fibro 4</v>
          </cell>
          <cell r="C388" t="str">
            <v>Sản xuất, lắp dựng vì kèo gỗ + sắt tròn mái Fibro xi măng gỗ nhóm IV</v>
          </cell>
          <cell r="E388" t="str">
            <v>m3</v>
          </cell>
          <cell r="F388">
            <v>13429772.199999999</v>
          </cell>
          <cell r="G388">
            <v>10</v>
          </cell>
          <cell r="H388">
            <v>0.3</v>
          </cell>
        </row>
        <row r="389">
          <cell r="B389" t="str">
            <v>lan can gỗ 3</v>
          </cell>
          <cell r="C389" t="str">
            <v>Sản xuất, lắp dựng lan can gỗ gỗ nhóm III</v>
          </cell>
          <cell r="E389" t="str">
            <v>m3</v>
          </cell>
          <cell r="F389">
            <v>36263286.465999998</v>
          </cell>
          <cell r="G389">
            <v>10</v>
          </cell>
          <cell r="H389">
            <v>0.3</v>
          </cell>
        </row>
        <row r="390">
          <cell r="B390" t="str">
            <v>cầu phong gỗ 3</v>
          </cell>
          <cell r="C390" t="str">
            <v>Sản xuất, lắp dựng cầu phong gỗ gỗ nhóm III</v>
          </cell>
          <cell r="E390" t="str">
            <v>m3</v>
          </cell>
          <cell r="F390">
            <v>31325797.625999998</v>
          </cell>
          <cell r="G390">
            <v>10</v>
          </cell>
          <cell r="H390">
            <v>0.3</v>
          </cell>
        </row>
        <row r="391">
          <cell r="B391" t="str">
            <v>vì kèo gỗ mái ngói 3</v>
          </cell>
          <cell r="C391" t="str">
            <v>Sản xuất, lắp dựng vì kèo gỗ mái ngói gỗ nhóm III</v>
          </cell>
          <cell r="E391" t="str">
            <v>m3</v>
          </cell>
          <cell r="F391">
            <v>35761763.192999996</v>
          </cell>
          <cell r="G391">
            <v>10</v>
          </cell>
          <cell r="H391">
            <v>0.3</v>
          </cell>
        </row>
        <row r="392">
          <cell r="B392" t="str">
            <v>trần nhựa</v>
          </cell>
          <cell r="C392" t="str">
            <v>Sản xuất, lắp đặt trần giật cấp bằng nhựa</v>
          </cell>
          <cell r="E392" t="str">
            <v>m2</v>
          </cell>
          <cell r="F392">
            <v>384349.53199999995</v>
          </cell>
          <cell r="G392">
            <v>10</v>
          </cell>
          <cell r="H392">
            <v>0.3</v>
          </cell>
        </row>
        <row r="393">
          <cell r="B393" t="str">
            <v>che tường fibrô</v>
          </cell>
          <cell r="C393" t="str">
            <v>Lợp mái, che tường bằng fibrô xi măng</v>
          </cell>
          <cell r="E393" t="str">
            <v>m2</v>
          </cell>
          <cell r="F393">
            <v>90985.342999999993</v>
          </cell>
          <cell r="G393">
            <v>10</v>
          </cell>
          <cell r="H393">
            <v>0.3</v>
          </cell>
        </row>
        <row r="394">
          <cell r="B394" t="str">
            <v>che tường tôn</v>
          </cell>
          <cell r="C394" t="str">
            <v>Lợp mái, che tường bằng tôn múi chiều dài bất kỳ</v>
          </cell>
          <cell r="E394" t="str">
            <v>m2</v>
          </cell>
          <cell r="F394">
            <v>378036.27599999995</v>
          </cell>
          <cell r="G394">
            <v>10</v>
          </cell>
          <cell r="H394">
            <v>0.3</v>
          </cell>
        </row>
        <row r="395">
          <cell r="B395" t="str">
            <v>che tường nhựa</v>
          </cell>
          <cell r="C395" t="str">
            <v>Lợp mái, che tường bằng tấm nhựa</v>
          </cell>
          <cell r="E395" t="str">
            <v>m2</v>
          </cell>
          <cell r="F395">
            <v>92540.842999999993</v>
          </cell>
          <cell r="G395">
            <v>10</v>
          </cell>
          <cell r="H395">
            <v>0.3</v>
          </cell>
        </row>
        <row r="396">
          <cell r="B396" t="str">
            <v>che tường tôn xốp</v>
          </cell>
          <cell r="C396" t="str">
            <v>Lợp mái, che tường bằng tôn xốp chiều dài bất kỳ</v>
          </cell>
          <cell r="E396" t="str">
            <v>m2</v>
          </cell>
          <cell r="F396">
            <v>534854.527</v>
          </cell>
          <cell r="G396">
            <v>10</v>
          </cell>
          <cell r="H396">
            <v>0.3</v>
          </cell>
        </row>
        <row r="397">
          <cell r="B397" t="str">
            <v>che tường tôn xốp vì kèo thép</v>
          </cell>
          <cell r="C397" t="str">
            <v>Lợp mái, che tường bằng tôn xốp vì kèo thép (không bao gồm công tác xây trát)</v>
          </cell>
          <cell r="E397" t="str">
            <v>m2</v>
          </cell>
          <cell r="F397">
            <v>603720.65999999992</v>
          </cell>
          <cell r="G397">
            <v>10</v>
          </cell>
          <cell r="H397">
            <v>0.3</v>
          </cell>
        </row>
        <row r="398">
          <cell r="B398" t="str">
            <v>Cửa xếp, cửa cuốn</v>
          </cell>
          <cell r="C398" t="str">
            <v>Lắp dựng các loại cửa sắt xếp, cửa cuốn có mô-tơ</v>
          </cell>
          <cell r="E398" t="str">
            <v>m2</v>
          </cell>
          <cell r="F398">
            <v>268413.96899999998</v>
          </cell>
          <cell r="G398">
            <v>10</v>
          </cell>
          <cell r="H398">
            <v>0.3</v>
          </cell>
        </row>
        <row r="399">
          <cell r="B399" t="str">
            <v>của khung sắt, nhôm</v>
          </cell>
          <cell r="C399" t="str">
            <v>Lắp dựng các loại cửa khung sắt, khung nhôm</v>
          </cell>
          <cell r="E399" t="str">
            <v>m2</v>
          </cell>
          <cell r="F399">
            <v>138692.52799999999</v>
          </cell>
          <cell r="G399">
            <v>10</v>
          </cell>
          <cell r="H399">
            <v>0.3</v>
          </cell>
        </row>
        <row r="400">
          <cell r="B400" t="str">
            <v>Lát đá Granit tự nhiên</v>
          </cell>
          <cell r="C400" t="str">
            <v>Lát đá Granit tự nhiên bậc cầu thang</v>
          </cell>
          <cell r="E400" t="str">
            <v>m2</v>
          </cell>
          <cell r="F400">
            <v>1008021.0349999999</v>
          </cell>
          <cell r="G400">
            <v>10</v>
          </cell>
          <cell r="H400">
            <v>0.3</v>
          </cell>
        </row>
        <row r="401">
          <cell r="B401" t="str">
            <v>trần thạch cao giật cấp</v>
          </cell>
          <cell r="C401" t="str">
            <v>Thi công trần giật cấp bằng tấm thạch cao</v>
          </cell>
          <cell r="E401" t="str">
            <v>m2</v>
          </cell>
          <cell r="F401">
            <v>504927.74399999995</v>
          </cell>
          <cell r="G401">
            <v>10</v>
          </cell>
          <cell r="H401">
            <v>0.3</v>
          </cell>
        </row>
        <row r="402">
          <cell r="B402" t="str">
            <v>ngói mũi hài</v>
          </cell>
          <cell r="C402" t="str">
            <v>Dán ngói mũi hài</v>
          </cell>
          <cell r="E402" t="str">
            <v>m2</v>
          </cell>
          <cell r="F402">
            <v>724029.25199999998</v>
          </cell>
          <cell r="G402">
            <v>10</v>
          </cell>
          <cell r="H402">
            <v>0.3</v>
          </cell>
        </row>
        <row r="403">
          <cell r="B403" t="str">
            <v>ngói vẩy cá</v>
          </cell>
          <cell r="C403" t="str">
            <v>Dán ngói vẩy cá</v>
          </cell>
          <cell r="E403" t="str">
            <v>m2</v>
          </cell>
          <cell r="F403">
            <v>783307.28299999994</v>
          </cell>
          <cell r="G403">
            <v>10</v>
          </cell>
          <cell r="H403">
            <v>0.3</v>
          </cell>
        </row>
        <row r="404">
          <cell r="B404" t="str">
            <v>ốp tấm nhựa</v>
          </cell>
          <cell r="C404" t="str">
            <v>Ốp tường bằng tấm nhựa</v>
          </cell>
          <cell r="E404" t="str">
            <v>m2</v>
          </cell>
          <cell r="F404">
            <v>309682.42099999997</v>
          </cell>
          <cell r="G404">
            <v>10</v>
          </cell>
          <cell r="H404">
            <v>0.3</v>
          </cell>
        </row>
        <row r="405">
          <cell r="B405" t="str">
            <v>sàn gỗ 8mm</v>
          </cell>
          <cell r="C405" t="str">
            <v>Lát nền bằng sàn gỗ công nghiệp chiều dày 8mm</v>
          </cell>
          <cell r="E405" t="str">
            <v>m2</v>
          </cell>
          <cell r="F405">
            <v>354768.06999999995</v>
          </cell>
          <cell r="G405">
            <v>10</v>
          </cell>
          <cell r="H405">
            <v>0.3</v>
          </cell>
        </row>
        <row r="406">
          <cell r="B406" t="str">
            <v>sàn gỗ 12mm</v>
          </cell>
          <cell r="C406" t="str">
            <v>Lát nền bằng sàn gỗ công nghiệp chiều dày 12mm</v>
          </cell>
          <cell r="E406" t="str">
            <v>m2</v>
          </cell>
          <cell r="F406">
            <v>415419.08899999998</v>
          </cell>
          <cell r="G406">
            <v>10</v>
          </cell>
          <cell r="H406">
            <v>0.3</v>
          </cell>
        </row>
        <row r="407">
          <cell r="B407" t="str">
            <v>sàn nhựa 4mm</v>
          </cell>
          <cell r="C407" t="str">
            <v>Lát nền bằng sàn nhựa chiều dày 4mm</v>
          </cell>
          <cell r="E407" t="str">
            <v>m2</v>
          </cell>
          <cell r="F407">
            <v>408125.86799999996</v>
          </cell>
          <cell r="G407">
            <v>25</v>
          </cell>
          <cell r="H407">
            <v>0.3</v>
          </cell>
        </row>
        <row r="408">
          <cell r="B408" t="str">
            <v>BT đúc sẵn 1</v>
          </cell>
          <cell r="C408" t="str">
            <v>Sản xuất cấu kiện bê tông đúc sẵn, bê tông panen 3 mặt đá 1x2, vữa bê tông mác 200</v>
          </cell>
          <cell r="E408" t="str">
            <v>m3</v>
          </cell>
          <cell r="F408">
            <v>2637771.2719999999</v>
          </cell>
          <cell r="G408">
            <v>25</v>
          </cell>
          <cell r="H408">
            <v>0.3</v>
          </cell>
        </row>
        <row r="409">
          <cell r="B409" t="str">
            <v>BT đúc sẵn 2</v>
          </cell>
          <cell r="C409" t="str">
            <v>Sản xuất cấu kiện bê tông đúc sẵn, bê tông panen 3 mặt đá 1x2, vữa bê tông mác 300</v>
          </cell>
          <cell r="E409" t="str">
            <v>m3</v>
          </cell>
          <cell r="F409">
            <v>2859643.6439999999</v>
          </cell>
          <cell r="G409">
            <v>25</v>
          </cell>
          <cell r="H409">
            <v>0.3</v>
          </cell>
        </row>
        <row r="410">
          <cell r="B410" t="str">
            <v>BT đúc sẵn 3</v>
          </cell>
          <cell r="C410" t="str">
            <v>Sản xuất cấu kiện bê tông đúc sẵn, bê tông nan hoa đá 1x2, vữa bê tông mác 200</v>
          </cell>
          <cell r="E410" t="str">
            <v>m3</v>
          </cell>
          <cell r="F410">
            <v>2991547.9699999997</v>
          </cell>
          <cell r="G410">
            <v>10</v>
          </cell>
          <cell r="H410">
            <v>0.3</v>
          </cell>
        </row>
        <row r="411">
          <cell r="B411" t="str">
            <v>BT đúc sẵn 4</v>
          </cell>
          <cell r="C411" t="str">
            <v>Sản xuất cấu kiện bê tông đúc sẵn, bê tông lá chớp đá 1x2, vữa bê tông mác 200</v>
          </cell>
          <cell r="E411" t="str">
            <v>m3</v>
          </cell>
          <cell r="F411">
            <v>2695116.335</v>
          </cell>
          <cell r="G411">
            <v>10</v>
          </cell>
          <cell r="H411">
            <v>0.3</v>
          </cell>
        </row>
        <row r="412">
          <cell r="B412" t="str">
            <v>BT đúc sẵn 5</v>
          </cell>
          <cell r="C412" t="str">
            <v>Sản xuất cấu kiện bê tông đúc sẵn, bê tông cửa sổ trời, con sơn đá 1x2, vữa bê tông mác 200</v>
          </cell>
          <cell r="E412" t="str">
            <v>m3</v>
          </cell>
          <cell r="F412">
            <v>2758108.9</v>
          </cell>
          <cell r="G412">
            <v>10</v>
          </cell>
          <cell r="H412">
            <v>0.3</v>
          </cell>
        </row>
        <row r="413">
          <cell r="B413" t="str">
            <v>BT đúc sẵn 6</v>
          </cell>
          <cell r="C413" t="str">
            <v>Sản xuất cấu kiện bê tông đúc sẵn, bê tông ống buy, đường kính ≤ 70cm, đá 1x2, vữa bê tông mác 200</v>
          </cell>
          <cell r="E413" t="str">
            <v>m3</v>
          </cell>
          <cell r="F413">
            <v>2713936.8479999998</v>
          </cell>
          <cell r="G413">
            <v>10</v>
          </cell>
          <cell r="H413">
            <v>0.3</v>
          </cell>
        </row>
        <row r="414">
          <cell r="B414" t="str">
            <v>BT đúc sẵn 7</v>
          </cell>
          <cell r="C414" t="str">
            <v>Sản xuất cấu kiện bê tông đúc sẵn, bê tông ống buy, đường kính ≤ 70cm, đá 1x2, vữa bê tông mác 300</v>
          </cell>
          <cell r="E414" t="str">
            <v>m3</v>
          </cell>
          <cell r="F414">
            <v>2945142.2199999997</v>
          </cell>
          <cell r="G414">
            <v>10</v>
          </cell>
          <cell r="H414">
            <v>0.3</v>
          </cell>
        </row>
        <row r="415">
          <cell r="B415" t="str">
            <v>BT đúc sẵn 8</v>
          </cell>
          <cell r="C415" t="str">
            <v>Sản xuất cấu kiện bê tông đúc sẵn, bê tông ống buy, đường kính ≥ 70cm, đá 1x2, vữa bê tông mác 300</v>
          </cell>
          <cell r="E415" t="str">
            <v>m3</v>
          </cell>
          <cell r="F415">
            <v>2876259.4949999996</v>
          </cell>
          <cell r="G415">
            <v>10</v>
          </cell>
          <cell r="H415">
            <v>0.3</v>
          </cell>
        </row>
        <row r="416">
          <cell r="B416" t="str">
            <v>BT đúc sẵn 9</v>
          </cell>
          <cell r="C416" t="str">
            <v>Sản xuất cấu kiện bê tông đúc sẵn, bê tông ống buy, đường kính ≥ 70cm, đá 1x2, vữa bê tông mác 200</v>
          </cell>
          <cell r="E416" t="str">
            <v>m3</v>
          </cell>
          <cell r="F416">
            <v>2645054.1229999997</v>
          </cell>
          <cell r="G416">
            <v>10</v>
          </cell>
          <cell r="H416">
            <v>0.3</v>
          </cell>
        </row>
        <row r="417">
          <cell r="B417" t="str">
            <v>Di chuyển</v>
          </cell>
          <cell r="C417" t="str">
            <v>Tháo dỡ di chuyển</v>
          </cell>
        </row>
        <row r="418">
          <cell r="B418" t="str">
            <v>điều hòa</v>
          </cell>
          <cell r="C418" t="str">
            <v>Tháo dỡ điều hòa cục bộ</v>
          </cell>
          <cell r="E418" t="str">
            <v>cái</v>
          </cell>
          <cell r="F418">
            <v>225106.77499999999</v>
          </cell>
          <cell r="H418">
            <v>1</v>
          </cell>
        </row>
        <row r="419">
          <cell r="B419" t="str">
            <v>bnl</v>
          </cell>
          <cell r="C419" t="str">
            <v>Tháo dỡ bình đun nước nóng</v>
          </cell>
          <cell r="E419" t="str">
            <v>cái</v>
          </cell>
          <cell r="F419">
            <v>75035.245999999999</v>
          </cell>
          <cell r="H419">
            <v>1</v>
          </cell>
        </row>
        <row r="420">
          <cell r="B420" t="str">
            <v>bồn tắm</v>
          </cell>
          <cell r="C420" t="str">
            <v>Tháo dỡ bồn tắm</v>
          </cell>
          <cell r="E420" t="str">
            <v>cái</v>
          </cell>
          <cell r="F420">
            <v>187589.15199999997</v>
          </cell>
          <cell r="H420">
            <v>1</v>
          </cell>
        </row>
        <row r="421">
          <cell r="B421" t="str">
            <v>xb</v>
          </cell>
          <cell r="C421" t="str">
            <v>Tháo dỡ xí bệt</v>
          </cell>
          <cell r="E421" t="str">
            <v>cái</v>
          </cell>
          <cell r="F421">
            <v>56276.952999999994</v>
          </cell>
          <cell r="H421">
            <v>1</v>
          </cell>
        </row>
        <row r="422">
          <cell r="B422" t="str">
            <v>lavabo</v>
          </cell>
          <cell r="C422" t="str">
            <v>Tháo dỡ lababo</v>
          </cell>
          <cell r="E422" t="str">
            <v>cái</v>
          </cell>
          <cell r="F422">
            <v>41269.488999999994</v>
          </cell>
          <cell r="H422">
            <v>1</v>
          </cell>
        </row>
        <row r="423">
          <cell r="B423" t="str">
            <v>lắp đh</v>
          </cell>
          <cell r="C423" t="str">
            <v>Lắp đặt máy điều hòa không khí 1 cục bao gồm cả giá đỡ máy</v>
          </cell>
          <cell r="E423" t="str">
            <v>máy</v>
          </cell>
          <cell r="F423">
            <v>590843.1939999999</v>
          </cell>
          <cell r="H423">
            <v>1</v>
          </cell>
        </row>
        <row r="424">
          <cell r="B424" t="str">
            <v>lắp bnl</v>
          </cell>
          <cell r="C424" t="str">
            <v>Lắp đặt thùng đun nước nóng</v>
          </cell>
          <cell r="E424" t="str">
            <v>bộ</v>
          </cell>
          <cell r="F424">
            <v>885622.88799999992</v>
          </cell>
          <cell r="H424">
            <v>1</v>
          </cell>
        </row>
        <row r="425">
          <cell r="B425" t="str">
            <v>lắp bể nước</v>
          </cell>
          <cell r="C425" t="str">
            <v>Lắp đặt bể chứa nước</v>
          </cell>
          <cell r="E425" t="str">
            <v>bể</v>
          </cell>
          <cell r="F425">
            <v>850902.05399999989</v>
          </cell>
          <cell r="H425">
            <v>1</v>
          </cell>
        </row>
        <row r="426">
          <cell r="B426" t="str">
            <v>Đào ao, Đắp bờ</v>
          </cell>
          <cell r="C426" t="str">
            <v xml:space="preserve">Công tác đào ao, đắp bờ ao trong trường hợp không có hồ sơ pháp lý để xác định tỷ lệ thực hiện bằng máy và thủ công, được xác định là tài sản xây dựng trên đất bị thu hồi </v>
          </cell>
        </row>
        <row r="427">
          <cell r="B427" t="str">
            <v>đào ao</v>
          </cell>
          <cell r="C427" t="str">
            <v>Đào ao</v>
          </cell>
          <cell r="E427" t="str">
            <v>m3</v>
          </cell>
          <cell r="F427">
            <v>70502.519</v>
          </cell>
          <cell r="G427">
            <v>25</v>
          </cell>
          <cell r="H427">
            <v>0.3</v>
          </cell>
        </row>
        <row r="428">
          <cell r="B428" t="str">
            <v>đắp bờ ao</v>
          </cell>
          <cell r="C428" t="str">
            <v>Đắp bờ ao</v>
          </cell>
          <cell r="E428" t="str">
            <v>m3</v>
          </cell>
          <cell r="F428">
            <v>65371.442999999992</v>
          </cell>
          <cell r="G428">
            <v>25</v>
          </cell>
          <cell r="H428">
            <v>0.3</v>
          </cell>
        </row>
        <row r="429">
          <cell r="B429" t="str">
            <v>Vận chuyển</v>
          </cell>
          <cell r="C429" t="str">
            <v>Công tác vận chuyển đất đào đổ đi bằng máy</v>
          </cell>
        </row>
        <row r="430">
          <cell r="B430" t="str">
            <v>Vc ≤300m</v>
          </cell>
          <cell r="C430" t="str">
            <v>Vận chuyển đất đổ đi trong phạm vi ≤300m</v>
          </cell>
          <cell r="E430" t="str">
            <v>m3</v>
          </cell>
          <cell r="F430">
            <v>17973.284</v>
          </cell>
          <cell r="H430">
            <v>0.3</v>
          </cell>
        </row>
        <row r="431">
          <cell r="B431" t="str">
            <v>Vc ≤500m</v>
          </cell>
          <cell r="C431" t="str">
            <v>Vận chuyển đất đổ đi trong phạm vi ≤500m</v>
          </cell>
          <cell r="E431" t="str">
            <v>m3</v>
          </cell>
          <cell r="F431">
            <v>22604.525999999998</v>
          </cell>
          <cell r="H431">
            <v>0.3</v>
          </cell>
        </row>
        <row r="432">
          <cell r="B432" t="str">
            <v>Vc ≤700m</v>
          </cell>
          <cell r="C432" t="str">
            <v>Vận chuyển đất đổ đi trong phạm vi ≤700m</v>
          </cell>
          <cell r="E432" t="str">
            <v>m3</v>
          </cell>
          <cell r="F432">
            <v>25231.246999999999</v>
          </cell>
          <cell r="H432">
            <v>0.3</v>
          </cell>
        </row>
        <row r="433">
          <cell r="B433" t="str">
            <v>Vc ≤1000m</v>
          </cell>
          <cell r="C433" t="str">
            <v>Vận chuyển đất đổ đi trong phạm vi ≤1000m</v>
          </cell>
          <cell r="E433" t="str">
            <v>m3</v>
          </cell>
          <cell r="F433">
            <v>30235.808999999997</v>
          </cell>
          <cell r="H433">
            <v>0.3</v>
          </cell>
        </row>
        <row r="434">
          <cell r="B434" t="str">
            <v>Cột BTCT</v>
          </cell>
          <cell r="C434" t="str">
            <v>Cột bê tông cốt thép</v>
          </cell>
        </row>
        <row r="435">
          <cell r="B435" t="str">
            <v>cột btct 20x20</v>
          </cell>
          <cell r="C435" t="str">
            <v>Cột bê tông cốt thép 200x200mm</v>
          </cell>
          <cell r="E435" t="str">
            <v>md</v>
          </cell>
          <cell r="F435">
            <v>171105</v>
          </cell>
          <cell r="G435">
            <v>25</v>
          </cell>
          <cell r="H435">
            <v>0.3</v>
          </cell>
        </row>
        <row r="436">
          <cell r="B436" t="str">
            <v>cột btct 250x250</v>
          </cell>
          <cell r="C436" t="str">
            <v>Cột bê tông cốt thép 250x250mm</v>
          </cell>
          <cell r="E436" t="str">
            <v>md</v>
          </cell>
          <cell r="F436">
            <v>243694.99999999997</v>
          </cell>
          <cell r="G436">
            <v>25</v>
          </cell>
          <cell r="H436">
            <v>0.3</v>
          </cell>
        </row>
        <row r="437">
          <cell r="B437" t="str">
            <v>cột btct 300x300</v>
          </cell>
          <cell r="C437" t="str">
            <v>Cột bê tông cốt thép 300x300mm</v>
          </cell>
          <cell r="E437" t="str">
            <v>md</v>
          </cell>
          <cell r="F437">
            <v>305915</v>
          </cell>
          <cell r="G437">
            <v>25</v>
          </cell>
          <cell r="H437">
            <v>0.3</v>
          </cell>
        </row>
        <row r="438">
          <cell r="B438" t="str">
            <v>CỬA GỖ</v>
          </cell>
          <cell r="C438" t="str">
            <v>Cửa gỗ lim</v>
          </cell>
        </row>
        <row r="439">
          <cell r="B439" t="str">
            <v>KC gỗ lim (Kép)</v>
          </cell>
          <cell r="C439" t="str">
            <v>Khuôn cửa gỗ lim, khuôn kép</v>
          </cell>
          <cell r="D439" t="str">
            <v>250x60mm</v>
          </cell>
          <cell r="E439" t="str">
            <v>md</v>
          </cell>
          <cell r="F439">
            <v>1100000</v>
          </cell>
          <cell r="G439">
            <v>25</v>
          </cell>
          <cell r="H439">
            <v>0.3</v>
          </cell>
        </row>
        <row r="440">
          <cell r="B440" t="str">
            <v>KC gỗ lim (Đơn)</v>
          </cell>
          <cell r="C440" t="str">
            <v>Khuôn cửa gỗ lim, khuôn đơn</v>
          </cell>
          <cell r="D440" t="str">
            <v>130x60mm</v>
          </cell>
          <cell r="E440" t="str">
            <v>md</v>
          </cell>
          <cell r="F440">
            <v>693000</v>
          </cell>
          <cell r="G440">
            <v>25</v>
          </cell>
          <cell r="H440">
            <v>0.3</v>
          </cell>
        </row>
        <row r="441">
          <cell r="B441" t="str">
            <v>CC gỗ lim (cửa đi Pano đặc)</v>
          </cell>
          <cell r="C441" t="str">
            <v>Cửa đi gỗ lim Pano đặc</v>
          </cell>
          <cell r="E441" t="str">
            <v>m2</v>
          </cell>
          <cell r="F441">
            <v>2654300</v>
          </cell>
          <cell r="G441">
            <v>25</v>
          </cell>
          <cell r="H441">
            <v>0.3</v>
          </cell>
        </row>
        <row r="442">
          <cell r="B442" t="str">
            <v>CC gỗ lim (cửa đi Pano kính)</v>
          </cell>
          <cell r="C442" t="str">
            <v>Cửa đi gỗ lim Pano kính</v>
          </cell>
          <cell r="E442" t="str">
            <v>m2</v>
          </cell>
          <cell r="F442">
            <v>2379300</v>
          </cell>
          <cell r="G442">
            <v>25</v>
          </cell>
          <cell r="H442">
            <v>0.3</v>
          </cell>
        </row>
        <row r="443">
          <cell r="B443" t="str">
            <v>CC gỗ lim (cửa sổ Pano kính)</v>
          </cell>
          <cell r="C443" t="str">
            <v>Cửa sổ gỗ lim Pano kính</v>
          </cell>
          <cell r="E443" t="str">
            <v>m2</v>
          </cell>
          <cell r="F443">
            <v>2380400</v>
          </cell>
          <cell r="G443">
            <v>25</v>
          </cell>
          <cell r="H443">
            <v>0.3</v>
          </cell>
        </row>
        <row r="444">
          <cell r="B444" t="str">
            <v>CC gỗ lim (cửa chớp)</v>
          </cell>
          <cell r="C444" t="str">
            <v>Cửa chớp gỗ lim</v>
          </cell>
          <cell r="E444" t="str">
            <v>m2</v>
          </cell>
          <cell r="F444">
            <v>2691700</v>
          </cell>
          <cell r="G444">
            <v>25</v>
          </cell>
          <cell r="H444">
            <v>0.3</v>
          </cell>
        </row>
        <row r="445">
          <cell r="B445" t="str">
            <v>Song gỗ cửa sổ</v>
          </cell>
          <cell r="C445" t="str">
            <v>Song gỗ cửa sổ</v>
          </cell>
          <cell r="F445">
            <v>0</v>
          </cell>
          <cell r="G445">
            <v>25</v>
          </cell>
          <cell r="H445">
            <v>0.3</v>
          </cell>
        </row>
        <row r="446">
          <cell r="B446" t="str">
            <v>CỬA GỖ</v>
          </cell>
          <cell r="C446" t="str">
            <v>Cửa gỗ dổi</v>
          </cell>
        </row>
        <row r="447">
          <cell r="B447" t="str">
            <v>KC gỗ dổi (Kép)</v>
          </cell>
          <cell r="C447" t="str">
            <v>Khuôn cửa gỗ dổi, khuôn kép</v>
          </cell>
          <cell r="D447" t="str">
            <v>250x60mm</v>
          </cell>
          <cell r="E447" t="str">
            <v>md</v>
          </cell>
          <cell r="F447">
            <v>1100000</v>
          </cell>
          <cell r="G447">
            <v>25</v>
          </cell>
          <cell r="H447">
            <v>0.3</v>
          </cell>
        </row>
        <row r="448">
          <cell r="B448" t="str">
            <v>KC gỗ dổi (Đơn)</v>
          </cell>
          <cell r="C448" t="str">
            <v>Khuôn cửa gỗ dổi, khuôn đơn</v>
          </cell>
          <cell r="D448" t="str">
            <v>130x60mm</v>
          </cell>
          <cell r="E448" t="str">
            <v>md</v>
          </cell>
          <cell r="F448">
            <v>693000</v>
          </cell>
          <cell r="G448">
            <v>25</v>
          </cell>
          <cell r="H448">
            <v>0.3</v>
          </cell>
        </row>
        <row r="449">
          <cell r="B449" t="str">
            <v>CC gỗ dổi (cửa đi Pano đặc)</v>
          </cell>
          <cell r="C449" t="str">
            <v>Cửa đi gỗ dổi Pano đặc</v>
          </cell>
          <cell r="E449" t="str">
            <v>m2</v>
          </cell>
          <cell r="F449">
            <v>2486000</v>
          </cell>
          <cell r="G449">
            <v>25</v>
          </cell>
          <cell r="H449">
            <v>0.3</v>
          </cell>
        </row>
        <row r="450">
          <cell r="B450" t="str">
            <v>CC gỗ dổi (cửa đi Pano kính)</v>
          </cell>
          <cell r="C450" t="str">
            <v>Cửa đi gỗ dổi Pano kính</v>
          </cell>
          <cell r="E450" t="str">
            <v>m2</v>
          </cell>
          <cell r="F450">
            <v>2228600</v>
          </cell>
          <cell r="G450">
            <v>25</v>
          </cell>
          <cell r="H450">
            <v>0.3</v>
          </cell>
        </row>
        <row r="451">
          <cell r="B451" t="str">
            <v>CC gỗ dổi (cửa sổ Pano kính)</v>
          </cell>
          <cell r="C451" t="str">
            <v>Cửa sổ gỗ dổi Pano kính</v>
          </cell>
          <cell r="E451" t="str">
            <v>m2</v>
          </cell>
          <cell r="F451">
            <v>2228600</v>
          </cell>
          <cell r="G451">
            <v>25</v>
          </cell>
          <cell r="H451">
            <v>0.3</v>
          </cell>
        </row>
        <row r="452">
          <cell r="B452" t="str">
            <v>CC gỗ dổi (cửa chớp)</v>
          </cell>
          <cell r="C452" t="str">
            <v>Cửa chớp gỗ dổi</v>
          </cell>
          <cell r="E452" t="str">
            <v>m2</v>
          </cell>
          <cell r="F452">
            <v>2460700</v>
          </cell>
          <cell r="G452">
            <v>25</v>
          </cell>
          <cell r="H452">
            <v>0.3</v>
          </cell>
        </row>
        <row r="453">
          <cell r="B453" t="str">
            <v>CỬA NHÔM</v>
          </cell>
          <cell r="C453" t="str">
            <v>Cửa nhôm hệ Xingfa</v>
          </cell>
        </row>
        <row r="454">
          <cell r="B454" t="str">
            <v>Của đi nhôm XF (1 cánh mở quay)-01</v>
          </cell>
          <cell r="C454" t="str">
            <v>Cửa đi 1 cánh mở quay XF55 thanh nhôm dày 2.0mm; kính an toàn 6,38mm; KT  700-900x2100-2400; phụ kiện đồng bộ</v>
          </cell>
          <cell r="E454" t="str">
            <v>m2</v>
          </cell>
          <cell r="F454">
            <v>3685000.0000000005</v>
          </cell>
          <cell r="G454">
            <v>25</v>
          </cell>
          <cell r="H454">
            <v>0.3</v>
          </cell>
        </row>
        <row r="455">
          <cell r="B455" t="str">
            <v>Của đi nhôm XF (2 cánh mở quay)-02</v>
          </cell>
          <cell r="C455" t="str">
            <v>Cửa đi 2 cánh mở quay XF55 thanh nhôm dày 2.0mm; kính an toàn 6,38mm; KT  1200-1800x2100-2400; phụ kiện đồng bộ</v>
          </cell>
          <cell r="E455" t="str">
            <v>m2</v>
          </cell>
          <cell r="F455">
            <v>3806000.0000000005</v>
          </cell>
          <cell r="G455">
            <v>25</v>
          </cell>
          <cell r="H455">
            <v>0.3</v>
          </cell>
        </row>
        <row r="456">
          <cell r="B456" t="str">
            <v>Của sổ nhôm XF (1 cánh mở quay)</v>
          </cell>
          <cell r="C456" t="str">
            <v>Cửa sổ 1 cánh mở quay XF55 thanh nhôm dày 1.4mm; kính an toàn 6,38mm; KT  600-1000x1000-1600; phụ kiện đồng bộ</v>
          </cell>
          <cell r="E456" t="str">
            <v>m2</v>
          </cell>
          <cell r="F456">
            <v>3223000.0000000005</v>
          </cell>
          <cell r="G456">
            <v>25</v>
          </cell>
          <cell r="H456">
            <v>0.3</v>
          </cell>
        </row>
        <row r="457">
          <cell r="B457" t="str">
            <v>Của sổ nhôm XF (2 cánh mở quay)</v>
          </cell>
          <cell r="C457" t="str">
            <v>Cửa sổ 2 cánh mở quay XF55 thanh nhôm dày 1.4mm; kính an toàn 6,38mm; KT  1200-2000x1000-1600; phụ kiện đồng bộ</v>
          </cell>
          <cell r="E457" t="str">
            <v>m2</v>
          </cell>
          <cell r="F457">
            <v>2761000</v>
          </cell>
          <cell r="G457">
            <v>25</v>
          </cell>
          <cell r="H457">
            <v>0.3</v>
          </cell>
        </row>
        <row r="458">
          <cell r="B458" t="str">
            <v>CỬA NHÔM</v>
          </cell>
          <cell r="C458" t="str">
            <v>Cửa nhôm hệ Việt Pháp</v>
          </cell>
        </row>
        <row r="459">
          <cell r="B459" t="str">
            <v>Của đi nhôm VP (1 cánh mở quay)</v>
          </cell>
          <cell r="C459" t="str">
            <v>Cửa đi 1 cánh mở quay hệ Việt Pháp EU450 thanh nhôm dày 1,2mm; kính an toàn 6,38mm; KT 700-1000x2100-2400; phụ kiện đồng bộ</v>
          </cell>
          <cell r="E459" t="str">
            <v>m2</v>
          </cell>
          <cell r="F459">
            <v>3025000.0000000005</v>
          </cell>
          <cell r="G459">
            <v>25</v>
          </cell>
          <cell r="H459">
            <v>0.3</v>
          </cell>
        </row>
        <row r="460">
          <cell r="B460" t="str">
            <v>Của đi nhôm VP (2 cánh mở quay)</v>
          </cell>
          <cell r="C460" t="str">
            <v>Cửa đi 2 cánh mở quay hệ Việt Pháp EU450 thanh nhôm dày 1,2mm; kính an toàn 6,38mm; KT 1200-1800x2100-2400; phụ kiện đồng bộ</v>
          </cell>
          <cell r="E460" t="str">
            <v>m2</v>
          </cell>
          <cell r="F460">
            <v>3322000.0000000005</v>
          </cell>
          <cell r="G460">
            <v>25</v>
          </cell>
          <cell r="H460">
            <v>0.3</v>
          </cell>
        </row>
        <row r="461">
          <cell r="B461" t="str">
            <v>Của sổ nhôm VP (1 cánh mở quay)</v>
          </cell>
          <cell r="C461" t="str">
            <v>Cửa sổ 1 cánh mở quay hệ Việt Pháp EU4400 thanh nhôm dày 1,2mm; kính an toàn 6,38mm; KT 600-1000x1000-1600; phụ kiện đồng bộ</v>
          </cell>
          <cell r="E461" t="str">
            <v>m2</v>
          </cell>
          <cell r="F461">
            <v>2123000</v>
          </cell>
          <cell r="G461">
            <v>25</v>
          </cell>
          <cell r="H461">
            <v>0.3</v>
          </cell>
        </row>
        <row r="462">
          <cell r="B462" t="str">
            <v>Của sổ nhôm VP (2 cánh mở quay)</v>
          </cell>
          <cell r="C462" t="str">
            <v>Cửa sổ 1 cánh mở quay hệ Việt Pháp EU4400 thanh nhôm dày 1,2mm; kính an toàn 6,38mm; KT 1200-2000x1000-1600; phụ kiện đồng bộ</v>
          </cell>
          <cell r="E462" t="str">
            <v>m2</v>
          </cell>
          <cell r="F462">
            <v>2332000</v>
          </cell>
          <cell r="G462">
            <v>25</v>
          </cell>
          <cell r="H462">
            <v>0.3</v>
          </cell>
        </row>
        <row r="463">
          <cell r="B463" t="str">
            <v>CỬA NHỰA</v>
          </cell>
          <cell r="C463" t="str">
            <v>Cửa nhựa lõi thép Shide Đông Á</v>
          </cell>
        </row>
        <row r="464">
          <cell r="B464" t="str">
            <v>Của nhựa ĐA (1 cánh mở quay)</v>
          </cell>
          <cell r="C464" t="str">
            <v>Cửa nhựa lõi thép Shide Đông Á, 1 cánh mở quay, kính an toàn 6,38mm. Phụ kiện GQ đồng bộ</v>
          </cell>
          <cell r="E464" t="str">
            <v>m2</v>
          </cell>
          <cell r="F464">
            <v>3509000.0000000005</v>
          </cell>
          <cell r="G464">
            <v>25</v>
          </cell>
          <cell r="H464">
            <v>0.3</v>
          </cell>
        </row>
        <row r="465">
          <cell r="B465" t="str">
            <v>Thiết bị nước, thiết bị vệ sinh</v>
          </cell>
          <cell r="C465" t="str">
            <v>Thiết bị nước, thiết bị vệ sinh</v>
          </cell>
        </row>
        <row r="466">
          <cell r="B466" t="str">
            <v>Sen vòi</v>
          </cell>
          <cell r="C466" t="str">
            <v>Sen vòi</v>
          </cell>
          <cell r="E466" t="str">
            <v>bộ</v>
          </cell>
          <cell r="F466">
            <v>1750000</v>
          </cell>
          <cell r="G466">
            <v>10</v>
          </cell>
          <cell r="H466">
            <v>0.3</v>
          </cell>
        </row>
        <row r="467">
          <cell r="B467" t="str">
            <v>Téc nhựa đứng 500L</v>
          </cell>
          <cell r="C467" t="str">
            <v>Téc nhựa đứng 500L</v>
          </cell>
          <cell r="E467" t="str">
            <v>cái</v>
          </cell>
          <cell r="F467">
            <v>1969000.0000000002</v>
          </cell>
          <cell r="G467">
            <v>10</v>
          </cell>
          <cell r="H467">
            <v>0.3</v>
          </cell>
        </row>
        <row r="468">
          <cell r="B468" t="str">
            <v>Téc nhựa đứng 1000L</v>
          </cell>
          <cell r="C468" t="str">
            <v>Téc nhựa đứng 1000L</v>
          </cell>
          <cell r="E468" t="str">
            <v>cái</v>
          </cell>
          <cell r="F468">
            <v>3329000</v>
          </cell>
          <cell r="G468">
            <v>10</v>
          </cell>
          <cell r="H468">
            <v>0.3</v>
          </cell>
        </row>
        <row r="469">
          <cell r="B469" t="str">
            <v>Téc nhựa đứng 1500L</v>
          </cell>
          <cell r="C469" t="str">
            <v>Téc nhựa đứng 1500L</v>
          </cell>
          <cell r="E469" t="str">
            <v>cái</v>
          </cell>
          <cell r="F469">
            <v>5049000</v>
          </cell>
          <cell r="G469">
            <v>10</v>
          </cell>
          <cell r="H469">
            <v>0.3</v>
          </cell>
        </row>
        <row r="470">
          <cell r="B470" t="str">
            <v>Téc nhựa đứng 2000L</v>
          </cell>
          <cell r="C470" t="str">
            <v>Téc nhựa đứng 2000L</v>
          </cell>
          <cell r="E470" t="str">
            <v>cái</v>
          </cell>
          <cell r="F470">
            <v>6559000</v>
          </cell>
          <cell r="G470">
            <v>10</v>
          </cell>
          <cell r="H470">
            <v>0.3</v>
          </cell>
        </row>
        <row r="471">
          <cell r="B471" t="str">
            <v>Téc nhựa ngang 500L</v>
          </cell>
          <cell r="C471" t="str">
            <v>Téc nhựa ngang 500L</v>
          </cell>
          <cell r="E471" t="str">
            <v>cái</v>
          </cell>
          <cell r="F471">
            <v>2049000</v>
          </cell>
          <cell r="G471">
            <v>10</v>
          </cell>
          <cell r="H471">
            <v>0.3</v>
          </cell>
        </row>
        <row r="472">
          <cell r="B472" t="str">
            <v>Téc nhựa ngang 1000L</v>
          </cell>
          <cell r="C472" t="str">
            <v>Téc nhựa ngang 1000L</v>
          </cell>
          <cell r="E472" t="str">
            <v>cái</v>
          </cell>
          <cell r="F472">
            <v>3928999.8000000003</v>
          </cell>
          <cell r="G472">
            <v>10</v>
          </cell>
          <cell r="H472">
            <v>0.3</v>
          </cell>
        </row>
        <row r="473">
          <cell r="B473" t="str">
            <v>Téc nhựa ngang 1500L</v>
          </cell>
          <cell r="C473" t="str">
            <v>Téc nhựa ngang 1500L</v>
          </cell>
          <cell r="E473" t="str">
            <v>cái</v>
          </cell>
          <cell r="F473">
            <v>6149000.0000000009</v>
          </cell>
          <cell r="G473">
            <v>10</v>
          </cell>
          <cell r="H473">
            <v>0.3</v>
          </cell>
        </row>
        <row r="474">
          <cell r="B474" t="str">
            <v>Téc nhựa ngang 2000L</v>
          </cell>
          <cell r="C474" t="str">
            <v>Téc nhựa ngang 2000L</v>
          </cell>
          <cell r="E474" t="str">
            <v>cái</v>
          </cell>
          <cell r="F474">
            <v>7959000</v>
          </cell>
          <cell r="G474">
            <v>10</v>
          </cell>
          <cell r="H474">
            <v>0.3</v>
          </cell>
        </row>
        <row r="475">
          <cell r="B475" t="str">
            <v>Téc Inox đứng 500L</v>
          </cell>
          <cell r="C475" t="str">
            <v>Téc inox đứng 500L</v>
          </cell>
          <cell r="E475" t="str">
            <v>cái</v>
          </cell>
          <cell r="F475">
            <v>2789000</v>
          </cell>
          <cell r="G475">
            <v>10</v>
          </cell>
          <cell r="H475">
            <v>0.3</v>
          </cell>
        </row>
        <row r="476">
          <cell r="B476" t="str">
            <v>Téc Inox đứng 1000L</v>
          </cell>
          <cell r="C476" t="str">
            <v>Téc inox đứng 1000L</v>
          </cell>
          <cell r="E476" t="str">
            <v>cái</v>
          </cell>
          <cell r="F476">
            <v>4619000</v>
          </cell>
          <cell r="G476">
            <v>10</v>
          </cell>
          <cell r="H476">
            <v>0.3</v>
          </cell>
        </row>
        <row r="477">
          <cell r="B477" t="str">
            <v>Téc Inox đứng 1500L</v>
          </cell>
          <cell r="C477" t="str">
            <v>Téc inox đứng 1500L</v>
          </cell>
          <cell r="E477" t="str">
            <v>cái</v>
          </cell>
          <cell r="F477">
            <v>7079000</v>
          </cell>
          <cell r="G477">
            <v>10</v>
          </cell>
          <cell r="H477">
            <v>0.3</v>
          </cell>
        </row>
        <row r="478">
          <cell r="B478" t="str">
            <v>Téc Inox đứng 2000L</v>
          </cell>
          <cell r="C478" t="str">
            <v>Téc inox đứng 2000L</v>
          </cell>
          <cell r="E478" t="str">
            <v>cái</v>
          </cell>
          <cell r="F478">
            <v>9239000</v>
          </cell>
          <cell r="G478">
            <v>10</v>
          </cell>
          <cell r="H478">
            <v>0.3</v>
          </cell>
        </row>
        <row r="479">
          <cell r="B479" t="str">
            <v>Téc Inox ngang 500L</v>
          </cell>
          <cell r="C479" t="str">
            <v>Téc inox ngang 500L</v>
          </cell>
          <cell r="E479" t="str">
            <v>cái</v>
          </cell>
          <cell r="F479">
            <v>2939000</v>
          </cell>
          <cell r="G479">
            <v>10</v>
          </cell>
          <cell r="H479">
            <v>0.3</v>
          </cell>
        </row>
        <row r="480">
          <cell r="B480" t="str">
            <v>Téc Inox ngang 1000L</v>
          </cell>
          <cell r="C480" t="str">
            <v>Téc inox ngang 1000L</v>
          </cell>
          <cell r="E480" t="str">
            <v>cái</v>
          </cell>
          <cell r="F480">
            <v>4819000</v>
          </cell>
          <cell r="G480">
            <v>10</v>
          </cell>
          <cell r="H480">
            <v>0.3</v>
          </cell>
        </row>
        <row r="481">
          <cell r="B481" t="str">
            <v>Téc Inox ngang 1500L</v>
          </cell>
          <cell r="C481" t="str">
            <v>Téc inox ngang 1500L</v>
          </cell>
          <cell r="E481" t="str">
            <v>cái</v>
          </cell>
          <cell r="F481">
            <v>7329000</v>
          </cell>
          <cell r="G481">
            <v>10</v>
          </cell>
          <cell r="H481">
            <v>0.3</v>
          </cell>
        </row>
        <row r="482">
          <cell r="B482" t="str">
            <v>Téc Inox ngang 2000L</v>
          </cell>
          <cell r="C482" t="str">
            <v>Téc inox ngang 2000L</v>
          </cell>
          <cell r="E482" t="str">
            <v>cái</v>
          </cell>
          <cell r="F482">
            <v>9589000</v>
          </cell>
          <cell r="G482">
            <v>10</v>
          </cell>
          <cell r="H482">
            <v>0.3</v>
          </cell>
        </row>
        <row r="483">
          <cell r="B483" t="str">
            <v>Cột tuýp</v>
          </cell>
          <cell r="C483" t="str">
            <v>Cột tuýp</v>
          </cell>
        </row>
        <row r="484">
          <cell r="B484" t="str">
            <v>Tuyp21</v>
          </cell>
          <cell r="C484" t="str">
            <v>Cột tuýp ɸ21 dày 1.8mm</v>
          </cell>
          <cell r="E484" t="str">
            <v>kg</v>
          </cell>
          <cell r="F484">
            <v>21010</v>
          </cell>
          <cell r="H484">
            <v>0.3</v>
          </cell>
          <cell r="I484">
            <v>0.9073</v>
          </cell>
        </row>
        <row r="485">
          <cell r="B485" t="str">
            <v>Tuyp27</v>
          </cell>
          <cell r="C485" t="str">
            <v>Cột tuýp ɸ27 dày 1.8mm</v>
          </cell>
          <cell r="E485" t="str">
            <v>kg</v>
          </cell>
          <cell r="F485">
            <v>21010</v>
          </cell>
          <cell r="H485">
            <v>0.3</v>
          </cell>
          <cell r="I485">
            <v>1.173</v>
          </cell>
        </row>
        <row r="486">
          <cell r="B486" t="str">
            <v>Tuyp34</v>
          </cell>
          <cell r="C486" t="str">
            <v>Cột tuýp ɸ34 dày 1.8mm</v>
          </cell>
          <cell r="E486" t="str">
            <v>kg</v>
          </cell>
          <cell r="F486">
            <v>21010</v>
          </cell>
          <cell r="H486">
            <v>0.3</v>
          </cell>
          <cell r="I486">
            <v>1.484</v>
          </cell>
        </row>
        <row r="487">
          <cell r="B487" t="str">
            <v>Tuyp42</v>
          </cell>
          <cell r="C487" t="str">
            <v>Cột tuýp ɸ42 dày 1.8mm</v>
          </cell>
          <cell r="E487" t="str">
            <v>kg</v>
          </cell>
          <cell r="F487">
            <v>20350</v>
          </cell>
          <cell r="H487">
            <v>0.3</v>
          </cell>
          <cell r="I487">
            <v>1.839</v>
          </cell>
        </row>
        <row r="488">
          <cell r="B488" t="str">
            <v>Tuyp48</v>
          </cell>
          <cell r="C488" t="str">
            <v>Cột tuýp ɸ48 dày 1.8mm</v>
          </cell>
          <cell r="E488" t="str">
            <v>kg</v>
          </cell>
          <cell r="F488">
            <v>20350</v>
          </cell>
          <cell r="H488">
            <v>0.3</v>
          </cell>
          <cell r="I488">
            <v>2.15</v>
          </cell>
        </row>
        <row r="489">
          <cell r="B489" t="str">
            <v>Tuyp60</v>
          </cell>
          <cell r="C489" t="str">
            <v>Cột tuýp ɸ60 dày 1.8mm</v>
          </cell>
          <cell r="E489" t="str">
            <v>kg</v>
          </cell>
          <cell r="F489">
            <v>20350</v>
          </cell>
          <cell r="H489">
            <v>0.3</v>
          </cell>
          <cell r="I489">
            <v>2.6379999999999999</v>
          </cell>
        </row>
        <row r="490">
          <cell r="B490" t="str">
            <v>Tuyp76</v>
          </cell>
          <cell r="C490" t="str">
            <v>Cột tuýp ɸ76 dày1.8mm</v>
          </cell>
          <cell r="E490" t="str">
            <v>kg</v>
          </cell>
          <cell r="F490">
            <v>20350</v>
          </cell>
          <cell r="H490">
            <v>0.3</v>
          </cell>
          <cell r="I490">
            <v>3.8085</v>
          </cell>
        </row>
        <row r="491">
          <cell r="B491" t="str">
            <v>Tuyp90</v>
          </cell>
          <cell r="C491" t="str">
            <v>Cột tuýp ɸ90 dày 1.8mm</v>
          </cell>
          <cell r="E491" t="str">
            <v>kg</v>
          </cell>
          <cell r="F491">
            <v>20350</v>
          </cell>
          <cell r="H491">
            <v>0.3</v>
          </cell>
          <cell r="I491">
            <v>4.4664999999999999</v>
          </cell>
        </row>
        <row r="492">
          <cell r="B492" t="str">
            <v>Sắt hộp 20x40</v>
          </cell>
          <cell r="C492" t="str">
            <v>Sắt hộp độ dày 1.2mm</v>
          </cell>
          <cell r="E492" t="str">
            <v>kg</v>
          </cell>
          <cell r="F492">
            <v>26900</v>
          </cell>
          <cell r="H492">
            <v>0.3</v>
          </cell>
          <cell r="I492">
            <v>1.0760000000000001</v>
          </cell>
          <cell r="K492" t="str">
            <v>theo tiêu chuẩn ống thép hòa phát</v>
          </cell>
        </row>
        <row r="493">
          <cell r="B493" t="str">
            <v>Ống nước</v>
          </cell>
          <cell r="C493" t="str">
            <v>Ống nước</v>
          </cell>
        </row>
        <row r="494">
          <cell r="B494" t="str">
            <v>PVCD27</v>
          </cell>
          <cell r="C494" t="str">
            <v>Ống thoát nước PVC D27 Pn10</v>
          </cell>
          <cell r="E494" t="str">
            <v>m</v>
          </cell>
          <cell r="F494">
            <v>13999.7</v>
          </cell>
          <cell r="H494">
            <v>0.3</v>
          </cell>
        </row>
        <row r="495">
          <cell r="B495" t="str">
            <v>PVCD34</v>
          </cell>
          <cell r="C495" t="str">
            <v>Ống thoát nước PVC D34 Pn10</v>
          </cell>
          <cell r="E495" t="str">
            <v>m</v>
          </cell>
          <cell r="F495">
            <v>21499.5</v>
          </cell>
          <cell r="H495">
            <v>0.3</v>
          </cell>
        </row>
        <row r="496">
          <cell r="B496" t="str">
            <v>PVCD48</v>
          </cell>
          <cell r="C496" t="str">
            <v>Ống thoát nước PVC D48 Pn10</v>
          </cell>
          <cell r="E496" t="str">
            <v>m</v>
          </cell>
          <cell r="F496">
            <v>40199.5</v>
          </cell>
          <cell r="H496">
            <v>0.3</v>
          </cell>
        </row>
        <row r="497">
          <cell r="B497" t="str">
            <v>PVCD110</v>
          </cell>
          <cell r="C497" t="str">
            <v>Ống thoát nước PVC D110 Pn10</v>
          </cell>
          <cell r="E497" t="str">
            <v>m</v>
          </cell>
          <cell r="F497">
            <v>182099.50000000003</v>
          </cell>
          <cell r="H497">
            <v>0.3</v>
          </cell>
        </row>
        <row r="498">
          <cell r="B498" t="str">
            <v>Dây điện</v>
          </cell>
          <cell r="C498" t="str">
            <v>Dây điện</v>
          </cell>
        </row>
        <row r="499">
          <cell r="B499" t="str">
            <v>2x2,5</v>
          </cell>
          <cell r="C499" t="str">
            <v>Dây điện VCTF 2x2,5mm</v>
          </cell>
          <cell r="E499" t="str">
            <v>m</v>
          </cell>
          <cell r="F499">
            <v>28648.400000000001</v>
          </cell>
          <cell r="H499">
            <v>0.3</v>
          </cell>
        </row>
        <row r="500">
          <cell r="B500" t="str">
            <v>CXV</v>
          </cell>
          <cell r="C500" t="str">
            <v>Dây điện CXV2*10</v>
          </cell>
          <cell r="E500" t="str">
            <v>m</v>
          </cell>
          <cell r="F500">
            <v>112910.6</v>
          </cell>
          <cell r="H500">
            <v>0.3</v>
          </cell>
        </row>
        <row r="501">
          <cell r="B501" t="str">
            <v>DĐ CV 1*25RC</v>
          </cell>
          <cell r="C501" t="str">
            <v>Dây điện CV 1*25RC</v>
          </cell>
          <cell r="E501" t="str">
            <v>m</v>
          </cell>
          <cell r="F501">
            <v>70370.3</v>
          </cell>
          <cell r="H501">
            <v>0.3</v>
          </cell>
        </row>
        <row r="502">
          <cell r="B502" t="str">
            <v>Khác</v>
          </cell>
          <cell r="C502" t="str">
            <v>Khác</v>
          </cell>
        </row>
        <row r="503">
          <cell r="B503" t="str">
            <v>Tôn quây</v>
          </cell>
          <cell r="C503" t="str">
            <v>Tôn quây EK106 (6 sóng) dày 0,45mm mạ AZ50</v>
          </cell>
          <cell r="E503" t="str">
            <v>m2</v>
          </cell>
          <cell r="F503">
            <v>149000.5</v>
          </cell>
          <cell r="H503">
            <v>0.3</v>
          </cell>
        </row>
        <row r="504">
          <cell r="B504" t="str">
            <v>Dây thép gai</v>
          </cell>
          <cell r="C504" t="str">
            <v>Dây thép gai</v>
          </cell>
          <cell r="E504" t="str">
            <v>kg</v>
          </cell>
          <cell r="F504">
            <v>16314</v>
          </cell>
          <cell r="G504">
            <v>10</v>
          </cell>
          <cell r="H504">
            <v>0.3</v>
          </cell>
        </row>
        <row r="505">
          <cell r="B505" t="str">
            <v>B401</v>
          </cell>
          <cell r="C505" t="str">
            <v>Lưới cuộn cao 1m</v>
          </cell>
          <cell r="E505" t="str">
            <v>kg</v>
          </cell>
          <cell r="F505">
            <v>23999.800000000003</v>
          </cell>
          <cell r="H505">
            <v>0.3</v>
          </cell>
          <cell r="I505">
            <v>1.7</v>
          </cell>
        </row>
        <row r="506">
          <cell r="B506" t="str">
            <v>B4012</v>
          </cell>
          <cell r="C506" t="str">
            <v>Lưới cuộn cao 1,2m</v>
          </cell>
          <cell r="E506" t="str">
            <v>kg</v>
          </cell>
          <cell r="F506">
            <v>23999.800000000003</v>
          </cell>
          <cell r="H506">
            <v>0.3</v>
          </cell>
          <cell r="I506">
            <v>2.04</v>
          </cell>
        </row>
        <row r="507">
          <cell r="B507" t="str">
            <v>B4015</v>
          </cell>
          <cell r="C507" t="str">
            <v>Lưới cuộn cao 1,5m</v>
          </cell>
          <cell r="E507" t="str">
            <v>kg</v>
          </cell>
          <cell r="F507">
            <v>23999.800000000003</v>
          </cell>
          <cell r="H507">
            <v>0.3</v>
          </cell>
          <cell r="I507">
            <v>2.5499999999999998</v>
          </cell>
        </row>
        <row r="508">
          <cell r="B508" t="str">
            <v>B4018</v>
          </cell>
          <cell r="C508" t="str">
            <v>Lưới cuộn cao 1,8m</v>
          </cell>
          <cell r="E508" t="str">
            <v>kg</v>
          </cell>
          <cell r="F508">
            <v>23999.800000000003</v>
          </cell>
          <cell r="H508">
            <v>0.3</v>
          </cell>
          <cell r="I508">
            <v>3.06</v>
          </cell>
        </row>
        <row r="509">
          <cell r="B509" t="str">
            <v>B4020</v>
          </cell>
          <cell r="C509" t="str">
            <v>Lưới cuộn cao 2m</v>
          </cell>
          <cell r="E509" t="str">
            <v>kg</v>
          </cell>
          <cell r="F509">
            <v>23999.800000000003</v>
          </cell>
          <cell r="H509">
            <v>0.3</v>
          </cell>
          <cell r="I509">
            <v>3.4</v>
          </cell>
        </row>
        <row r="510">
          <cell r="B510" t="str">
            <v>B4024</v>
          </cell>
          <cell r="C510" t="str">
            <v>Lưới cuộn cao 2,4m</v>
          </cell>
          <cell r="E510" t="str">
            <v>kg</v>
          </cell>
          <cell r="F510">
            <v>23999.800000000003</v>
          </cell>
          <cell r="H510">
            <v>0.3</v>
          </cell>
          <cell r="I510">
            <v>4.08</v>
          </cell>
        </row>
        <row r="511">
          <cell r="B511" t="str">
            <v>Ht</v>
          </cell>
          <cell r="C511" t="str">
            <v>Hỗ trợ theo Điểu 8, QĐ 01/2026</v>
          </cell>
        </row>
        <row r="512">
          <cell r="B512" t="str">
            <v xml:space="preserve">Quạt trần </v>
          </cell>
          <cell r="C512" t="str">
            <v>Quạt trần (tương đương quạt thông gió)</v>
          </cell>
          <cell r="E512" t="str">
            <v>cái</v>
          </cell>
          <cell r="F512">
            <v>649000</v>
          </cell>
          <cell r="H512">
            <v>0.3</v>
          </cell>
        </row>
      </sheetData>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A8A7EDC-5B90-4522-89EC-55D238434EE7}">
  <we:reference id="wa200010215" version="2.0.0.0" store="en-US" storeType="OMEX"/>
  <we:alternateReferences>
    <we:reference id="WA200010215" version="2.0.0.0" store="WA200010215" storeType="OMEX"/>
  </we:alternateReferences>
  <we:properties>
    <we:property name="bps.codex_control.document_id" value="&quot;fcf1a779-d7db-403e-ad47-53724e7ab23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83"/>
  <sheetViews>
    <sheetView tabSelected="1" zoomScale="70" zoomScaleNormal="70" workbookViewId="0">
      <pane ySplit="1" topLeftCell="A2" activePane="bottomLeft" state="frozen"/>
      <selection activeCell="J1" sqref="J1"/>
      <selection pane="bottomLeft" activeCell="A51" sqref="A51:E52"/>
    </sheetView>
  </sheetViews>
  <sheetFormatPr defaultColWidth="8.7265625" defaultRowHeight="15" customHeight="1" outlineLevelRow="1" x14ac:dyDescent="0.35"/>
  <cols>
    <col min="1" max="1" width="13.81640625" style="62" bestFit="1" customWidth="1"/>
    <col min="2" max="2" width="82.7265625" style="110" customWidth="1"/>
    <col min="3" max="3" width="15" style="46" customWidth="1"/>
    <col min="4" max="4" width="18.81640625" style="46" customWidth="1"/>
    <col min="5" max="5" width="16.453125" style="46" customWidth="1"/>
    <col min="6" max="6" width="12.453125" style="46" customWidth="1"/>
    <col min="7" max="7" width="18.81640625" style="46" customWidth="1"/>
    <col min="8" max="8" width="11" style="46" customWidth="1"/>
    <col min="9" max="9" width="9" style="46" customWidth="1"/>
    <col min="10" max="10" width="15.26953125" style="46" customWidth="1"/>
    <col min="11" max="11" width="45.54296875" style="61" bestFit="1" customWidth="1"/>
    <col min="12" max="12" width="25.1796875" style="46" bestFit="1" customWidth="1"/>
    <col min="13" max="13" width="11.81640625" style="46" bestFit="1" customWidth="1"/>
    <col min="14" max="14" width="13.1796875" style="46" bestFit="1" customWidth="1"/>
    <col min="15" max="15" width="15.1796875" style="46" bestFit="1" customWidth="1"/>
    <col min="16" max="16" width="14.1796875" style="62" bestFit="1" customWidth="1"/>
    <col min="17" max="17" width="14.81640625" style="160" bestFit="1" customWidth="1"/>
    <col min="18" max="18" width="15" style="153" bestFit="1" customWidth="1"/>
    <col min="19" max="19" width="13.453125" style="46" bestFit="1" customWidth="1"/>
    <col min="20" max="20" width="21.453125" style="126" customWidth="1"/>
    <col min="21" max="21" width="20.81640625" style="141" bestFit="1" customWidth="1"/>
    <col min="22" max="22" width="21.26953125" style="141" bestFit="1" customWidth="1"/>
    <col min="23" max="23" width="20.453125" style="46" bestFit="1" customWidth="1"/>
    <col min="24" max="25" width="15" style="46" bestFit="1" customWidth="1"/>
    <col min="26" max="26" width="20.7265625" style="46" bestFit="1" customWidth="1"/>
    <col min="27" max="27" width="20.81640625" style="46" bestFit="1" customWidth="1"/>
    <col min="28" max="28" width="19.26953125" style="46" bestFit="1" customWidth="1"/>
    <col min="29" max="29" width="20.1796875" style="46" bestFit="1" customWidth="1"/>
    <col min="30" max="30" width="16.1796875" style="46" bestFit="1" customWidth="1"/>
    <col min="31" max="31" width="20" style="46" bestFit="1" customWidth="1"/>
    <col min="32" max="16384" width="8.7265625" style="46"/>
  </cols>
  <sheetData>
    <row r="1" spans="1:31" ht="15" customHeight="1" x14ac:dyDescent="0.35">
      <c r="A1" s="38" t="s">
        <v>0</v>
      </c>
      <c r="B1" s="39" t="s">
        <v>1</v>
      </c>
      <c r="C1" s="38" t="s">
        <v>2</v>
      </c>
      <c r="D1" s="60" t="s">
        <v>3</v>
      </c>
      <c r="E1" s="38" t="s">
        <v>4</v>
      </c>
      <c r="F1" s="38" t="s">
        <v>5</v>
      </c>
      <c r="G1" s="40" t="s">
        <v>6</v>
      </c>
      <c r="H1" s="41" t="s">
        <v>7</v>
      </c>
      <c r="I1" s="42" t="s">
        <v>8</v>
      </c>
      <c r="J1" s="43" t="s">
        <v>9</v>
      </c>
      <c r="K1" s="38" t="s">
        <v>10</v>
      </c>
      <c r="L1" s="38" t="s">
        <v>11</v>
      </c>
      <c r="M1" s="38" t="s">
        <v>12</v>
      </c>
      <c r="N1" s="60" t="s">
        <v>13</v>
      </c>
      <c r="O1" s="40" t="s">
        <v>14</v>
      </c>
      <c r="P1" s="40" t="s">
        <v>15</v>
      </c>
      <c r="Q1" s="41" t="s">
        <v>16</v>
      </c>
      <c r="R1" s="111" t="s">
        <v>17</v>
      </c>
      <c r="S1" s="44" t="s">
        <v>18</v>
      </c>
      <c r="T1" s="38" t="s">
        <v>19</v>
      </c>
      <c r="U1" s="38" t="s">
        <v>20</v>
      </c>
      <c r="V1" s="38" t="s">
        <v>21</v>
      </c>
      <c r="W1" s="38" t="s">
        <v>22</v>
      </c>
      <c r="X1" s="38" t="s">
        <v>23</v>
      </c>
      <c r="Y1" s="38" t="s">
        <v>24</v>
      </c>
      <c r="Z1" s="38" t="s">
        <v>25</v>
      </c>
      <c r="AA1" s="38" t="s">
        <v>26</v>
      </c>
      <c r="AB1" s="38" t="s">
        <v>27</v>
      </c>
      <c r="AC1" s="38" t="s">
        <v>28</v>
      </c>
      <c r="AD1" s="38" t="s">
        <v>29</v>
      </c>
      <c r="AE1" s="45" t="s">
        <v>30</v>
      </c>
    </row>
    <row r="2" spans="1:31" s="47" customFormat="1" ht="15" customHeight="1" x14ac:dyDescent="0.35">
      <c r="A2" s="63">
        <v>1</v>
      </c>
      <c r="B2" s="64"/>
      <c r="C2" s="64"/>
      <c r="D2" s="64"/>
      <c r="E2" s="64"/>
      <c r="F2" s="64"/>
      <c r="G2" s="64"/>
      <c r="H2" s="64"/>
      <c r="I2" s="64"/>
      <c r="J2" s="64"/>
      <c r="K2" s="64"/>
      <c r="L2" s="64"/>
      <c r="M2" s="64"/>
      <c r="N2" s="64"/>
      <c r="O2" s="64"/>
      <c r="P2" s="131"/>
      <c r="Q2" s="154"/>
      <c r="R2" s="144"/>
      <c r="S2" s="64"/>
      <c r="T2" s="131"/>
      <c r="U2" s="143"/>
      <c r="V2" s="143"/>
      <c r="W2" s="64"/>
      <c r="X2" s="64"/>
      <c r="Y2" s="64"/>
      <c r="Z2" s="64"/>
      <c r="AA2" s="64"/>
      <c r="AB2" s="64"/>
      <c r="AC2" s="64"/>
      <c r="AD2" s="64"/>
      <c r="AE2" s="64"/>
    </row>
    <row r="3" spans="1:31" ht="15" customHeight="1" outlineLevel="1" x14ac:dyDescent="0.35">
      <c r="A3" s="54">
        <v>1</v>
      </c>
      <c r="B3" s="48" t="s">
        <v>116</v>
      </c>
      <c r="C3" s="36" t="s">
        <v>117</v>
      </c>
      <c r="D3" s="54">
        <v>1860</v>
      </c>
      <c r="E3" s="25">
        <v>876</v>
      </c>
      <c r="F3" s="25" t="s">
        <v>31</v>
      </c>
      <c r="G3" s="25" t="s">
        <v>32</v>
      </c>
      <c r="H3" s="21">
        <f t="shared" ref="H3" si="0">E3/D3</f>
        <v>0.47096774193548385</v>
      </c>
      <c r="I3" s="22">
        <v>125000</v>
      </c>
      <c r="J3" s="23">
        <f t="shared" ref="J3" si="1">+I3*E3</f>
        <v>109500000</v>
      </c>
      <c r="K3" s="24"/>
      <c r="L3" s="25"/>
      <c r="M3" s="27"/>
      <c r="N3" s="128"/>
      <c r="O3" s="54"/>
      <c r="P3" s="54"/>
      <c r="Q3" s="155"/>
      <c r="R3" s="112"/>
      <c r="S3" s="65" t="s">
        <v>33</v>
      </c>
      <c r="T3" s="26"/>
      <c r="U3" s="26"/>
      <c r="V3" s="26"/>
      <c r="W3" s="26"/>
      <c r="X3" s="27">
        <v>4</v>
      </c>
      <c r="Y3" s="26">
        <f t="shared" ref="Y3" si="2">IF(H3&gt;=70%,17000*30*12,IF(H3&gt;=30%,17000*30*6,IF(H3&gt;=20%,17000*30*5,IF(H3&gt;=10%,17000*30*3,17000*30*2))))</f>
        <v>3060000</v>
      </c>
      <c r="Z3" s="26">
        <f t="shared" ref="Z3" si="3">Y3*X3</f>
        <v>12240000</v>
      </c>
      <c r="AA3" s="26">
        <f>E3*125000*3</f>
        <v>328500000</v>
      </c>
      <c r="AB3" s="26">
        <f t="shared" ref="AB3" si="4">30000*E3</f>
        <v>26280000</v>
      </c>
      <c r="AC3" s="26">
        <f t="shared" ref="AC3" si="5">AB3+AA3+Z3+W3+J3</f>
        <v>476520000</v>
      </c>
      <c r="AD3" s="26">
        <f>15000*E3</f>
        <v>13140000</v>
      </c>
      <c r="AE3" s="28">
        <f t="shared" ref="AE3" si="6">AD3+AC3</f>
        <v>489660000</v>
      </c>
    </row>
    <row r="4" spans="1:31" ht="15" customHeight="1" outlineLevel="1" x14ac:dyDescent="0.35">
      <c r="A4" s="29"/>
      <c r="B4" s="49" t="s">
        <v>118</v>
      </c>
      <c r="C4" s="30"/>
      <c r="D4" s="120"/>
      <c r="E4" s="30"/>
      <c r="F4" s="31"/>
      <c r="G4" s="31"/>
      <c r="H4" s="31"/>
      <c r="I4" s="32"/>
      <c r="J4" s="33"/>
      <c r="K4" s="34"/>
      <c r="L4" s="35"/>
      <c r="M4" s="66"/>
      <c r="N4" s="120"/>
      <c r="O4" s="31"/>
      <c r="P4" s="30"/>
      <c r="Q4" s="156"/>
      <c r="R4" s="113"/>
      <c r="S4" s="67" t="s">
        <v>33</v>
      </c>
      <c r="T4" s="68"/>
      <c r="U4" s="68"/>
      <c r="V4" s="68"/>
      <c r="W4" s="69"/>
      <c r="X4" s="66"/>
      <c r="Y4" s="69"/>
      <c r="Z4" s="69"/>
      <c r="AA4" s="69"/>
      <c r="AB4" s="69"/>
      <c r="AC4" s="69"/>
      <c r="AD4" s="69"/>
      <c r="AE4" s="69"/>
    </row>
    <row r="5" spans="1:31" s="98" customFormat="1" ht="15" customHeight="1" outlineLevel="1" x14ac:dyDescent="0.35">
      <c r="A5" s="54">
        <v>2</v>
      </c>
      <c r="B5" s="48" t="s">
        <v>119</v>
      </c>
      <c r="C5" s="36" t="s">
        <v>117</v>
      </c>
      <c r="D5" s="54">
        <v>1488</v>
      </c>
      <c r="E5" s="54">
        <v>701</v>
      </c>
      <c r="F5" s="25" t="s">
        <v>31</v>
      </c>
      <c r="G5" s="25" t="s">
        <v>34</v>
      </c>
      <c r="H5" s="21">
        <f t="shared" ref="H5" si="7">E5/D5</f>
        <v>0.47110215053763443</v>
      </c>
      <c r="I5" s="22">
        <v>125000</v>
      </c>
      <c r="J5" s="23">
        <f t="shared" ref="J5" si="8">+I5*E5</f>
        <v>87625000</v>
      </c>
      <c r="K5" s="24"/>
      <c r="L5" s="25"/>
      <c r="M5" s="27"/>
      <c r="N5" s="128"/>
      <c r="O5" s="54"/>
      <c r="P5" s="54"/>
      <c r="Q5" s="155"/>
      <c r="R5" s="112"/>
      <c r="S5" s="65" t="s">
        <v>33</v>
      </c>
      <c r="T5" s="26"/>
      <c r="U5" s="26"/>
      <c r="V5" s="26"/>
      <c r="W5" s="26"/>
      <c r="X5" s="27">
        <v>4</v>
      </c>
      <c r="Y5" s="26">
        <f t="shared" ref="Y5" si="9">IF(H5&gt;=70%,17000*30*12,IF(H5&gt;=30%,17000*30*6,IF(H5&gt;=20%,17000*30*5,IF(H5&gt;=10%,17000*30*3,17000*30*2))))</f>
        <v>3060000</v>
      </c>
      <c r="Z5" s="26">
        <f t="shared" ref="Z5" si="10">Y5*X5</f>
        <v>12240000</v>
      </c>
      <c r="AA5" s="26">
        <f>E5*125000*3</f>
        <v>262875000</v>
      </c>
      <c r="AB5" s="26">
        <f t="shared" ref="AB5" si="11">30000*E5</f>
        <v>21030000</v>
      </c>
      <c r="AC5" s="26">
        <f t="shared" ref="AC5" si="12">AB5+AA5+Z5+W5+J5</f>
        <v>383770000</v>
      </c>
      <c r="AD5" s="26">
        <f>15000*E5</f>
        <v>10515000</v>
      </c>
      <c r="AE5" s="28">
        <f t="shared" ref="AE5" si="13">AD5+AC5</f>
        <v>394285000</v>
      </c>
    </row>
    <row r="6" spans="1:31" s="109" customFormat="1" ht="15" customHeight="1" outlineLevel="1" x14ac:dyDescent="0.35">
      <c r="A6" s="99"/>
      <c r="B6" s="100" t="s">
        <v>120</v>
      </c>
      <c r="C6" s="40"/>
      <c r="D6" s="121"/>
      <c r="E6" s="40"/>
      <c r="F6" s="101"/>
      <c r="G6" s="101"/>
      <c r="H6" s="101"/>
      <c r="I6" s="102"/>
      <c r="J6" s="103"/>
      <c r="K6" s="45"/>
      <c r="L6" s="104"/>
      <c r="M6" s="105"/>
      <c r="N6" s="121"/>
      <c r="O6" s="101"/>
      <c r="P6" s="40"/>
      <c r="Q6" s="41"/>
      <c r="R6" s="114"/>
      <c r="S6" s="106" t="s">
        <v>33</v>
      </c>
      <c r="T6" s="107"/>
      <c r="U6" s="107"/>
      <c r="V6" s="107"/>
      <c r="W6" s="108"/>
      <c r="X6" s="105"/>
      <c r="Y6" s="108"/>
      <c r="Z6" s="108"/>
      <c r="AA6" s="108"/>
      <c r="AB6" s="108"/>
      <c r="AC6" s="108"/>
      <c r="AD6" s="108"/>
      <c r="AE6" s="108"/>
    </row>
    <row r="7" spans="1:31" ht="15" customHeight="1" outlineLevel="1" x14ac:dyDescent="0.35">
      <c r="A7" s="55" t="s">
        <v>143</v>
      </c>
      <c r="B7" s="36"/>
      <c r="C7" s="36" t="s">
        <v>117</v>
      </c>
      <c r="D7" s="122"/>
      <c r="E7" s="55">
        <f>876 + 720.4</f>
        <v>1596.4</v>
      </c>
      <c r="F7" s="55">
        <v>50</v>
      </c>
      <c r="G7" s="20" t="s">
        <v>35</v>
      </c>
      <c r="H7" s="70"/>
      <c r="I7" s="51"/>
      <c r="J7" s="71"/>
      <c r="K7" s="72"/>
      <c r="L7" s="72"/>
      <c r="M7" s="50"/>
      <c r="N7" s="97"/>
      <c r="O7" s="97"/>
      <c r="P7" s="97"/>
      <c r="Q7" s="157"/>
      <c r="R7" s="145"/>
      <c r="S7" s="73"/>
      <c r="T7" s="74"/>
      <c r="U7" s="135">
        <f>T9</f>
        <v>671559</v>
      </c>
      <c r="V7" s="135">
        <f>T13</f>
        <v>93645000</v>
      </c>
      <c r="W7" s="74"/>
      <c r="X7" s="65"/>
      <c r="Y7" s="65"/>
      <c r="Z7" s="75"/>
      <c r="AA7" s="76">
        <f>Z9</f>
        <v>0</v>
      </c>
      <c r="AB7" s="76">
        <f>Z13</f>
        <v>0</v>
      </c>
      <c r="AC7" s="76">
        <f>AB7+AA7</f>
        <v>0</v>
      </c>
      <c r="AD7" s="50"/>
      <c r="AE7" s="77"/>
    </row>
    <row r="8" spans="1:31" ht="30" outlineLevel="1" x14ac:dyDescent="0.35">
      <c r="A8" s="8"/>
      <c r="B8" s="1" t="s">
        <v>121</v>
      </c>
      <c r="C8" s="2"/>
      <c r="D8" s="123"/>
      <c r="E8" s="3"/>
      <c r="F8" s="4"/>
      <c r="G8" s="5"/>
      <c r="H8" s="6"/>
      <c r="I8" s="7"/>
      <c r="J8" s="4"/>
      <c r="K8" s="14" t="s">
        <v>36</v>
      </c>
      <c r="L8" s="52"/>
      <c r="M8" s="14"/>
      <c r="N8" s="4"/>
      <c r="O8" s="4"/>
      <c r="P8" s="3">
        <f>E7</f>
        <v>1596.4</v>
      </c>
      <c r="Q8" s="158"/>
      <c r="R8" s="146"/>
      <c r="S8" s="13"/>
      <c r="T8" s="133">
        <f>T9+T13</f>
        <v>94316559</v>
      </c>
      <c r="U8" s="136"/>
      <c r="V8" s="136"/>
      <c r="W8" s="78"/>
      <c r="X8" s="79"/>
      <c r="Y8" s="6"/>
      <c r="Z8" s="9"/>
      <c r="AA8" s="80"/>
      <c r="AB8" s="80"/>
      <c r="AC8" s="80"/>
      <c r="AD8" s="57"/>
      <c r="AE8" s="80"/>
    </row>
    <row r="9" spans="1:31" ht="15" customHeight="1" outlineLevel="1" x14ac:dyDescent="0.35">
      <c r="A9" s="11"/>
      <c r="B9" s="10" t="s">
        <v>103</v>
      </c>
      <c r="C9" s="11"/>
      <c r="D9" s="124"/>
      <c r="E9" s="56"/>
      <c r="F9" s="56"/>
      <c r="G9" s="12"/>
      <c r="H9" s="81"/>
      <c r="I9" s="19"/>
      <c r="J9" s="14"/>
      <c r="K9" s="8" t="s">
        <v>37</v>
      </c>
      <c r="L9" s="12"/>
      <c r="M9" s="17"/>
      <c r="N9" s="56"/>
      <c r="O9" s="56"/>
      <c r="P9" s="3">
        <v>0</v>
      </c>
      <c r="Q9" s="117"/>
      <c r="R9" s="147"/>
      <c r="S9" s="13"/>
      <c r="T9" s="134">
        <f>SUBTOTAL(9,T10:T12)</f>
        <v>671559</v>
      </c>
      <c r="U9" s="136"/>
      <c r="V9" s="137"/>
      <c r="W9" s="14"/>
      <c r="X9" s="37"/>
      <c r="Y9" s="37"/>
      <c r="Z9" s="82"/>
      <c r="AA9" s="83"/>
      <c r="AB9" s="83"/>
      <c r="AC9" s="83"/>
      <c r="AD9" s="17"/>
      <c r="AE9" s="84"/>
    </row>
    <row r="10" spans="1:31" ht="15" customHeight="1" outlineLevel="1" x14ac:dyDescent="0.35">
      <c r="A10" s="11"/>
      <c r="B10" s="10"/>
      <c r="C10" s="15"/>
      <c r="D10" s="124"/>
      <c r="E10" s="56"/>
      <c r="F10" s="56"/>
      <c r="G10" s="12"/>
      <c r="H10" s="81"/>
      <c r="I10" s="19"/>
      <c r="J10" s="19"/>
      <c r="K10" s="12" t="s">
        <v>38</v>
      </c>
      <c r="L10" s="12" t="s">
        <v>39</v>
      </c>
      <c r="M10" s="17" t="s">
        <v>40</v>
      </c>
      <c r="N10" s="56">
        <f>45*1.5*1.484</f>
        <v>100.17</v>
      </c>
      <c r="O10" s="56"/>
      <c r="P10" s="56"/>
      <c r="Q10" s="117"/>
      <c r="R10" s="115">
        <v>21780</v>
      </c>
      <c r="S10" s="53">
        <v>0.1</v>
      </c>
      <c r="T10" s="86">
        <f>ROUND((S10*R10*N10),0)</f>
        <v>218170</v>
      </c>
      <c r="U10" s="138"/>
      <c r="V10" s="138"/>
      <c r="W10" s="87"/>
      <c r="X10" s="88"/>
      <c r="Y10" s="37"/>
      <c r="Z10" s="89"/>
      <c r="AA10" s="84"/>
      <c r="AB10" s="84"/>
      <c r="AC10" s="84"/>
      <c r="AD10" s="17"/>
      <c r="AE10" s="84"/>
    </row>
    <row r="11" spans="1:31" ht="15" customHeight="1" outlineLevel="1" x14ac:dyDescent="0.35">
      <c r="A11" s="11"/>
      <c r="B11" s="10"/>
      <c r="C11" s="11"/>
      <c r="D11" s="124"/>
      <c r="E11" s="56"/>
      <c r="F11" s="56"/>
      <c r="G11" s="12"/>
      <c r="H11" s="81"/>
      <c r="I11" s="19"/>
      <c r="J11" s="19"/>
      <c r="K11" s="12" t="s">
        <v>41</v>
      </c>
      <c r="L11" s="12" t="s">
        <v>42</v>
      </c>
      <c r="M11" s="17" t="s">
        <v>43</v>
      </c>
      <c r="N11" s="56">
        <v>40</v>
      </c>
      <c r="O11" s="56"/>
      <c r="P11" s="56"/>
      <c r="Q11" s="53"/>
      <c r="R11" s="115">
        <f xml:space="preserve"> 90756 *1.037</f>
        <v>94113.971999999994</v>
      </c>
      <c r="S11" s="53">
        <v>0.1</v>
      </c>
      <c r="T11" s="86">
        <f>ROUND((S11*R11*N11),0)</f>
        <v>376456</v>
      </c>
      <c r="U11" s="138"/>
      <c r="V11" s="138"/>
      <c r="W11" s="87"/>
      <c r="X11" s="88"/>
      <c r="Y11" s="37"/>
      <c r="Z11" s="89"/>
      <c r="AA11" s="83"/>
      <c r="AB11" s="83"/>
      <c r="AC11" s="83"/>
      <c r="AD11" s="17"/>
      <c r="AE11" s="84"/>
    </row>
    <row r="12" spans="1:31" ht="15" customHeight="1" outlineLevel="1" x14ac:dyDescent="0.35">
      <c r="A12" s="11"/>
      <c r="B12" s="10"/>
      <c r="C12" s="15"/>
      <c r="D12" s="124"/>
      <c r="E12" s="56"/>
      <c r="F12" s="56"/>
      <c r="G12" s="12"/>
      <c r="H12" s="81"/>
      <c r="I12" s="19"/>
      <c r="J12" s="19"/>
      <c r="K12" s="12" t="s">
        <v>44</v>
      </c>
      <c r="L12" s="16"/>
      <c r="M12" s="119" t="s">
        <v>45</v>
      </c>
      <c r="N12" s="58">
        <f>400*1.173*0.1</f>
        <v>46.920000000000009</v>
      </c>
      <c r="O12" s="118"/>
      <c r="P12" s="118"/>
      <c r="Q12" s="53"/>
      <c r="R12" s="115">
        <v>16396.600000000002</v>
      </c>
      <c r="S12" s="53">
        <v>0.1</v>
      </c>
      <c r="T12" s="86">
        <f>ROUND((S12*R12*N12),0)</f>
        <v>76933</v>
      </c>
      <c r="U12" s="139"/>
      <c r="V12" s="138"/>
      <c r="W12" s="87"/>
      <c r="X12" s="88"/>
      <c r="Y12" s="37"/>
      <c r="Z12" s="89"/>
      <c r="AA12" s="84"/>
      <c r="AB12" s="84"/>
      <c r="AC12" s="84"/>
      <c r="AD12" s="17"/>
      <c r="AE12" s="84"/>
    </row>
    <row r="13" spans="1:31" ht="15" customHeight="1" outlineLevel="1" x14ac:dyDescent="0.35">
      <c r="A13" s="11"/>
      <c r="B13" s="10"/>
      <c r="C13" s="11"/>
      <c r="D13" s="124"/>
      <c r="E13" s="56"/>
      <c r="F13" s="56"/>
      <c r="G13" s="12"/>
      <c r="H13" s="81"/>
      <c r="I13" s="19"/>
      <c r="J13" s="14"/>
      <c r="K13" s="8" t="s">
        <v>46</v>
      </c>
      <c r="L13" s="12"/>
      <c r="M13" s="125"/>
      <c r="N13" s="129"/>
      <c r="O13" s="56"/>
      <c r="P13" s="3">
        <f>P8-P14</f>
        <v>1576.4</v>
      </c>
      <c r="Q13" s="117"/>
      <c r="R13" s="147"/>
      <c r="S13" s="13"/>
      <c r="T13" s="134">
        <f>SUBTOTAL(9,T14:T16)</f>
        <v>93645000</v>
      </c>
      <c r="U13" s="136"/>
      <c r="V13" s="137"/>
      <c r="W13" s="14"/>
      <c r="X13" s="88"/>
      <c r="Y13" s="37"/>
      <c r="Z13" s="82"/>
      <c r="AA13" s="83"/>
      <c r="AB13" s="83"/>
      <c r="AC13" s="83"/>
      <c r="AD13" s="17"/>
      <c r="AE13" s="84"/>
    </row>
    <row r="14" spans="1:31" ht="15" customHeight="1" outlineLevel="1" x14ac:dyDescent="0.35">
      <c r="A14" s="11"/>
      <c r="B14" s="10"/>
      <c r="C14" s="11"/>
      <c r="D14" s="124"/>
      <c r="E14" s="56"/>
      <c r="F14" s="56"/>
      <c r="G14" s="12"/>
      <c r="H14" s="81"/>
      <c r="I14" s="19"/>
      <c r="J14" s="14"/>
      <c r="K14" s="12" t="s">
        <v>49</v>
      </c>
      <c r="L14" s="12"/>
      <c r="M14" s="18" t="s">
        <v>50</v>
      </c>
      <c r="N14" s="56">
        <v>20</v>
      </c>
      <c r="O14" s="56"/>
      <c r="P14" s="56">
        <v>20</v>
      </c>
      <c r="Q14" s="117"/>
      <c r="R14" s="115">
        <v>97000</v>
      </c>
      <c r="S14" s="53">
        <v>0.5</v>
      </c>
      <c r="T14" s="86">
        <f>ROUND((S14*R14*N14),0)</f>
        <v>970000</v>
      </c>
      <c r="U14" s="140"/>
      <c r="V14" s="140"/>
      <c r="W14" s="90"/>
      <c r="X14" s="37"/>
      <c r="Y14" s="37"/>
      <c r="Z14" s="89"/>
      <c r="AA14" s="83"/>
      <c r="AB14" s="83"/>
      <c r="AC14" s="83"/>
      <c r="AD14" s="17"/>
      <c r="AE14" s="84"/>
    </row>
    <row r="15" spans="1:31" ht="15" customHeight="1" outlineLevel="1" x14ac:dyDescent="0.35">
      <c r="A15" s="91"/>
      <c r="B15" s="10"/>
      <c r="C15" s="15"/>
      <c r="D15" s="124"/>
      <c r="E15" s="56"/>
      <c r="F15" s="56"/>
      <c r="G15" s="12"/>
      <c r="H15" s="81"/>
      <c r="I15" s="19"/>
      <c r="J15" s="19"/>
      <c r="K15" s="18" t="s">
        <v>47</v>
      </c>
      <c r="L15" s="59" t="s">
        <v>95</v>
      </c>
      <c r="M15" s="18" t="s">
        <v>48</v>
      </c>
      <c r="N15" s="56">
        <v>16</v>
      </c>
      <c r="O15" s="56">
        <v>25</v>
      </c>
      <c r="P15" s="56">
        <f>O15*N15</f>
        <v>400</v>
      </c>
      <c r="Q15" s="117"/>
      <c r="R15" s="148">
        <v>3850000</v>
      </c>
      <c r="S15" s="53">
        <v>0.5</v>
      </c>
      <c r="T15" s="86">
        <f>ROUND((S15*R15*N15),0)</f>
        <v>30800000</v>
      </c>
      <c r="U15" s="138"/>
      <c r="V15" s="138"/>
      <c r="W15" s="92"/>
      <c r="X15" s="37"/>
      <c r="Y15" s="37"/>
      <c r="Z15" s="89"/>
      <c r="AA15" s="83"/>
      <c r="AB15" s="83"/>
      <c r="AC15" s="84"/>
      <c r="AD15" s="17"/>
      <c r="AE15" s="84"/>
    </row>
    <row r="16" spans="1:31" ht="15" customHeight="1" outlineLevel="1" x14ac:dyDescent="0.35">
      <c r="A16" s="91"/>
      <c r="B16" s="10"/>
      <c r="C16" s="15"/>
      <c r="D16" s="124"/>
      <c r="E16" s="56"/>
      <c r="F16" s="56"/>
      <c r="G16" s="12"/>
      <c r="H16" s="81"/>
      <c r="I16" s="19"/>
      <c r="J16" s="19"/>
      <c r="K16" s="18" t="s">
        <v>47</v>
      </c>
      <c r="L16" s="59" t="s">
        <v>91</v>
      </c>
      <c r="M16" s="18" t="s">
        <v>48</v>
      </c>
      <c r="N16" s="56">
        <v>33</v>
      </c>
      <c r="O16" s="56">
        <v>25</v>
      </c>
      <c r="P16" s="56">
        <f>O16*N16</f>
        <v>825</v>
      </c>
      <c r="Q16" s="117"/>
      <c r="R16" s="115">
        <v>3750000</v>
      </c>
      <c r="S16" s="53">
        <v>0.5</v>
      </c>
      <c r="T16" s="86">
        <f t="shared" ref="T16" si="14">ROUND((S16*R16*N16),0)</f>
        <v>61875000</v>
      </c>
      <c r="U16" s="138"/>
      <c r="V16" s="138"/>
      <c r="W16" s="92"/>
      <c r="X16" s="37"/>
      <c r="Y16" s="37"/>
      <c r="Z16" s="89"/>
      <c r="AA16" s="83"/>
      <c r="AB16" s="83"/>
      <c r="AC16" s="84"/>
      <c r="AD16" s="17"/>
      <c r="AE16" s="84"/>
    </row>
    <row r="17" spans="1:31" ht="15" customHeight="1" outlineLevel="1" x14ac:dyDescent="0.35">
      <c r="A17" s="54">
        <v>77</v>
      </c>
      <c r="B17" s="48" t="s">
        <v>122</v>
      </c>
      <c r="C17" s="36" t="s">
        <v>123</v>
      </c>
      <c r="D17" s="54">
        <v>2400</v>
      </c>
      <c r="E17" s="25">
        <v>672</v>
      </c>
      <c r="F17" s="25" t="s">
        <v>31</v>
      </c>
      <c r="G17" s="25" t="s">
        <v>51</v>
      </c>
      <c r="H17" s="21">
        <f t="shared" ref="H17" si="15">E17/D17</f>
        <v>0.28000000000000003</v>
      </c>
      <c r="I17" s="22">
        <v>125000</v>
      </c>
      <c r="J17" s="23">
        <f t="shared" ref="J17" si="16">+I17*E17</f>
        <v>84000000</v>
      </c>
      <c r="K17" s="24"/>
      <c r="L17" s="25"/>
      <c r="M17" s="27"/>
      <c r="N17" s="128"/>
      <c r="O17" s="54"/>
      <c r="P17" s="130"/>
      <c r="Q17" s="155"/>
      <c r="R17" s="112"/>
      <c r="S17" s="65" t="s">
        <v>33</v>
      </c>
      <c r="T17" s="26"/>
      <c r="U17" s="26"/>
      <c r="V17" s="26"/>
      <c r="W17" s="26"/>
      <c r="X17" s="27">
        <v>4</v>
      </c>
      <c r="Y17" s="26">
        <f t="shared" ref="Y17" si="17">IF(H17&gt;=70%,17000*30*12,IF(H17&gt;=30%,17000*30*6,IF(H17&gt;=20%,17000*30*5,IF(H17&gt;=10%,17000*30*3,17000*30*2))))</f>
        <v>2550000</v>
      </c>
      <c r="Z17" s="26">
        <f t="shared" ref="Z17" si="18">Y17*X17</f>
        <v>10200000</v>
      </c>
      <c r="AA17" s="26">
        <f>E17*125000*3</f>
        <v>252000000</v>
      </c>
      <c r="AB17" s="26">
        <f t="shared" ref="AB17" si="19">30000*E17</f>
        <v>20160000</v>
      </c>
      <c r="AC17" s="26">
        <f t="shared" ref="AC17" si="20">AB17+AA17+Z17+W17+J17</f>
        <v>366360000</v>
      </c>
      <c r="AD17" s="26">
        <f>15000*E17</f>
        <v>10080000</v>
      </c>
      <c r="AE17" s="28">
        <f t="shared" ref="AE17" si="21">AD17+AC17</f>
        <v>376440000</v>
      </c>
    </row>
    <row r="18" spans="1:31" ht="15" customHeight="1" outlineLevel="1" x14ac:dyDescent="0.35">
      <c r="A18" s="29"/>
      <c r="B18" s="49" t="s">
        <v>124</v>
      </c>
      <c r="C18" s="30"/>
      <c r="D18" s="120"/>
      <c r="E18" s="30"/>
      <c r="F18" s="31"/>
      <c r="G18" s="31"/>
      <c r="H18" s="31"/>
      <c r="I18" s="32"/>
      <c r="J18" s="33"/>
      <c r="K18" s="34"/>
      <c r="L18" s="35"/>
      <c r="M18" s="66"/>
      <c r="N18" s="120"/>
      <c r="O18" s="31"/>
      <c r="P18" s="132"/>
      <c r="Q18" s="156"/>
      <c r="R18" s="113"/>
      <c r="S18" s="67" t="s">
        <v>33</v>
      </c>
      <c r="T18" s="68"/>
      <c r="U18" s="68"/>
      <c r="V18" s="68"/>
      <c r="W18" s="69"/>
      <c r="X18" s="66"/>
      <c r="Y18" s="69"/>
      <c r="Z18" s="69"/>
      <c r="AA18" s="69"/>
      <c r="AB18" s="69"/>
      <c r="AC18" s="69"/>
      <c r="AD18" s="69"/>
      <c r="AE18" s="69"/>
    </row>
    <row r="19" spans="1:31" ht="15" customHeight="1" outlineLevel="1" x14ac:dyDescent="0.35">
      <c r="A19" s="54">
        <v>16</v>
      </c>
      <c r="B19" s="48" t="s">
        <v>125</v>
      </c>
      <c r="C19" s="36" t="s">
        <v>123</v>
      </c>
      <c r="D19" s="54">
        <v>1440</v>
      </c>
      <c r="E19" s="25">
        <v>528</v>
      </c>
      <c r="F19" s="25" t="s">
        <v>31</v>
      </c>
      <c r="G19" s="25" t="s">
        <v>52</v>
      </c>
      <c r="H19" s="21">
        <f t="shared" ref="H19" si="22">E19/D19</f>
        <v>0.36666666666666664</v>
      </c>
      <c r="I19" s="22">
        <v>125000</v>
      </c>
      <c r="J19" s="23">
        <f t="shared" ref="J19" si="23">+I19*E19</f>
        <v>66000000</v>
      </c>
      <c r="K19" s="24"/>
      <c r="L19" s="25"/>
      <c r="M19" s="27"/>
      <c r="N19" s="128"/>
      <c r="O19" s="54"/>
      <c r="P19" s="54"/>
      <c r="Q19" s="155"/>
      <c r="R19" s="112"/>
      <c r="S19" s="65" t="s">
        <v>33</v>
      </c>
      <c r="T19" s="26"/>
      <c r="U19" s="26"/>
      <c r="V19" s="26"/>
      <c r="W19" s="26"/>
      <c r="X19" s="27">
        <v>4</v>
      </c>
      <c r="Y19" s="26">
        <f t="shared" ref="Y19" si="24">IF(H19&gt;=70%,17000*30*12,IF(H19&gt;=30%,17000*30*6,IF(H19&gt;=20%,17000*30*5,IF(H19&gt;=10%,17000*30*3,17000*30*2))))</f>
        <v>3060000</v>
      </c>
      <c r="Z19" s="26">
        <f t="shared" ref="Z19" si="25">Y19*X19</f>
        <v>12240000</v>
      </c>
      <c r="AA19" s="26">
        <f>E19*125000*3</f>
        <v>198000000</v>
      </c>
      <c r="AB19" s="26">
        <f t="shared" ref="AB19" si="26">30000*E19</f>
        <v>15840000</v>
      </c>
      <c r="AC19" s="26">
        <f t="shared" ref="AC19" si="27">AB19+AA19+Z19+W19+J19</f>
        <v>292080000</v>
      </c>
      <c r="AD19" s="26">
        <f>15000*E19</f>
        <v>7920000</v>
      </c>
      <c r="AE19" s="28">
        <f t="shared" ref="AE19" si="28">AD19+AC19</f>
        <v>300000000</v>
      </c>
    </row>
    <row r="20" spans="1:31" ht="15" customHeight="1" outlineLevel="1" x14ac:dyDescent="0.35">
      <c r="A20" s="29"/>
      <c r="B20" s="49" t="s">
        <v>126</v>
      </c>
      <c r="C20" s="30"/>
      <c r="D20" s="120"/>
      <c r="E20" s="30"/>
      <c r="F20" s="31"/>
      <c r="G20" s="31"/>
      <c r="H20" s="31"/>
      <c r="I20" s="32"/>
      <c r="J20" s="33"/>
      <c r="K20" s="34"/>
      <c r="L20" s="35"/>
      <c r="M20" s="66"/>
      <c r="N20" s="120"/>
      <c r="O20" s="31"/>
      <c r="P20" s="30"/>
      <c r="Q20" s="156"/>
      <c r="R20" s="113"/>
      <c r="S20" s="67" t="s">
        <v>33</v>
      </c>
      <c r="T20" s="68"/>
      <c r="U20" s="68"/>
      <c r="V20" s="68"/>
      <c r="W20" s="69"/>
      <c r="X20" s="66"/>
      <c r="Y20" s="69"/>
      <c r="Z20" s="69"/>
      <c r="AA20" s="69"/>
      <c r="AB20" s="69"/>
      <c r="AC20" s="69"/>
      <c r="AD20" s="69"/>
      <c r="AE20" s="69"/>
    </row>
    <row r="21" spans="1:31" ht="15" customHeight="1" outlineLevel="1" x14ac:dyDescent="0.35">
      <c r="A21" s="55" t="s">
        <v>53</v>
      </c>
      <c r="B21" s="36"/>
      <c r="C21" s="36" t="s">
        <v>123</v>
      </c>
      <c r="D21" s="122"/>
      <c r="E21" s="55">
        <v>1200</v>
      </c>
      <c r="F21" s="55">
        <v>50</v>
      </c>
      <c r="G21" s="20" t="s">
        <v>54</v>
      </c>
      <c r="H21" s="70"/>
      <c r="I21" s="51"/>
      <c r="J21" s="71"/>
      <c r="K21" s="72"/>
      <c r="L21" s="72"/>
      <c r="M21" s="50"/>
      <c r="N21" s="97"/>
      <c r="O21" s="97"/>
      <c r="P21" s="97"/>
      <c r="Q21" s="157"/>
      <c r="R21" s="145"/>
      <c r="S21" s="73"/>
      <c r="T21" s="74"/>
      <c r="U21" s="135">
        <f>T23</f>
        <v>4151892</v>
      </c>
      <c r="V21" s="135">
        <f>T29</f>
        <v>285350000</v>
      </c>
      <c r="W21" s="74"/>
      <c r="X21" s="65"/>
      <c r="Y21" s="65"/>
      <c r="Z21" s="75"/>
      <c r="AA21" s="76">
        <f>Z23</f>
        <v>0</v>
      </c>
      <c r="AB21" s="76">
        <f>Z29</f>
        <v>0</v>
      </c>
      <c r="AC21" s="76">
        <f>AB21+AA21</f>
        <v>0</v>
      </c>
      <c r="AD21" s="50"/>
      <c r="AE21" s="77"/>
    </row>
    <row r="22" spans="1:31" ht="60" outlineLevel="1" x14ac:dyDescent="0.35">
      <c r="A22" s="8"/>
      <c r="B22" s="1" t="s">
        <v>127</v>
      </c>
      <c r="C22" s="2"/>
      <c r="D22" s="123"/>
      <c r="E22" s="3"/>
      <c r="F22" s="4"/>
      <c r="G22" s="5"/>
      <c r="H22" s="6"/>
      <c r="I22" s="7"/>
      <c r="J22" s="4"/>
      <c r="K22" s="14" t="s">
        <v>36</v>
      </c>
      <c r="L22" s="8"/>
      <c r="M22" s="57"/>
      <c r="N22" s="4"/>
      <c r="O22" s="4"/>
      <c r="P22" s="3">
        <f>E21</f>
        <v>1200</v>
      </c>
      <c r="Q22" s="158"/>
      <c r="R22" s="146"/>
      <c r="S22" s="13"/>
      <c r="T22" s="93">
        <f>SUM(T23+T29)</f>
        <v>289501892</v>
      </c>
      <c r="U22" s="136"/>
      <c r="V22" s="136"/>
      <c r="W22" s="78"/>
      <c r="X22" s="79"/>
      <c r="Y22" s="6"/>
      <c r="Z22" s="9"/>
      <c r="AA22" s="80"/>
      <c r="AB22" s="80"/>
      <c r="AC22" s="80"/>
      <c r="AD22" s="57"/>
      <c r="AE22" s="80"/>
    </row>
    <row r="23" spans="1:31" ht="15" customHeight="1" outlineLevel="1" x14ac:dyDescent="0.35">
      <c r="A23" s="11"/>
      <c r="B23" s="10" t="s">
        <v>104</v>
      </c>
      <c r="C23" s="11"/>
      <c r="D23" s="124"/>
      <c r="E23" s="56"/>
      <c r="F23" s="56"/>
      <c r="G23" s="12"/>
      <c r="H23" s="81"/>
      <c r="I23" s="19"/>
      <c r="J23" s="14"/>
      <c r="K23" s="8" t="s">
        <v>37</v>
      </c>
      <c r="L23" s="12"/>
      <c r="M23" s="17"/>
      <c r="N23" s="56"/>
      <c r="O23" s="56"/>
      <c r="P23" s="3">
        <v>0</v>
      </c>
      <c r="Q23" s="117"/>
      <c r="R23" s="147"/>
      <c r="S23" s="13"/>
      <c r="T23" s="94">
        <f>SUBTOTAL(9,T24:T28)</f>
        <v>4151892</v>
      </c>
      <c r="U23" s="136"/>
      <c r="V23" s="137"/>
      <c r="W23" s="14"/>
      <c r="X23" s="37"/>
      <c r="Y23" s="37"/>
      <c r="Z23" s="82"/>
      <c r="AA23" s="83"/>
      <c r="AB23" s="83"/>
      <c r="AC23" s="83"/>
      <c r="AD23" s="17"/>
      <c r="AE23" s="84"/>
    </row>
    <row r="24" spans="1:31" ht="15" customHeight="1" outlineLevel="1" x14ac:dyDescent="0.35">
      <c r="A24" s="11"/>
      <c r="B24" s="10"/>
      <c r="C24" s="15"/>
      <c r="D24" s="124"/>
      <c r="E24" s="56"/>
      <c r="F24" s="56"/>
      <c r="G24" s="12"/>
      <c r="H24" s="81"/>
      <c r="I24" s="19"/>
      <c r="J24" s="19"/>
      <c r="K24" s="12" t="s">
        <v>55</v>
      </c>
      <c r="L24" s="16" t="s">
        <v>99</v>
      </c>
      <c r="M24" s="17" t="s">
        <v>45</v>
      </c>
      <c r="N24" s="56">
        <f>39*1.173*1.5</f>
        <v>68.620499999999993</v>
      </c>
      <c r="O24" s="56"/>
      <c r="P24" s="56"/>
      <c r="Q24" s="117"/>
      <c r="R24" s="115">
        <f>20500*1.1</f>
        <v>22550.000000000004</v>
      </c>
      <c r="S24" s="53">
        <v>0.1</v>
      </c>
      <c r="T24" s="86">
        <f>ROUND((S24*R24*N24),0)</f>
        <v>154739</v>
      </c>
      <c r="U24" s="138"/>
      <c r="V24" s="138"/>
      <c r="W24" s="87"/>
      <c r="X24" s="88"/>
      <c r="Y24" s="37"/>
      <c r="Z24" s="89"/>
      <c r="AA24" s="84"/>
      <c r="AB24" s="84"/>
      <c r="AC24" s="84"/>
      <c r="AD24" s="17"/>
      <c r="AE24" s="84"/>
    </row>
    <row r="25" spans="1:31" ht="15" customHeight="1" outlineLevel="1" x14ac:dyDescent="0.35">
      <c r="A25" s="11"/>
      <c r="B25" s="10"/>
      <c r="C25" s="11"/>
      <c r="D25" s="124"/>
      <c r="E25" s="56"/>
      <c r="F25" s="56"/>
      <c r="G25" s="12"/>
      <c r="H25" s="81"/>
      <c r="I25" s="19"/>
      <c r="J25" s="19"/>
      <c r="K25" s="12" t="s">
        <v>41</v>
      </c>
      <c r="L25" s="12" t="s">
        <v>56</v>
      </c>
      <c r="M25" s="17" t="s">
        <v>43</v>
      </c>
      <c r="N25" s="56">
        <v>50</v>
      </c>
      <c r="O25" s="56"/>
      <c r="P25" s="56"/>
      <c r="Q25" s="53"/>
      <c r="R25" s="115">
        <f xml:space="preserve"> 90756 *1.037</f>
        <v>94113.971999999994</v>
      </c>
      <c r="S25" s="53">
        <v>0.1</v>
      </c>
      <c r="T25" s="86">
        <f>ROUND((S25*R25*N25),0)</f>
        <v>470570</v>
      </c>
      <c r="U25" s="138"/>
      <c r="V25" s="138"/>
      <c r="W25" s="87"/>
      <c r="X25" s="88"/>
      <c r="Y25" s="37"/>
      <c r="Z25" s="89"/>
      <c r="AA25" s="83"/>
      <c r="AB25" s="83"/>
      <c r="AC25" s="83"/>
      <c r="AD25" s="17"/>
      <c r="AE25" s="84"/>
    </row>
    <row r="26" spans="1:31" ht="15" customHeight="1" outlineLevel="1" x14ac:dyDescent="0.35">
      <c r="A26" s="11"/>
      <c r="B26" s="10"/>
      <c r="C26" s="11"/>
      <c r="D26" s="124"/>
      <c r="E26" s="56"/>
      <c r="F26" s="56"/>
      <c r="G26" s="12"/>
      <c r="H26" s="81"/>
      <c r="I26" s="19"/>
      <c r="J26" s="19"/>
      <c r="K26" s="12" t="s">
        <v>57</v>
      </c>
      <c r="L26" s="12" t="s">
        <v>66</v>
      </c>
      <c r="M26" s="17" t="s">
        <v>43</v>
      </c>
      <c r="N26" s="58">
        <v>150</v>
      </c>
      <c r="O26" s="56"/>
      <c r="P26" s="118"/>
      <c r="Q26" s="53"/>
      <c r="R26" s="115">
        <f xml:space="preserve"> 41300*1.1</f>
        <v>45430.000000000007</v>
      </c>
      <c r="S26" s="53">
        <v>0.1</v>
      </c>
      <c r="T26" s="86">
        <f t="shared" ref="T26:T27" si="29">ROUND((S26*R26*N26),0)</f>
        <v>681450</v>
      </c>
      <c r="U26" s="138"/>
      <c r="V26" s="138"/>
      <c r="W26" s="87"/>
      <c r="X26" s="88"/>
      <c r="Y26" s="37"/>
      <c r="Z26" s="89"/>
      <c r="AA26" s="83"/>
      <c r="AB26" s="83"/>
      <c r="AC26" s="83"/>
      <c r="AD26" s="17"/>
      <c r="AE26" s="84"/>
    </row>
    <row r="27" spans="1:31" ht="15" customHeight="1" outlineLevel="1" x14ac:dyDescent="0.35">
      <c r="A27" s="11"/>
      <c r="B27" s="10"/>
      <c r="C27" s="11"/>
      <c r="D27" s="124"/>
      <c r="E27" s="56"/>
      <c r="F27" s="56"/>
      <c r="G27" s="12"/>
      <c r="H27" s="81"/>
      <c r="I27" s="19"/>
      <c r="J27" s="19"/>
      <c r="K27" s="12" t="s">
        <v>59</v>
      </c>
      <c r="L27" s="12" t="s">
        <v>60</v>
      </c>
      <c r="M27" s="17" t="s">
        <v>43</v>
      </c>
      <c r="N27" s="58">
        <v>110</v>
      </c>
      <c r="O27" s="56"/>
      <c r="P27" s="118"/>
      <c r="Q27" s="37"/>
      <c r="R27" s="115">
        <f>22100*1.1</f>
        <v>24310.000000000004</v>
      </c>
      <c r="S27" s="53">
        <v>0.1</v>
      </c>
      <c r="T27" s="86">
        <f t="shared" si="29"/>
        <v>267410</v>
      </c>
      <c r="U27" s="138"/>
      <c r="V27" s="138"/>
      <c r="W27" s="87"/>
      <c r="X27" s="88"/>
      <c r="Y27" s="37"/>
      <c r="Z27" s="89"/>
      <c r="AA27" s="83"/>
      <c r="AB27" s="83"/>
      <c r="AC27" s="83"/>
      <c r="AD27" s="17"/>
      <c r="AE27" s="84"/>
    </row>
    <row r="28" spans="1:31" ht="15" customHeight="1" outlineLevel="1" x14ac:dyDescent="0.35">
      <c r="A28" s="11"/>
      <c r="B28" s="10"/>
      <c r="C28" s="15"/>
      <c r="D28" s="124"/>
      <c r="E28" s="56"/>
      <c r="F28" s="56"/>
      <c r="G28" s="12"/>
      <c r="H28" s="81"/>
      <c r="I28" s="19"/>
      <c r="J28" s="19"/>
      <c r="K28" s="12" t="s">
        <v>61</v>
      </c>
      <c r="L28" s="12" t="s">
        <v>101</v>
      </c>
      <c r="M28" s="17" t="s">
        <v>45</v>
      </c>
      <c r="N28" s="56">
        <f>1.8*195*3.06</f>
        <v>1074.06</v>
      </c>
      <c r="O28" s="56"/>
      <c r="P28" s="56"/>
      <c r="Q28" s="159"/>
      <c r="R28" s="115">
        <v>23999.800000000003</v>
      </c>
      <c r="S28" s="37">
        <v>0.1</v>
      </c>
      <c r="T28" s="86">
        <f>ROUND((S28*R28*N28),0)</f>
        <v>2577723</v>
      </c>
      <c r="U28" s="139"/>
      <c r="V28" s="138"/>
      <c r="W28" s="87"/>
      <c r="X28" s="88"/>
      <c r="Y28" s="37"/>
      <c r="Z28" s="89"/>
      <c r="AA28" s="84"/>
      <c r="AB28" s="84"/>
      <c r="AC28" s="84"/>
      <c r="AD28" s="17"/>
      <c r="AE28" s="84"/>
    </row>
    <row r="29" spans="1:31" ht="15" customHeight="1" outlineLevel="1" x14ac:dyDescent="0.35">
      <c r="A29" s="11"/>
      <c r="B29" s="10"/>
      <c r="C29" s="11"/>
      <c r="D29" s="124"/>
      <c r="E29" s="56"/>
      <c r="F29" s="56"/>
      <c r="G29" s="12"/>
      <c r="H29" s="81"/>
      <c r="I29" s="19"/>
      <c r="J29" s="14"/>
      <c r="K29" s="8" t="s">
        <v>46</v>
      </c>
      <c r="L29" s="12"/>
      <c r="M29" s="17"/>
      <c r="N29" s="56"/>
      <c r="O29" s="56"/>
      <c r="P29" s="3">
        <f>P22</f>
        <v>1200</v>
      </c>
      <c r="Q29" s="117"/>
      <c r="R29" s="147"/>
      <c r="S29" s="13"/>
      <c r="T29" s="94">
        <f>SUBTOTAL(9,T30:T33)</f>
        <v>285350000</v>
      </c>
      <c r="U29" s="136"/>
      <c r="V29" s="137"/>
      <c r="W29" s="14"/>
      <c r="X29" s="88"/>
      <c r="Y29" s="37"/>
      <c r="Z29" s="82"/>
      <c r="AA29" s="83"/>
      <c r="AB29" s="83"/>
      <c r="AC29" s="83"/>
      <c r="AD29" s="17"/>
      <c r="AE29" s="84"/>
    </row>
    <row r="30" spans="1:31" ht="15" customHeight="1" outlineLevel="1" x14ac:dyDescent="0.35">
      <c r="A30" s="91"/>
      <c r="B30" s="10"/>
      <c r="C30" s="15"/>
      <c r="D30" s="124"/>
      <c r="E30" s="56"/>
      <c r="F30" s="56"/>
      <c r="G30" s="12"/>
      <c r="H30" s="81"/>
      <c r="I30" s="19"/>
      <c r="J30" s="19"/>
      <c r="K30" s="18" t="s">
        <v>62</v>
      </c>
      <c r="L30" s="59" t="s">
        <v>98</v>
      </c>
      <c r="M30" s="18" t="s">
        <v>48</v>
      </c>
      <c r="N30" s="56">
        <v>2167</v>
      </c>
      <c r="O30" s="56">
        <v>0.4</v>
      </c>
      <c r="P30" s="56">
        <f>+N30*O30</f>
        <v>866.80000000000007</v>
      </c>
      <c r="Q30" s="117"/>
      <c r="R30" s="149">
        <v>200000</v>
      </c>
      <c r="S30" s="37">
        <v>0.5</v>
      </c>
      <c r="T30" s="87">
        <f>ROUND(S30*R30*N30,0)</f>
        <v>216700000</v>
      </c>
      <c r="U30" s="138"/>
      <c r="V30" s="138"/>
      <c r="W30" s="92"/>
      <c r="X30" s="37"/>
      <c r="Y30" s="37"/>
      <c r="Z30" s="89"/>
      <c r="AA30" s="83"/>
      <c r="AB30" s="83"/>
      <c r="AC30" s="84"/>
      <c r="AD30" s="17"/>
      <c r="AE30" s="84"/>
    </row>
    <row r="31" spans="1:31" ht="15" customHeight="1" outlineLevel="1" x14ac:dyDescent="0.35">
      <c r="A31" s="91"/>
      <c r="B31" s="10"/>
      <c r="C31" s="15"/>
      <c r="D31" s="124"/>
      <c r="E31" s="56"/>
      <c r="F31" s="56"/>
      <c r="G31" s="12"/>
      <c r="H31" s="81"/>
      <c r="I31" s="19"/>
      <c r="J31" s="19"/>
      <c r="K31" s="18" t="s">
        <v>62</v>
      </c>
      <c r="L31" s="59" t="s">
        <v>97</v>
      </c>
      <c r="M31" s="18" t="s">
        <v>48</v>
      </c>
      <c r="N31" s="56">
        <f>P31/O31</f>
        <v>832.99999999999977</v>
      </c>
      <c r="O31" s="56">
        <v>0.4</v>
      </c>
      <c r="P31" s="56">
        <f>P29-P30</f>
        <v>333.19999999999993</v>
      </c>
      <c r="Q31" s="117"/>
      <c r="R31" s="150">
        <v>100000</v>
      </c>
      <c r="S31" s="53">
        <v>0.5</v>
      </c>
      <c r="T31" s="86">
        <f t="shared" ref="T31" si="30">ROUND((S31*R31*N31),0)</f>
        <v>41650000</v>
      </c>
      <c r="U31" s="138"/>
      <c r="V31" s="138"/>
      <c r="W31" s="92"/>
      <c r="X31" s="37"/>
      <c r="Y31" s="37"/>
      <c r="Z31" s="89"/>
      <c r="AA31" s="83"/>
      <c r="AB31" s="83"/>
      <c r="AC31" s="84"/>
      <c r="AD31" s="17"/>
      <c r="AE31" s="84"/>
    </row>
    <row r="32" spans="1:31" ht="15" customHeight="1" outlineLevel="1" x14ac:dyDescent="0.35">
      <c r="A32" s="91"/>
      <c r="B32" s="10"/>
      <c r="C32" s="15"/>
      <c r="D32" s="124"/>
      <c r="E32" s="56"/>
      <c r="F32" s="56"/>
      <c r="G32" s="12"/>
      <c r="H32" s="81"/>
      <c r="I32" s="19"/>
      <c r="J32" s="19"/>
      <c r="K32" s="18" t="s">
        <v>100</v>
      </c>
      <c r="L32" s="59" t="s">
        <v>97</v>
      </c>
      <c r="M32" s="18" t="s">
        <v>48</v>
      </c>
      <c r="N32" s="56">
        <f>P32/O32</f>
        <v>900</v>
      </c>
      <c r="O32" s="56">
        <v>0.4</v>
      </c>
      <c r="P32" s="56">
        <f>0.3*P29</f>
        <v>360</v>
      </c>
      <c r="Q32" s="117"/>
      <c r="R32" s="150">
        <v>100000</v>
      </c>
      <c r="S32" s="53">
        <v>0.25</v>
      </c>
      <c r="T32" s="86">
        <f>ROUND((S32*R32*N32),0)</f>
        <v>22500000</v>
      </c>
      <c r="U32" s="138"/>
      <c r="V32" s="138"/>
      <c r="W32" s="92"/>
      <c r="X32" s="37"/>
      <c r="Y32" s="37"/>
      <c r="Z32" s="89"/>
      <c r="AA32" s="83"/>
      <c r="AB32" s="83"/>
      <c r="AC32" s="84"/>
      <c r="AD32" s="17"/>
      <c r="AE32" s="84"/>
    </row>
    <row r="33" spans="1:31" ht="15" customHeight="1" outlineLevel="1" x14ac:dyDescent="0.35">
      <c r="A33" s="11"/>
      <c r="B33" s="10"/>
      <c r="C33" s="11"/>
      <c r="D33" s="124"/>
      <c r="E33" s="56"/>
      <c r="F33" s="56"/>
      <c r="G33" s="12"/>
      <c r="H33" s="81"/>
      <c r="I33" s="19"/>
      <c r="J33" s="14"/>
      <c r="K33" s="12" t="s">
        <v>63</v>
      </c>
      <c r="L33" s="17" t="s">
        <v>64</v>
      </c>
      <c r="M33" s="18" t="s">
        <v>50</v>
      </c>
      <c r="N33" s="56">
        <v>450</v>
      </c>
      <c r="O33" s="56"/>
      <c r="P33" s="56">
        <f>N33</f>
        <v>450</v>
      </c>
      <c r="Q33" s="117"/>
      <c r="R33" s="115">
        <v>20000</v>
      </c>
      <c r="S33" s="53">
        <v>0.5</v>
      </c>
      <c r="T33" s="86">
        <f>ROUND((S33*R33*N33),0)</f>
        <v>4500000</v>
      </c>
      <c r="U33" s="140"/>
      <c r="V33" s="140"/>
      <c r="W33" s="90"/>
      <c r="X33" s="37"/>
      <c r="Y33" s="37"/>
      <c r="Z33" s="89"/>
      <c r="AA33" s="83"/>
      <c r="AB33" s="83"/>
      <c r="AC33" s="83"/>
      <c r="AD33" s="17"/>
      <c r="AE33" s="84"/>
    </row>
    <row r="34" spans="1:31" s="47" customFormat="1" ht="15" customHeight="1" x14ac:dyDescent="0.35">
      <c r="A34" s="63">
        <v>2</v>
      </c>
      <c r="B34" s="64"/>
      <c r="C34" s="64"/>
      <c r="D34" s="64"/>
      <c r="E34" s="64"/>
      <c r="F34" s="64"/>
      <c r="G34" s="64"/>
      <c r="H34" s="64"/>
      <c r="I34" s="64"/>
      <c r="J34" s="64"/>
      <c r="K34" s="64"/>
      <c r="L34" s="64"/>
      <c r="M34" s="64"/>
      <c r="N34" s="64"/>
      <c r="O34" s="64"/>
      <c r="P34" s="131"/>
      <c r="Q34" s="154"/>
      <c r="R34" s="144"/>
      <c r="S34" s="64"/>
      <c r="T34" s="131"/>
      <c r="U34" s="143"/>
      <c r="V34" s="143"/>
      <c r="W34" s="64"/>
      <c r="X34" s="64"/>
      <c r="Y34" s="64"/>
      <c r="Z34" s="64"/>
      <c r="AA34" s="64"/>
      <c r="AB34" s="64"/>
      <c r="AC34" s="64"/>
      <c r="AD34" s="64"/>
      <c r="AE34" s="64"/>
    </row>
    <row r="35" spans="1:31" ht="15" customHeight="1" outlineLevel="1" x14ac:dyDescent="0.35">
      <c r="A35" s="55">
        <v>89</v>
      </c>
      <c r="B35" s="36" t="s">
        <v>128</v>
      </c>
      <c r="C35" s="36" t="s">
        <v>128</v>
      </c>
      <c r="D35" s="122">
        <v>2880</v>
      </c>
      <c r="E35" s="55">
        <v>1008</v>
      </c>
      <c r="F35" s="55">
        <v>50</v>
      </c>
      <c r="G35" s="20" t="s">
        <v>70</v>
      </c>
      <c r="H35" s="21">
        <f>E35/D35</f>
        <v>0.35</v>
      </c>
      <c r="I35" s="22">
        <v>125000</v>
      </c>
      <c r="J35" s="23">
        <f>+I35*E35</f>
        <v>126000000</v>
      </c>
      <c r="K35" s="24"/>
      <c r="L35" s="25"/>
      <c r="M35" s="27"/>
      <c r="N35" s="128"/>
      <c r="O35" s="54"/>
      <c r="P35" s="54"/>
      <c r="Q35" s="155"/>
      <c r="R35" s="112"/>
      <c r="S35" s="65" t="s">
        <v>33</v>
      </c>
      <c r="T35" s="26"/>
      <c r="U35" s="26">
        <f>T37</f>
        <v>3706388</v>
      </c>
      <c r="V35" s="26">
        <f>T45</f>
        <v>35390000</v>
      </c>
      <c r="W35" s="26">
        <f>V35+U35</f>
        <v>39096388</v>
      </c>
      <c r="X35" s="27"/>
      <c r="Y35" s="26">
        <f>IF(H35&gt;=70%,17000*30*12,IF(H35&gt;=30%,17000*30*6,IF(H35&gt;=20%,17000*30*5,IF(H35&gt;=10%,17000*30*3,17000*30*2))))</f>
        <v>3060000</v>
      </c>
      <c r="Z35" s="26">
        <f>Y35*X35</f>
        <v>0</v>
      </c>
      <c r="AA35" s="26">
        <f>E35*125000*3</f>
        <v>378000000</v>
      </c>
      <c r="AB35" s="26">
        <f>30000*E35</f>
        <v>30240000</v>
      </c>
      <c r="AC35" s="26">
        <f>AB35+AA35+Z35+W35+J35</f>
        <v>573336388</v>
      </c>
      <c r="AD35" s="26">
        <f>15000*E35</f>
        <v>15120000</v>
      </c>
      <c r="AE35" s="28">
        <f>AD35+AC35</f>
        <v>588456388</v>
      </c>
    </row>
    <row r="36" spans="1:31" ht="15" customHeight="1" outlineLevel="1" x14ac:dyDescent="0.35">
      <c r="A36" s="29"/>
      <c r="B36" s="49" t="s">
        <v>129</v>
      </c>
      <c r="C36" s="30"/>
      <c r="D36" s="120"/>
      <c r="E36" s="30"/>
      <c r="F36" s="31"/>
      <c r="G36" s="31"/>
      <c r="H36" s="31"/>
      <c r="I36" s="32"/>
      <c r="J36" s="33"/>
      <c r="K36" s="34" t="s">
        <v>36</v>
      </c>
      <c r="L36" s="35"/>
      <c r="M36" s="66"/>
      <c r="N36" s="120"/>
      <c r="O36" s="101"/>
      <c r="P36" s="142">
        <f>E35</f>
        <v>1008</v>
      </c>
      <c r="Q36" s="41"/>
      <c r="R36" s="113"/>
      <c r="S36" s="67"/>
      <c r="T36" s="68">
        <f>SUM(T37+T45)</f>
        <v>39096388</v>
      </c>
      <c r="U36" s="68"/>
      <c r="V36" s="68"/>
      <c r="W36" s="69"/>
      <c r="X36" s="66"/>
      <c r="Y36" s="69"/>
      <c r="Z36" s="69"/>
      <c r="AA36" s="69"/>
      <c r="AB36" s="69"/>
      <c r="AC36" s="69"/>
      <c r="AD36" s="69"/>
      <c r="AE36" s="69"/>
    </row>
    <row r="37" spans="1:31" ht="15" customHeight="1" outlineLevel="1" x14ac:dyDescent="0.35">
      <c r="A37" s="11"/>
      <c r="B37" s="10"/>
      <c r="C37" s="11"/>
      <c r="D37" s="124"/>
      <c r="E37" s="56"/>
      <c r="F37" s="56"/>
      <c r="G37" s="12"/>
      <c r="H37" s="81"/>
      <c r="I37" s="19"/>
      <c r="J37" s="14"/>
      <c r="K37" s="8" t="s">
        <v>37</v>
      </c>
      <c r="L37" s="12"/>
      <c r="M37" s="17"/>
      <c r="N37" s="56"/>
      <c r="O37" s="56"/>
      <c r="P37" s="3"/>
      <c r="Q37" s="117"/>
      <c r="R37" s="147"/>
      <c r="S37" s="13"/>
      <c r="T37" s="93">
        <f>SUM(T38:T44)</f>
        <v>3706388</v>
      </c>
      <c r="U37" s="136"/>
      <c r="V37" s="137"/>
      <c r="W37" s="14"/>
      <c r="X37" s="37"/>
      <c r="Y37" s="37"/>
      <c r="Z37" s="82"/>
      <c r="AA37" s="83"/>
      <c r="AB37" s="83"/>
      <c r="AC37" s="83"/>
      <c r="AD37" s="17"/>
      <c r="AE37" s="84"/>
    </row>
    <row r="38" spans="1:31" ht="15" customHeight="1" outlineLevel="1" x14ac:dyDescent="0.35">
      <c r="A38" s="11"/>
      <c r="B38" s="10"/>
      <c r="C38" s="15"/>
      <c r="D38" s="124"/>
      <c r="E38" s="56"/>
      <c r="F38" s="56"/>
      <c r="G38" s="12"/>
      <c r="H38" s="81"/>
      <c r="I38" s="19"/>
      <c r="J38" s="19"/>
      <c r="K38" s="12" t="s">
        <v>71</v>
      </c>
      <c r="L38" s="12" t="s">
        <v>72</v>
      </c>
      <c r="M38" s="17" t="s">
        <v>50</v>
      </c>
      <c r="N38" s="56">
        <f>3*3</f>
        <v>9</v>
      </c>
      <c r="O38" s="56"/>
      <c r="P38" s="56">
        <v>9</v>
      </c>
      <c r="Q38" s="53">
        <v>0.2</v>
      </c>
      <c r="R38" s="115">
        <f>1773988*1.037</f>
        <v>1839625.5559999999</v>
      </c>
      <c r="S38" s="53">
        <v>0.1</v>
      </c>
      <c r="T38" s="85">
        <f>ROUND(N38*Q38*R38*S38,0)</f>
        <v>331133</v>
      </c>
      <c r="U38" s="138"/>
      <c r="V38" s="138"/>
      <c r="W38" s="87"/>
      <c r="X38" s="88"/>
      <c r="Y38" s="37"/>
      <c r="Z38" s="89"/>
      <c r="AA38" s="84"/>
      <c r="AB38" s="84"/>
      <c r="AC38" s="84"/>
      <c r="AD38" s="17"/>
      <c r="AE38" s="84"/>
    </row>
    <row r="39" spans="1:31" ht="15" customHeight="1" outlineLevel="1" x14ac:dyDescent="0.35">
      <c r="A39" s="11"/>
      <c r="B39" s="10"/>
      <c r="C39" s="15"/>
      <c r="D39" s="124"/>
      <c r="E39" s="56"/>
      <c r="F39" s="56"/>
      <c r="G39" s="12"/>
      <c r="H39" s="81"/>
      <c r="I39" s="19"/>
      <c r="J39" s="19"/>
      <c r="K39" s="12" t="s">
        <v>61</v>
      </c>
      <c r="L39" s="12" t="s">
        <v>73</v>
      </c>
      <c r="M39" s="17" t="s">
        <v>40</v>
      </c>
      <c r="N39" s="56">
        <f>200*1.5*2.55</f>
        <v>765</v>
      </c>
      <c r="O39" s="56"/>
      <c r="P39" s="56"/>
      <c r="Q39" s="37"/>
      <c r="R39" s="116">
        <v>23999.800000000003</v>
      </c>
      <c r="S39" s="37">
        <v>0.1</v>
      </c>
      <c r="T39" s="86">
        <f t="shared" ref="T39:T44" si="31">ROUND((S39*R39*N39),0)</f>
        <v>1835985</v>
      </c>
      <c r="U39" s="138"/>
      <c r="V39" s="138"/>
      <c r="W39" s="87"/>
      <c r="X39" s="88"/>
      <c r="Y39" s="37"/>
      <c r="Z39" s="89"/>
      <c r="AA39" s="84"/>
      <c r="AB39" s="84"/>
      <c r="AC39" s="84"/>
      <c r="AD39" s="17"/>
      <c r="AE39" s="84"/>
    </row>
    <row r="40" spans="1:31" ht="15" customHeight="1" outlineLevel="1" x14ac:dyDescent="0.35">
      <c r="A40" s="11"/>
      <c r="B40" s="10"/>
      <c r="C40" s="15"/>
      <c r="D40" s="124"/>
      <c r="E40" s="56"/>
      <c r="F40" s="56"/>
      <c r="G40" s="12"/>
      <c r="H40" s="81"/>
      <c r="I40" s="19"/>
      <c r="J40" s="19"/>
      <c r="K40" s="12" t="s">
        <v>93</v>
      </c>
      <c r="L40" s="12" t="s">
        <v>74</v>
      </c>
      <c r="M40" s="17" t="s">
        <v>40</v>
      </c>
      <c r="N40" s="56">
        <v>160</v>
      </c>
      <c r="O40" s="56"/>
      <c r="P40" s="56"/>
      <c r="Q40" s="37"/>
      <c r="R40" s="116">
        <v>21780</v>
      </c>
      <c r="S40" s="37">
        <v>0.1</v>
      </c>
      <c r="T40" s="86">
        <f t="shared" si="31"/>
        <v>348480</v>
      </c>
      <c r="U40" s="138"/>
      <c r="V40" s="138"/>
      <c r="W40" s="87"/>
      <c r="X40" s="88"/>
      <c r="Y40" s="37"/>
      <c r="Z40" s="89"/>
      <c r="AA40" s="84"/>
      <c r="AB40" s="84"/>
      <c r="AC40" s="84"/>
      <c r="AD40" s="17"/>
      <c r="AE40" s="84"/>
    </row>
    <row r="41" spans="1:31" ht="15" customHeight="1" outlineLevel="1" x14ac:dyDescent="0.35">
      <c r="A41" s="11"/>
      <c r="B41" s="10"/>
      <c r="C41" s="15"/>
      <c r="D41" s="124"/>
      <c r="E41" s="56"/>
      <c r="F41" s="56"/>
      <c r="G41" s="12"/>
      <c r="H41" s="81"/>
      <c r="I41" s="19"/>
      <c r="J41" s="19"/>
      <c r="K41" s="12" t="s">
        <v>75</v>
      </c>
      <c r="L41" s="12" t="s">
        <v>76</v>
      </c>
      <c r="M41" s="17" t="s">
        <v>40</v>
      </c>
      <c r="N41" s="56">
        <v>30</v>
      </c>
      <c r="O41" s="56"/>
      <c r="P41" s="56"/>
      <c r="Q41" s="37"/>
      <c r="R41" s="116">
        <v>67116.5</v>
      </c>
      <c r="S41" s="37">
        <v>0.1</v>
      </c>
      <c r="T41" s="86">
        <f t="shared" si="31"/>
        <v>201350</v>
      </c>
      <c r="U41" s="138"/>
      <c r="V41" s="138"/>
      <c r="W41" s="87"/>
      <c r="X41" s="88"/>
      <c r="Y41" s="37"/>
      <c r="Z41" s="89"/>
      <c r="AA41" s="84"/>
      <c r="AB41" s="84"/>
      <c r="AC41" s="84"/>
      <c r="AD41" s="17"/>
      <c r="AE41" s="84"/>
    </row>
    <row r="42" spans="1:31" ht="15" customHeight="1" outlineLevel="1" x14ac:dyDescent="0.35">
      <c r="A42" s="11"/>
      <c r="B42" s="10"/>
      <c r="C42" s="15"/>
      <c r="D42" s="124"/>
      <c r="E42" s="56"/>
      <c r="F42" s="56"/>
      <c r="G42" s="12"/>
      <c r="H42" s="81"/>
      <c r="I42" s="19"/>
      <c r="J42" s="19"/>
      <c r="K42" s="12" t="s">
        <v>41</v>
      </c>
      <c r="L42" s="12" t="s">
        <v>77</v>
      </c>
      <c r="M42" s="17" t="s">
        <v>43</v>
      </c>
      <c r="N42" s="56">
        <v>50</v>
      </c>
      <c r="O42" s="56"/>
      <c r="P42" s="56"/>
      <c r="Q42" s="37"/>
      <c r="R42" s="115">
        <f xml:space="preserve"> 90756 *1.037</f>
        <v>94113.971999999994</v>
      </c>
      <c r="S42" s="37">
        <v>0.1</v>
      </c>
      <c r="T42" s="86">
        <f>ROUND((S42*R42*N42),0)</f>
        <v>470570</v>
      </c>
      <c r="U42" s="138"/>
      <c r="V42" s="138"/>
      <c r="W42" s="87"/>
      <c r="X42" s="88"/>
      <c r="Y42" s="37"/>
      <c r="Z42" s="89"/>
      <c r="AA42" s="84"/>
      <c r="AB42" s="84"/>
      <c r="AC42" s="84"/>
      <c r="AD42" s="17"/>
      <c r="AE42" s="84"/>
    </row>
    <row r="43" spans="1:31" ht="15" customHeight="1" outlineLevel="1" x14ac:dyDescent="0.35">
      <c r="A43" s="11"/>
      <c r="B43" s="10"/>
      <c r="C43" s="15"/>
      <c r="D43" s="124"/>
      <c r="E43" s="56"/>
      <c r="F43" s="56"/>
      <c r="G43" s="12"/>
      <c r="H43" s="81"/>
      <c r="I43" s="19"/>
      <c r="J43" s="19"/>
      <c r="K43" s="12" t="s">
        <v>57</v>
      </c>
      <c r="L43" s="12" t="s">
        <v>58</v>
      </c>
      <c r="M43" s="17" t="s">
        <v>43</v>
      </c>
      <c r="N43" s="56">
        <v>50</v>
      </c>
      <c r="O43" s="56"/>
      <c r="P43" s="56"/>
      <c r="Q43" s="37"/>
      <c r="R43" s="115">
        <f xml:space="preserve"> 41300*1.1</f>
        <v>45430.000000000007</v>
      </c>
      <c r="S43" s="37">
        <v>0.1</v>
      </c>
      <c r="T43" s="86">
        <f t="shared" si="31"/>
        <v>227150</v>
      </c>
      <c r="U43" s="138"/>
      <c r="V43" s="138"/>
      <c r="W43" s="87"/>
      <c r="X43" s="88"/>
      <c r="Y43" s="37"/>
      <c r="Z43" s="89"/>
      <c r="AA43" s="84"/>
      <c r="AB43" s="84"/>
      <c r="AC43" s="84"/>
      <c r="AD43" s="17"/>
      <c r="AE43" s="84"/>
    </row>
    <row r="44" spans="1:31" ht="15" customHeight="1" outlineLevel="1" x14ac:dyDescent="0.35">
      <c r="A44" s="11"/>
      <c r="B44" s="10"/>
      <c r="C44" s="15"/>
      <c r="D44" s="124"/>
      <c r="E44" s="56"/>
      <c r="F44" s="56"/>
      <c r="G44" s="12"/>
      <c r="H44" s="81"/>
      <c r="I44" s="19"/>
      <c r="J44" s="19"/>
      <c r="K44" s="12" t="s">
        <v>59</v>
      </c>
      <c r="L44" s="12" t="s">
        <v>78</v>
      </c>
      <c r="M44" s="17" t="s">
        <v>43</v>
      </c>
      <c r="N44" s="56">
        <v>120</v>
      </c>
      <c r="O44" s="56"/>
      <c r="P44" s="56"/>
      <c r="Q44" s="37"/>
      <c r="R44" s="115">
        <f>22100*1.1</f>
        <v>24310.000000000004</v>
      </c>
      <c r="S44" s="37">
        <v>0.1</v>
      </c>
      <c r="T44" s="86">
        <f t="shared" si="31"/>
        <v>291720</v>
      </c>
      <c r="U44" s="138"/>
      <c r="V44" s="138"/>
      <c r="W44" s="87"/>
      <c r="X44" s="88"/>
      <c r="Y44" s="37"/>
      <c r="Z44" s="89"/>
      <c r="AA44" s="84"/>
      <c r="AB44" s="84"/>
      <c r="AC44" s="84"/>
      <c r="AD44" s="17"/>
      <c r="AE44" s="84"/>
    </row>
    <row r="45" spans="1:31" ht="15" customHeight="1" outlineLevel="1" x14ac:dyDescent="0.35">
      <c r="A45" s="11"/>
      <c r="B45" s="10"/>
      <c r="C45" s="11"/>
      <c r="D45" s="124"/>
      <c r="E45" s="56"/>
      <c r="F45" s="56"/>
      <c r="G45" s="12"/>
      <c r="H45" s="81"/>
      <c r="I45" s="19"/>
      <c r="J45" s="14"/>
      <c r="K45" s="8" t="s">
        <v>46</v>
      </c>
      <c r="L45" s="12"/>
      <c r="M45" s="17"/>
      <c r="N45" s="56"/>
      <c r="O45" s="56"/>
      <c r="P45" s="3">
        <f>P36-P38</f>
        <v>999</v>
      </c>
      <c r="Q45" s="117"/>
      <c r="R45" s="147"/>
      <c r="S45" s="13"/>
      <c r="T45" s="93">
        <f>SUM(T47:T50)</f>
        <v>35390000</v>
      </c>
      <c r="U45" s="136"/>
      <c r="V45" s="137"/>
      <c r="W45" s="14"/>
      <c r="X45" s="88"/>
      <c r="Y45" s="37"/>
      <c r="Z45" s="82"/>
      <c r="AA45" s="83"/>
      <c r="AB45" s="83"/>
      <c r="AC45" s="83"/>
      <c r="AD45" s="17"/>
      <c r="AE45" s="84"/>
    </row>
    <row r="46" spans="1:31" ht="15" customHeight="1" outlineLevel="1" x14ac:dyDescent="0.35">
      <c r="A46" s="11"/>
      <c r="B46" s="10"/>
      <c r="C46" s="11"/>
      <c r="D46" s="124"/>
      <c r="E46" s="56"/>
      <c r="F46" s="56"/>
      <c r="G46" s="12"/>
      <c r="H46" s="81"/>
      <c r="I46" s="19"/>
      <c r="J46" s="14"/>
      <c r="K46" s="12" t="s">
        <v>49</v>
      </c>
      <c r="L46" s="12" t="s">
        <v>79</v>
      </c>
      <c r="M46" s="18" t="s">
        <v>50</v>
      </c>
      <c r="N46" s="56">
        <v>100</v>
      </c>
      <c r="O46" s="56"/>
      <c r="P46" s="56">
        <f>N46</f>
        <v>100</v>
      </c>
      <c r="Q46" s="117"/>
      <c r="R46" s="115">
        <v>97000</v>
      </c>
      <c r="S46" s="37">
        <v>0.5</v>
      </c>
      <c r="T46" s="86">
        <f t="shared" ref="T46" si="32">ROUND((S46*R46*N46),0)</f>
        <v>4850000</v>
      </c>
      <c r="U46" s="140"/>
      <c r="V46" s="140"/>
      <c r="W46" s="90"/>
      <c r="X46" s="37"/>
      <c r="Y46" s="37"/>
      <c r="Z46" s="89"/>
      <c r="AA46" s="83"/>
      <c r="AB46" s="83"/>
      <c r="AC46" s="83"/>
      <c r="AD46" s="17"/>
      <c r="AE46" s="84"/>
    </row>
    <row r="47" spans="1:31" ht="15" customHeight="1" outlineLevel="1" x14ac:dyDescent="0.35">
      <c r="A47" s="91"/>
      <c r="B47" s="10"/>
      <c r="C47" s="15"/>
      <c r="D47" s="124"/>
      <c r="E47" s="56"/>
      <c r="F47" s="56"/>
      <c r="G47" s="12"/>
      <c r="H47" s="81"/>
      <c r="I47" s="19"/>
      <c r="J47" s="19"/>
      <c r="K47" s="18" t="s">
        <v>62</v>
      </c>
      <c r="L47" s="59" t="s">
        <v>98</v>
      </c>
      <c r="M47" s="18" t="s">
        <v>48</v>
      </c>
      <c r="N47" s="56">
        <v>100</v>
      </c>
      <c r="O47" s="56">
        <v>0.4</v>
      </c>
      <c r="P47" s="56">
        <f>N47*O47</f>
        <v>40</v>
      </c>
      <c r="Q47" s="117"/>
      <c r="R47" s="149">
        <v>200000</v>
      </c>
      <c r="S47" s="37">
        <v>0.25</v>
      </c>
      <c r="T47" s="86">
        <f t="shared" ref="T47:T50" si="33">ROUND((S47*R47*N47),0)</f>
        <v>5000000</v>
      </c>
      <c r="U47" s="138"/>
      <c r="V47" s="138"/>
      <c r="W47" s="92"/>
      <c r="X47" s="37"/>
      <c r="Y47" s="37"/>
      <c r="Z47" s="89"/>
      <c r="AA47" s="83"/>
      <c r="AB47" s="83"/>
      <c r="AC47" s="84"/>
      <c r="AD47" s="17"/>
      <c r="AE47" s="84"/>
    </row>
    <row r="48" spans="1:31" ht="15" customHeight="1" outlineLevel="1" x14ac:dyDescent="0.35">
      <c r="A48" s="91"/>
      <c r="B48" s="10"/>
      <c r="C48" s="15"/>
      <c r="D48" s="124"/>
      <c r="E48" s="56"/>
      <c r="F48" s="56"/>
      <c r="G48" s="12"/>
      <c r="H48" s="81"/>
      <c r="I48" s="19"/>
      <c r="J48" s="19"/>
      <c r="K48" s="18" t="s">
        <v>62</v>
      </c>
      <c r="L48" s="59" t="s">
        <v>97</v>
      </c>
      <c r="M48" s="18" t="s">
        <v>48</v>
      </c>
      <c r="N48" s="56">
        <v>150</v>
      </c>
      <c r="O48" s="56">
        <v>0.4</v>
      </c>
      <c r="P48" s="56">
        <f t="shared" ref="P48:P49" si="34">N48*O48</f>
        <v>60</v>
      </c>
      <c r="Q48" s="117"/>
      <c r="R48" s="150">
        <v>100000</v>
      </c>
      <c r="S48" s="37">
        <v>0.25</v>
      </c>
      <c r="T48" s="86">
        <f t="shared" si="33"/>
        <v>3750000</v>
      </c>
      <c r="U48" s="138"/>
      <c r="V48" s="138"/>
      <c r="W48" s="92"/>
      <c r="X48" s="37"/>
      <c r="Y48" s="37"/>
      <c r="Z48" s="89"/>
      <c r="AA48" s="83"/>
      <c r="AB48" s="83"/>
      <c r="AC48" s="84"/>
      <c r="AD48" s="17"/>
      <c r="AE48" s="84"/>
    </row>
    <row r="49" spans="1:31" ht="15" customHeight="1" outlineLevel="1" x14ac:dyDescent="0.35">
      <c r="A49" s="91"/>
      <c r="B49" s="10"/>
      <c r="C49" s="15"/>
      <c r="D49" s="124"/>
      <c r="E49" s="56"/>
      <c r="F49" s="56"/>
      <c r="G49" s="12"/>
      <c r="H49" s="81"/>
      <c r="I49" s="19"/>
      <c r="J49" s="19"/>
      <c r="K49" s="18" t="s">
        <v>47</v>
      </c>
      <c r="L49" s="59" t="s">
        <v>92</v>
      </c>
      <c r="M49" s="18" t="s">
        <v>48</v>
      </c>
      <c r="N49" s="56">
        <v>16</v>
      </c>
      <c r="O49" s="56">
        <v>25</v>
      </c>
      <c r="P49" s="56">
        <f t="shared" si="34"/>
        <v>400</v>
      </c>
      <c r="Q49" s="117"/>
      <c r="R49" s="151">
        <v>2700000</v>
      </c>
      <c r="S49" s="37">
        <v>0.5</v>
      </c>
      <c r="T49" s="86">
        <f t="shared" si="33"/>
        <v>21600000</v>
      </c>
      <c r="U49" s="138"/>
      <c r="V49" s="138"/>
      <c r="W49" s="92"/>
      <c r="X49" s="37"/>
      <c r="Y49" s="37"/>
      <c r="Z49" s="89"/>
      <c r="AA49" s="83"/>
      <c r="AB49" s="83"/>
      <c r="AC49" s="84"/>
      <c r="AD49" s="17"/>
      <c r="AE49" s="84"/>
    </row>
    <row r="50" spans="1:31" ht="15" customHeight="1" outlineLevel="1" x14ac:dyDescent="0.35">
      <c r="A50" s="91"/>
      <c r="B50" s="10"/>
      <c r="C50" s="15"/>
      <c r="D50" s="124"/>
      <c r="E50" s="56"/>
      <c r="F50" s="56"/>
      <c r="G50" s="12"/>
      <c r="H50" s="81"/>
      <c r="I50" s="19"/>
      <c r="J50" s="19"/>
      <c r="K50" s="12" t="s">
        <v>63</v>
      </c>
      <c r="L50" s="12" t="s">
        <v>69</v>
      </c>
      <c r="M50" s="18" t="s">
        <v>50</v>
      </c>
      <c r="N50" s="56">
        <f>0.5*E35</f>
        <v>504</v>
      </c>
      <c r="O50" s="56"/>
      <c r="P50" s="56"/>
      <c r="Q50" s="117"/>
      <c r="R50" s="115">
        <v>20000</v>
      </c>
      <c r="S50" s="53">
        <v>0.5</v>
      </c>
      <c r="T50" s="86">
        <f t="shared" si="33"/>
        <v>5040000</v>
      </c>
      <c r="U50" s="138"/>
      <c r="V50" s="138"/>
      <c r="W50" s="92"/>
      <c r="X50" s="37"/>
      <c r="Y50" s="37"/>
      <c r="Z50" s="89"/>
      <c r="AA50" s="83"/>
      <c r="AB50" s="83"/>
      <c r="AC50" s="84"/>
      <c r="AD50" s="17"/>
      <c r="AE50" s="84"/>
    </row>
    <row r="51" spans="1:31" ht="15" customHeight="1" outlineLevel="1" x14ac:dyDescent="0.35">
      <c r="A51" s="55">
        <v>2</v>
      </c>
      <c r="B51" s="36" t="s">
        <v>130</v>
      </c>
      <c r="C51" s="36" t="s">
        <v>131</v>
      </c>
      <c r="D51" s="122"/>
      <c r="E51" s="55">
        <v>1000</v>
      </c>
      <c r="F51" s="55">
        <v>50</v>
      </c>
      <c r="G51" s="20" t="s">
        <v>80</v>
      </c>
      <c r="H51" s="21" t="e">
        <f>E51/D51</f>
        <v>#DIV/0!</v>
      </c>
      <c r="I51" s="22">
        <v>125000</v>
      </c>
      <c r="J51" s="23">
        <f>+I51*E51</f>
        <v>125000000</v>
      </c>
      <c r="K51" s="24"/>
      <c r="L51" s="25"/>
      <c r="M51" s="27"/>
      <c r="N51" s="128"/>
      <c r="O51" s="54"/>
      <c r="P51" s="54"/>
      <c r="Q51" s="155"/>
      <c r="R51" s="112"/>
      <c r="S51" s="65" t="s">
        <v>33</v>
      </c>
      <c r="T51" s="26"/>
      <c r="U51" s="26">
        <f>T53</f>
        <v>2138041</v>
      </c>
      <c r="V51" s="26">
        <f>T57</f>
        <v>101600000</v>
      </c>
      <c r="W51" s="26">
        <f>V51+U51</f>
        <v>103738041</v>
      </c>
      <c r="X51" s="27"/>
      <c r="Y51" s="26" t="e">
        <f>IF(H51&gt;=70%,17000*30*12,IF(H51&gt;=30%,17000*30*6,IF(H51&gt;=20%,17000*30*5,IF(H51&gt;=10%,17000*30*3,17000*30*2))))</f>
        <v>#DIV/0!</v>
      </c>
      <c r="Z51" s="26" t="e">
        <f>Y51*X51</f>
        <v>#DIV/0!</v>
      </c>
      <c r="AA51" s="26">
        <f>E51*125000*3</f>
        <v>375000000</v>
      </c>
      <c r="AB51" s="26">
        <f>30000*E51</f>
        <v>30000000</v>
      </c>
      <c r="AC51" s="26" t="e">
        <f>AB51+AA51+Z51+W51+J51</f>
        <v>#DIV/0!</v>
      </c>
      <c r="AD51" s="26">
        <f>15000*E51</f>
        <v>15000000</v>
      </c>
      <c r="AE51" s="28" t="e">
        <f>AD51+AC51</f>
        <v>#DIV/0!</v>
      </c>
    </row>
    <row r="52" spans="1:31" ht="15" customHeight="1" outlineLevel="1" x14ac:dyDescent="0.35">
      <c r="A52" s="29"/>
      <c r="B52" s="49" t="s">
        <v>148</v>
      </c>
      <c r="C52" s="30"/>
      <c r="D52" s="120"/>
      <c r="E52" s="30"/>
      <c r="F52" s="31"/>
      <c r="G52" s="31"/>
      <c r="H52" s="31"/>
      <c r="I52" s="32"/>
      <c r="J52" s="33"/>
      <c r="K52" s="34" t="s">
        <v>36</v>
      </c>
      <c r="L52" s="35"/>
      <c r="M52" s="66"/>
      <c r="N52" s="120"/>
      <c r="O52" s="101"/>
      <c r="P52" s="142">
        <f>E51</f>
        <v>1000</v>
      </c>
      <c r="Q52" s="41"/>
      <c r="R52" s="113"/>
      <c r="S52" s="67"/>
      <c r="T52" s="68">
        <f>SUM(T53+T57)</f>
        <v>103738041</v>
      </c>
      <c r="U52" s="68"/>
      <c r="V52" s="68"/>
      <c r="W52" s="69"/>
      <c r="X52" s="66"/>
      <c r="Y52" s="69"/>
      <c r="Z52" s="69"/>
      <c r="AA52" s="69"/>
      <c r="AB52" s="69"/>
      <c r="AC52" s="69"/>
      <c r="AD52" s="69"/>
      <c r="AE52" s="69"/>
    </row>
    <row r="53" spans="1:31" ht="15" customHeight="1" outlineLevel="1" x14ac:dyDescent="0.35">
      <c r="A53" s="11"/>
      <c r="B53" s="10"/>
      <c r="C53" s="11"/>
      <c r="D53" s="124"/>
      <c r="E53" s="56"/>
      <c r="F53" s="56"/>
      <c r="G53" s="12"/>
      <c r="H53" s="81"/>
      <c r="I53" s="19"/>
      <c r="J53" s="14"/>
      <c r="K53" s="8" t="s">
        <v>37</v>
      </c>
      <c r="L53" s="12"/>
      <c r="M53" s="17"/>
      <c r="N53" s="56"/>
      <c r="O53" s="56"/>
      <c r="P53" s="3"/>
      <c r="Q53" s="117"/>
      <c r="R53" s="147"/>
      <c r="S53" s="13"/>
      <c r="T53" s="94">
        <f>SUBTOTAL(9,T54:T56)</f>
        <v>2138041</v>
      </c>
      <c r="U53" s="136"/>
      <c r="V53" s="137"/>
      <c r="W53" s="14"/>
      <c r="X53" s="37"/>
      <c r="Y53" s="37"/>
      <c r="Z53" s="82"/>
      <c r="AA53" s="83"/>
      <c r="AB53" s="83"/>
      <c r="AC53" s="83"/>
      <c r="AD53" s="17"/>
      <c r="AE53" s="84"/>
    </row>
    <row r="54" spans="1:31" ht="15" customHeight="1" outlineLevel="1" x14ac:dyDescent="0.35">
      <c r="A54" s="11"/>
      <c r="B54" s="10"/>
      <c r="C54" s="15"/>
      <c r="D54" s="124"/>
      <c r="E54" s="56"/>
      <c r="F54" s="56"/>
      <c r="G54" s="12"/>
      <c r="H54" s="81"/>
      <c r="I54" s="19"/>
      <c r="J54" s="19"/>
      <c r="K54" s="12" t="s">
        <v>61</v>
      </c>
      <c r="L54" s="12" t="s">
        <v>81</v>
      </c>
      <c r="M54" s="17" t="s">
        <v>40</v>
      </c>
      <c r="N54" s="56">
        <f>120*1.8*3.06</f>
        <v>660.96</v>
      </c>
      <c r="O54" s="56"/>
      <c r="P54" s="56"/>
      <c r="Q54" s="37"/>
      <c r="R54" s="116">
        <v>23999.800000000003</v>
      </c>
      <c r="S54" s="37">
        <v>0.1</v>
      </c>
      <c r="T54" s="86">
        <f>ROUND((S54*R54*N54),0)</f>
        <v>1586291</v>
      </c>
      <c r="U54" s="138"/>
      <c r="V54" s="138"/>
      <c r="W54" s="87"/>
      <c r="X54" s="88"/>
      <c r="Y54" s="37"/>
      <c r="Z54" s="89"/>
      <c r="AA54" s="84"/>
      <c r="AB54" s="84"/>
      <c r="AC54" s="84"/>
      <c r="AD54" s="17"/>
      <c r="AE54" s="84"/>
    </row>
    <row r="55" spans="1:31" ht="15" customHeight="1" outlineLevel="1" x14ac:dyDescent="0.35">
      <c r="A55" s="11"/>
      <c r="B55" s="10"/>
      <c r="C55" s="15"/>
      <c r="D55" s="124"/>
      <c r="E55" s="56"/>
      <c r="F55" s="56"/>
      <c r="G55" s="12"/>
      <c r="H55" s="81"/>
      <c r="I55" s="19"/>
      <c r="J55" s="19"/>
      <c r="K55" s="12" t="s">
        <v>55</v>
      </c>
      <c r="L55" s="12" t="s">
        <v>82</v>
      </c>
      <c r="M55" s="17" t="s">
        <v>45</v>
      </c>
      <c r="N55" s="56">
        <v>36</v>
      </c>
      <c r="O55" s="56"/>
      <c r="P55" s="56"/>
      <c r="Q55" s="37"/>
      <c r="R55" s="115">
        <f>20500*1.1</f>
        <v>22550.000000000004</v>
      </c>
      <c r="S55" s="37">
        <v>0.1</v>
      </c>
      <c r="T55" s="86">
        <f>ROUND((S55*R55*N55),0)</f>
        <v>81180</v>
      </c>
      <c r="U55" s="138"/>
      <c r="V55" s="138"/>
      <c r="W55" s="87"/>
      <c r="X55" s="88"/>
      <c r="Y55" s="37"/>
      <c r="Z55" s="89"/>
      <c r="AA55" s="84"/>
      <c r="AB55" s="84"/>
      <c r="AC55" s="84"/>
      <c r="AD55" s="17"/>
      <c r="AE55" s="84"/>
    </row>
    <row r="56" spans="1:31" ht="15" customHeight="1" outlineLevel="1" x14ac:dyDescent="0.35">
      <c r="A56" s="11"/>
      <c r="B56" s="10"/>
      <c r="C56" s="15"/>
      <c r="D56" s="124"/>
      <c r="E56" s="56"/>
      <c r="F56" s="56"/>
      <c r="G56" s="12"/>
      <c r="H56" s="81"/>
      <c r="I56" s="19"/>
      <c r="J56" s="19"/>
      <c r="K56" s="12" t="s">
        <v>41</v>
      </c>
      <c r="L56" s="12" t="s">
        <v>77</v>
      </c>
      <c r="M56" s="17" t="s">
        <v>43</v>
      </c>
      <c r="N56" s="56">
        <v>50</v>
      </c>
      <c r="O56" s="56"/>
      <c r="P56" s="56"/>
      <c r="Q56" s="37"/>
      <c r="R56" s="115">
        <f xml:space="preserve"> 90756 *1.037</f>
        <v>94113.971999999994</v>
      </c>
      <c r="S56" s="37">
        <v>0.1</v>
      </c>
      <c r="T56" s="86">
        <f>ROUND((S56*R56*N56),0)</f>
        <v>470570</v>
      </c>
      <c r="U56" s="138"/>
      <c r="V56" s="138"/>
      <c r="W56" s="87"/>
      <c r="X56" s="88"/>
      <c r="Y56" s="37"/>
      <c r="Z56" s="89"/>
      <c r="AA56" s="84"/>
      <c r="AB56" s="84"/>
      <c r="AC56" s="84"/>
      <c r="AD56" s="17"/>
      <c r="AE56" s="84"/>
    </row>
    <row r="57" spans="1:31" ht="15" customHeight="1" outlineLevel="1" x14ac:dyDescent="0.35">
      <c r="A57" s="11"/>
      <c r="B57" s="10"/>
      <c r="C57" s="11"/>
      <c r="D57" s="124"/>
      <c r="E57" s="56"/>
      <c r="F57" s="56"/>
      <c r="G57" s="12"/>
      <c r="H57" s="81"/>
      <c r="I57" s="19"/>
      <c r="J57" s="14"/>
      <c r="K57" s="8" t="s">
        <v>46</v>
      </c>
      <c r="L57" s="12"/>
      <c r="M57" s="17"/>
      <c r="N57" s="56"/>
      <c r="O57" s="56"/>
      <c r="P57" s="3">
        <f>P52-P53</f>
        <v>1000</v>
      </c>
      <c r="Q57" s="117"/>
      <c r="R57" s="147"/>
      <c r="S57" s="13"/>
      <c r="T57" s="94">
        <f>SUBTOTAL(9,T58:T60)</f>
        <v>101600000</v>
      </c>
      <c r="U57" s="136"/>
      <c r="V57" s="137"/>
      <c r="W57" s="14"/>
      <c r="X57" s="88"/>
      <c r="Y57" s="37"/>
      <c r="Z57" s="82"/>
      <c r="AA57" s="83"/>
      <c r="AB57" s="83"/>
      <c r="AC57" s="83"/>
      <c r="AD57" s="17"/>
      <c r="AE57" s="84"/>
    </row>
    <row r="58" spans="1:31" ht="15" customHeight="1" outlineLevel="1" x14ac:dyDescent="0.35">
      <c r="A58" s="91"/>
      <c r="B58" s="10"/>
      <c r="C58" s="15"/>
      <c r="D58" s="124"/>
      <c r="E58" s="56"/>
      <c r="F58" s="56"/>
      <c r="G58" s="12"/>
      <c r="H58" s="81"/>
      <c r="I58" s="19"/>
      <c r="J58" s="19"/>
      <c r="K58" s="18" t="s">
        <v>62</v>
      </c>
      <c r="L58" s="59" t="s">
        <v>98</v>
      </c>
      <c r="M58" s="18" t="s">
        <v>48</v>
      </c>
      <c r="N58" s="56">
        <v>450</v>
      </c>
      <c r="O58" s="56">
        <v>0.4</v>
      </c>
      <c r="P58" s="56">
        <f>N58*O58</f>
        <v>180</v>
      </c>
      <c r="Q58" s="117"/>
      <c r="R58" s="149">
        <v>200000</v>
      </c>
      <c r="S58" s="37">
        <v>0.5</v>
      </c>
      <c r="T58" s="86">
        <f>ROUND((S58*R58*N58),0)</f>
        <v>45000000</v>
      </c>
      <c r="U58" s="138"/>
      <c r="V58" s="138"/>
      <c r="W58" s="92"/>
      <c r="X58" s="37"/>
      <c r="Y58" s="37"/>
      <c r="Z58" s="89"/>
      <c r="AA58" s="83"/>
      <c r="AB58" s="83"/>
      <c r="AC58" s="84"/>
      <c r="AD58" s="17"/>
      <c r="AE58" s="84"/>
    </row>
    <row r="59" spans="1:31" ht="15" customHeight="1" outlineLevel="1" x14ac:dyDescent="0.35">
      <c r="A59" s="91"/>
      <c r="B59" s="10"/>
      <c r="C59" s="15"/>
      <c r="D59" s="124"/>
      <c r="E59" s="56"/>
      <c r="F59" s="56"/>
      <c r="G59" s="12"/>
      <c r="H59" s="81"/>
      <c r="I59" s="19"/>
      <c r="J59" s="19"/>
      <c r="K59" s="18" t="s">
        <v>62</v>
      </c>
      <c r="L59" s="59" t="s">
        <v>97</v>
      </c>
      <c r="M59" s="18" t="s">
        <v>48</v>
      </c>
      <c r="N59" s="56">
        <v>382</v>
      </c>
      <c r="O59" s="56">
        <v>0.4</v>
      </c>
      <c r="P59" s="56">
        <f>N59*O59</f>
        <v>152.80000000000001</v>
      </c>
      <c r="Q59" s="117"/>
      <c r="R59" s="150">
        <v>100000</v>
      </c>
      <c r="S59" s="37">
        <v>0.5</v>
      </c>
      <c r="T59" s="86">
        <f>ROUND((S59*R59*N59),0)</f>
        <v>19100000</v>
      </c>
      <c r="U59" s="138"/>
      <c r="V59" s="138"/>
      <c r="W59" s="92"/>
      <c r="X59" s="37"/>
      <c r="Y59" s="37"/>
      <c r="Z59" s="89"/>
      <c r="AA59" s="83"/>
      <c r="AB59" s="83"/>
      <c r="AC59" s="84"/>
      <c r="AD59" s="17"/>
      <c r="AE59" s="84"/>
    </row>
    <row r="60" spans="1:31" ht="15" customHeight="1" outlineLevel="1" x14ac:dyDescent="0.35">
      <c r="A60" s="91"/>
      <c r="B60" s="10"/>
      <c r="C60" s="15"/>
      <c r="D60" s="124"/>
      <c r="E60" s="56"/>
      <c r="F60" s="56"/>
      <c r="G60" s="12"/>
      <c r="H60" s="81"/>
      <c r="I60" s="19"/>
      <c r="J60" s="19"/>
      <c r="K60" s="18" t="s">
        <v>47</v>
      </c>
      <c r="L60" s="59" t="s">
        <v>91</v>
      </c>
      <c r="M60" s="18" t="s">
        <v>48</v>
      </c>
      <c r="N60" s="56">
        <f>P60/O60</f>
        <v>40</v>
      </c>
      <c r="O60" s="56">
        <v>25</v>
      </c>
      <c r="P60" s="56">
        <f>P57</f>
        <v>1000</v>
      </c>
      <c r="Q60" s="117"/>
      <c r="R60" s="115">
        <v>3750000</v>
      </c>
      <c r="S60" s="37">
        <v>0.25</v>
      </c>
      <c r="T60" s="86">
        <f>ROUND((S60*R60*N60),0)</f>
        <v>37500000</v>
      </c>
      <c r="U60" s="138"/>
      <c r="V60" s="138"/>
      <c r="W60" s="92"/>
      <c r="X60" s="37"/>
      <c r="Y60" s="37"/>
      <c r="Z60" s="89"/>
      <c r="AA60" s="83"/>
      <c r="AB60" s="83"/>
      <c r="AC60" s="84"/>
      <c r="AD60" s="17"/>
      <c r="AE60" s="84"/>
    </row>
    <row r="61" spans="1:31" s="47" customFormat="1" ht="15" customHeight="1" x14ac:dyDescent="0.35">
      <c r="A61" s="63">
        <v>3</v>
      </c>
      <c r="B61" s="64"/>
      <c r="C61" s="64"/>
      <c r="D61" s="64"/>
      <c r="E61" s="64"/>
      <c r="F61" s="64"/>
      <c r="G61" s="64"/>
      <c r="H61" s="64"/>
      <c r="I61" s="64"/>
      <c r="J61" s="64"/>
      <c r="K61" s="64"/>
      <c r="L61" s="64"/>
      <c r="M61" s="64"/>
      <c r="N61" s="64"/>
      <c r="O61" s="64"/>
      <c r="P61" s="131"/>
      <c r="Q61" s="154"/>
      <c r="R61" s="144"/>
      <c r="S61" s="64"/>
      <c r="T61" s="131"/>
      <c r="U61" s="143"/>
      <c r="V61" s="143"/>
      <c r="W61" s="64"/>
      <c r="X61" s="64"/>
      <c r="Y61" s="64"/>
      <c r="Z61" s="64"/>
      <c r="AA61" s="64"/>
      <c r="AB61" s="64"/>
      <c r="AC61" s="64"/>
      <c r="AD61" s="64"/>
      <c r="AE61" s="64"/>
    </row>
    <row r="62" spans="1:31" ht="15" customHeight="1" outlineLevel="1" x14ac:dyDescent="0.35">
      <c r="A62" s="55">
        <v>59</v>
      </c>
      <c r="B62" s="36" t="s">
        <v>132</v>
      </c>
      <c r="C62" s="36" t="s">
        <v>133</v>
      </c>
      <c r="D62" s="122">
        <v>2880</v>
      </c>
      <c r="E62" s="55">
        <v>1356</v>
      </c>
      <c r="F62" s="55">
        <v>50</v>
      </c>
      <c r="G62" s="20" t="s">
        <v>83</v>
      </c>
      <c r="H62" s="21">
        <f>E62/D62</f>
        <v>0.47083333333333333</v>
      </c>
      <c r="I62" s="22">
        <v>125000</v>
      </c>
      <c r="J62" s="23">
        <f>+I62*E62</f>
        <v>169500000</v>
      </c>
      <c r="K62" s="24"/>
      <c r="L62" s="25"/>
      <c r="M62" s="27"/>
      <c r="N62" s="128"/>
      <c r="O62" s="54"/>
      <c r="P62" s="54"/>
      <c r="Q62" s="155"/>
      <c r="R62" s="112"/>
      <c r="S62" s="65" t="s">
        <v>33</v>
      </c>
      <c r="T62" s="26"/>
      <c r="U62" s="26">
        <f>T65</f>
        <v>1570913</v>
      </c>
      <c r="V62" s="26">
        <f>T68</f>
        <v>115378980</v>
      </c>
      <c r="W62" s="26">
        <f>V62+U62</f>
        <v>116949893</v>
      </c>
      <c r="X62" s="27"/>
      <c r="Y62" s="26">
        <f>IF(H62&gt;=70%,17000*30*12,IF(H62&gt;=30%,17000*30*6,IF(H62&gt;=20%,17000*30*5,IF(H62&gt;=10%,17000*30*3,17000*30*2))))</f>
        <v>3060000</v>
      </c>
      <c r="Z62" s="26">
        <f>Y62*X62</f>
        <v>0</v>
      </c>
      <c r="AA62" s="26">
        <f>E62*125000*3</f>
        <v>508500000</v>
      </c>
      <c r="AB62" s="26">
        <f>30000*E62</f>
        <v>40680000</v>
      </c>
      <c r="AC62" s="26">
        <f>AB62+AA62+Z62+W62+J62</f>
        <v>835629893</v>
      </c>
      <c r="AD62" s="26">
        <f>15000*E62</f>
        <v>20340000</v>
      </c>
      <c r="AE62" s="28">
        <f>AD62+AC62</f>
        <v>855969893</v>
      </c>
    </row>
    <row r="63" spans="1:31" ht="15" customHeight="1" outlineLevel="1" x14ac:dyDescent="0.35">
      <c r="A63" s="29"/>
      <c r="B63" s="49" t="s">
        <v>134</v>
      </c>
      <c r="C63" s="30"/>
      <c r="D63" s="120"/>
      <c r="E63" s="30"/>
      <c r="F63" s="31"/>
      <c r="G63" s="31"/>
      <c r="H63" s="31"/>
      <c r="I63" s="32"/>
      <c r="J63" s="33"/>
      <c r="K63" s="34"/>
      <c r="L63" s="35"/>
      <c r="M63" s="66"/>
      <c r="N63" s="120"/>
      <c r="O63" s="31"/>
      <c r="P63" s="30"/>
      <c r="Q63" s="156"/>
      <c r="R63" s="113"/>
      <c r="S63" s="67"/>
      <c r="T63" s="68"/>
      <c r="U63" s="68"/>
      <c r="V63" s="68"/>
      <c r="W63" s="69"/>
      <c r="X63" s="66"/>
      <c r="Y63" s="69"/>
      <c r="Z63" s="69"/>
      <c r="AA63" s="69"/>
      <c r="AB63" s="69"/>
      <c r="AC63" s="69"/>
      <c r="AD63" s="69"/>
      <c r="AE63" s="69"/>
    </row>
    <row r="64" spans="1:31" ht="15" customHeight="1" outlineLevel="1" x14ac:dyDescent="0.35">
      <c r="A64" s="8"/>
      <c r="B64" s="10"/>
      <c r="C64" s="11"/>
      <c r="D64" s="123"/>
      <c r="E64" s="3"/>
      <c r="F64" s="4"/>
      <c r="G64" s="5"/>
      <c r="H64" s="6"/>
      <c r="I64" s="7"/>
      <c r="J64" s="4"/>
      <c r="K64" s="14" t="s">
        <v>36</v>
      </c>
      <c r="L64" s="8"/>
      <c r="M64" s="57"/>
      <c r="N64" s="4"/>
      <c r="O64" s="4"/>
      <c r="P64" s="3">
        <f>E62</f>
        <v>1356</v>
      </c>
      <c r="Q64" s="158"/>
      <c r="R64" s="146"/>
      <c r="S64" s="13"/>
      <c r="T64" s="93">
        <f>T65+T68</f>
        <v>116949893</v>
      </c>
      <c r="U64" s="136"/>
      <c r="V64" s="136"/>
      <c r="W64" s="78"/>
      <c r="X64" s="79"/>
      <c r="Y64" s="6"/>
      <c r="Z64" s="9"/>
      <c r="AA64" s="80"/>
      <c r="AB64" s="80"/>
      <c r="AC64" s="80"/>
      <c r="AD64" s="57"/>
      <c r="AE64" s="80"/>
    </row>
    <row r="65" spans="1:31" ht="15" customHeight="1" outlineLevel="1" x14ac:dyDescent="0.35">
      <c r="A65" s="11"/>
      <c r="B65" s="10"/>
      <c r="C65" s="11"/>
      <c r="D65" s="124"/>
      <c r="E65" s="56"/>
      <c r="F65" s="56"/>
      <c r="G65" s="12"/>
      <c r="H65" s="81"/>
      <c r="I65" s="19"/>
      <c r="J65" s="14"/>
      <c r="K65" s="8" t="s">
        <v>37</v>
      </c>
      <c r="L65" s="12"/>
      <c r="M65" s="17"/>
      <c r="N65" s="56"/>
      <c r="O65" s="56"/>
      <c r="P65" s="3">
        <v>0</v>
      </c>
      <c r="Q65" s="117"/>
      <c r="R65" s="147"/>
      <c r="S65" s="13"/>
      <c r="T65" s="93">
        <f>ROUND(SUM(T66:T67),0)</f>
        <v>1570913</v>
      </c>
      <c r="U65" s="136"/>
      <c r="V65" s="137"/>
      <c r="W65" s="14"/>
      <c r="X65" s="37"/>
      <c r="Y65" s="37"/>
      <c r="Z65" s="82"/>
      <c r="AA65" s="83"/>
      <c r="AB65" s="83"/>
      <c r="AC65" s="83"/>
      <c r="AD65" s="17"/>
      <c r="AE65" s="84"/>
    </row>
    <row r="66" spans="1:31" ht="15" customHeight="1" outlineLevel="1" x14ac:dyDescent="0.35">
      <c r="A66" s="11"/>
      <c r="B66" s="10"/>
      <c r="C66" s="15"/>
      <c r="D66" s="124"/>
      <c r="E66" s="56"/>
      <c r="F66" s="56"/>
      <c r="G66" s="12"/>
      <c r="H66" s="81"/>
      <c r="I66" s="19"/>
      <c r="J66" s="19"/>
      <c r="K66" s="12" t="s">
        <v>68</v>
      </c>
      <c r="L66" s="12" t="s">
        <v>84</v>
      </c>
      <c r="M66" s="17" t="s">
        <v>65</v>
      </c>
      <c r="N66" s="56">
        <f>0.1*0.1*1.5*40</f>
        <v>0.60000000000000009</v>
      </c>
      <c r="O66" s="56"/>
      <c r="P66" s="56"/>
      <c r="Q66" s="37"/>
      <c r="R66" s="116">
        <v>3226656</v>
      </c>
      <c r="S66" s="37">
        <v>0.1</v>
      </c>
      <c r="T66" s="86">
        <f>ROUND((S66*R66*N66),0)</f>
        <v>193599</v>
      </c>
      <c r="U66" s="138"/>
      <c r="V66" s="138"/>
      <c r="W66" s="87"/>
      <c r="X66" s="88"/>
      <c r="Y66" s="37"/>
      <c r="Z66" s="89"/>
      <c r="AA66" s="84"/>
      <c r="AB66" s="84"/>
      <c r="AC66" s="84"/>
      <c r="AD66" s="17"/>
      <c r="AE66" s="84"/>
    </row>
    <row r="67" spans="1:31" ht="15" customHeight="1" outlineLevel="1" x14ac:dyDescent="0.35">
      <c r="A67" s="11"/>
      <c r="B67" s="10"/>
      <c r="C67" s="15"/>
      <c r="D67" s="124"/>
      <c r="E67" s="56"/>
      <c r="F67" s="56"/>
      <c r="G67" s="12"/>
      <c r="H67" s="81"/>
      <c r="I67" s="19"/>
      <c r="J67" s="19"/>
      <c r="K67" s="12" t="s">
        <v>85</v>
      </c>
      <c r="L67" s="12" t="s">
        <v>86</v>
      </c>
      <c r="M67" s="17" t="s">
        <v>43</v>
      </c>
      <c r="N67" s="56">
        <v>840</v>
      </c>
      <c r="O67" s="56"/>
      <c r="P67" s="56"/>
      <c r="Q67" s="37"/>
      <c r="R67" s="116">
        <v>16396.600000000002</v>
      </c>
      <c r="S67" s="37">
        <v>0.1</v>
      </c>
      <c r="T67" s="86">
        <f>ROUND((S67*R67*N67),0)</f>
        <v>1377314</v>
      </c>
      <c r="U67" s="138"/>
      <c r="V67" s="138"/>
      <c r="W67" s="87"/>
      <c r="X67" s="88"/>
      <c r="Y67" s="37"/>
      <c r="Z67" s="89"/>
      <c r="AA67" s="84"/>
      <c r="AB67" s="84"/>
      <c r="AC67" s="84"/>
      <c r="AD67" s="17"/>
      <c r="AE67" s="84"/>
    </row>
    <row r="68" spans="1:31" ht="15" customHeight="1" outlineLevel="1" x14ac:dyDescent="0.35">
      <c r="A68" s="11"/>
      <c r="B68" s="10"/>
      <c r="C68" s="11"/>
      <c r="D68" s="124"/>
      <c r="E68" s="56"/>
      <c r="F68" s="56"/>
      <c r="G68" s="12"/>
      <c r="H68" s="81"/>
      <c r="I68" s="19"/>
      <c r="J68" s="14"/>
      <c r="K68" s="8" t="s">
        <v>46</v>
      </c>
      <c r="L68" s="12"/>
      <c r="M68" s="17"/>
      <c r="N68" s="56"/>
      <c r="O68" s="56"/>
      <c r="P68" s="3">
        <f>P64</f>
        <v>1356</v>
      </c>
      <c r="Q68" s="117"/>
      <c r="R68" s="147"/>
      <c r="S68" s="13"/>
      <c r="T68" s="93">
        <f>ROUND(SUM(T69:T72),0)</f>
        <v>115378980</v>
      </c>
      <c r="U68" s="136"/>
      <c r="V68" s="137"/>
      <c r="W68" s="14"/>
      <c r="X68" s="88"/>
      <c r="Y68" s="37"/>
      <c r="Z68" s="82"/>
      <c r="AA68" s="83"/>
      <c r="AB68" s="83"/>
      <c r="AC68" s="83"/>
      <c r="AD68" s="17"/>
      <c r="AE68" s="84"/>
    </row>
    <row r="69" spans="1:31" ht="15" customHeight="1" outlineLevel="1" x14ac:dyDescent="0.35">
      <c r="A69" s="11"/>
      <c r="B69" s="10"/>
      <c r="C69" s="11"/>
      <c r="D69" s="124"/>
      <c r="E69" s="56"/>
      <c r="F69" s="56"/>
      <c r="G69" s="12"/>
      <c r="H69" s="81"/>
      <c r="I69" s="95"/>
      <c r="J69" s="96"/>
      <c r="K69" s="16" t="s">
        <v>49</v>
      </c>
      <c r="L69" s="12" t="s">
        <v>87</v>
      </c>
      <c r="M69" s="18" t="s">
        <v>50</v>
      </c>
      <c r="N69" s="56">
        <v>70</v>
      </c>
      <c r="O69" s="56"/>
      <c r="P69" s="56">
        <f>N69</f>
        <v>70</v>
      </c>
      <c r="Q69" s="117"/>
      <c r="R69" s="115">
        <v>97000</v>
      </c>
      <c r="S69" s="37">
        <v>0.5</v>
      </c>
      <c r="T69" s="86">
        <f t="shared" ref="T69" si="35">ROUND((S69*R69*N69),0)</f>
        <v>3395000</v>
      </c>
      <c r="U69" s="140"/>
      <c r="V69" s="140"/>
      <c r="W69" s="90"/>
      <c r="X69" s="37"/>
      <c r="Y69" s="37"/>
      <c r="Z69" s="89"/>
      <c r="AA69" s="83"/>
      <c r="AB69" s="83"/>
      <c r="AC69" s="83"/>
      <c r="AD69" s="17"/>
      <c r="AE69" s="84"/>
    </row>
    <row r="70" spans="1:31" ht="15" customHeight="1" outlineLevel="1" x14ac:dyDescent="0.35">
      <c r="A70" s="91"/>
      <c r="B70" s="10"/>
      <c r="C70" s="15"/>
      <c r="D70" s="124"/>
      <c r="E70" s="56"/>
      <c r="F70" s="56"/>
      <c r="G70" s="12"/>
      <c r="H70" s="81"/>
      <c r="I70" s="19"/>
      <c r="J70" s="19"/>
      <c r="K70" s="18" t="s">
        <v>47</v>
      </c>
      <c r="L70" s="59" t="s">
        <v>95</v>
      </c>
      <c r="M70" s="18" t="s">
        <v>48</v>
      </c>
      <c r="N70" s="56">
        <f>P70/O70</f>
        <v>51.44</v>
      </c>
      <c r="O70" s="56">
        <v>25</v>
      </c>
      <c r="P70" s="56">
        <f>P68-P69</f>
        <v>1286</v>
      </c>
      <c r="Q70" s="117"/>
      <c r="R70" s="152">
        <v>3850000</v>
      </c>
      <c r="S70" s="37">
        <v>0.5</v>
      </c>
      <c r="T70" s="86">
        <f>ROUND((S70*R70*N70),0)</f>
        <v>99022000</v>
      </c>
      <c r="U70" s="138"/>
      <c r="V70" s="138"/>
      <c r="W70" s="92"/>
      <c r="X70" s="37"/>
      <c r="Y70" s="37"/>
      <c r="Z70" s="89"/>
      <c r="AA70" s="83"/>
      <c r="AB70" s="83"/>
      <c r="AC70" s="84"/>
      <c r="AD70" s="17"/>
      <c r="AE70" s="84"/>
    </row>
    <row r="71" spans="1:31" ht="15" customHeight="1" outlineLevel="1" x14ac:dyDescent="0.35">
      <c r="A71" s="91"/>
      <c r="B71" s="10"/>
      <c r="C71" s="15"/>
      <c r="D71" s="124"/>
      <c r="E71" s="56"/>
      <c r="F71" s="56"/>
      <c r="G71" s="12"/>
      <c r="H71" s="81"/>
      <c r="I71" s="19"/>
      <c r="J71" s="19"/>
      <c r="K71" s="18" t="s">
        <v>102</v>
      </c>
      <c r="L71" s="59" t="s">
        <v>95</v>
      </c>
      <c r="M71" s="18" t="s">
        <v>48</v>
      </c>
      <c r="N71" s="56">
        <f>P71/O71</f>
        <v>15.432</v>
      </c>
      <c r="O71" s="56">
        <v>25</v>
      </c>
      <c r="P71" s="56">
        <f>0.3*(P68-P69)</f>
        <v>385.8</v>
      </c>
      <c r="Q71" s="117"/>
      <c r="R71" s="152">
        <v>3850000</v>
      </c>
      <c r="S71" s="37">
        <v>0.15</v>
      </c>
      <c r="T71" s="86">
        <f>ROUND((S71*R71*N71),0)</f>
        <v>8911980</v>
      </c>
      <c r="U71" s="138"/>
      <c r="V71" s="138"/>
      <c r="W71" s="92"/>
      <c r="X71" s="37"/>
      <c r="Y71" s="37"/>
      <c r="Z71" s="89"/>
      <c r="AA71" s="83"/>
      <c r="AB71" s="83"/>
      <c r="AC71" s="84"/>
      <c r="AD71" s="17"/>
      <c r="AE71" s="84"/>
    </row>
    <row r="72" spans="1:31" ht="15" customHeight="1" outlineLevel="1" x14ac:dyDescent="0.35">
      <c r="A72" s="11"/>
      <c r="B72" s="10"/>
      <c r="C72" s="11"/>
      <c r="D72" s="124"/>
      <c r="E72" s="56"/>
      <c r="F72" s="56"/>
      <c r="G72" s="12"/>
      <c r="H72" s="81"/>
      <c r="I72" s="19"/>
      <c r="J72" s="14"/>
      <c r="K72" s="12" t="s">
        <v>67</v>
      </c>
      <c r="L72" s="59" t="s">
        <v>96</v>
      </c>
      <c r="M72" s="18" t="s">
        <v>48</v>
      </c>
      <c r="N72" s="56">
        <v>9</v>
      </c>
      <c r="O72" s="56">
        <v>20</v>
      </c>
      <c r="P72" s="56">
        <f>O72*N72</f>
        <v>180</v>
      </c>
      <c r="Q72" s="117"/>
      <c r="R72" s="151">
        <v>3000000</v>
      </c>
      <c r="S72" s="37">
        <v>0.15</v>
      </c>
      <c r="T72" s="86">
        <f>ROUND((S72*R72*N72),0)</f>
        <v>4050000</v>
      </c>
      <c r="U72" s="140"/>
      <c r="V72" s="140"/>
      <c r="W72" s="90"/>
      <c r="X72" s="37"/>
      <c r="Y72" s="37"/>
      <c r="Z72" s="89"/>
      <c r="AA72" s="83"/>
      <c r="AB72" s="83"/>
      <c r="AC72" s="83"/>
      <c r="AD72" s="17"/>
      <c r="AE72" s="84"/>
    </row>
    <row r="73" spans="1:31" ht="15" customHeight="1" outlineLevel="1" x14ac:dyDescent="0.35">
      <c r="A73" s="55">
        <v>133</v>
      </c>
      <c r="B73" s="36" t="s">
        <v>135</v>
      </c>
      <c r="C73" s="36" t="s">
        <v>136</v>
      </c>
      <c r="D73" s="122">
        <v>2880</v>
      </c>
      <c r="E73" s="55">
        <v>1248</v>
      </c>
      <c r="F73" s="55">
        <v>50</v>
      </c>
      <c r="G73" s="20" t="s">
        <v>88</v>
      </c>
      <c r="H73" s="21">
        <f>E73/D73</f>
        <v>0.43333333333333335</v>
      </c>
      <c r="I73" s="22">
        <v>125000</v>
      </c>
      <c r="J73" s="23">
        <f>+I73*E73</f>
        <v>156000000</v>
      </c>
      <c r="K73" s="24"/>
      <c r="L73" s="25"/>
      <c r="M73" s="27"/>
      <c r="N73" s="128"/>
      <c r="O73" s="54"/>
      <c r="P73" s="54"/>
      <c r="Q73" s="155"/>
      <c r="R73" s="112"/>
      <c r="S73" s="65" t="s">
        <v>33</v>
      </c>
      <c r="T73" s="26"/>
      <c r="U73" s="26">
        <f>T76</f>
        <v>2575861</v>
      </c>
      <c r="V73" s="26">
        <f>T79</f>
        <v>95448800</v>
      </c>
      <c r="W73" s="26">
        <f>V73+U73</f>
        <v>98024661</v>
      </c>
      <c r="X73" s="27"/>
      <c r="Y73" s="26">
        <f>IF(H73&gt;=70%,17000*30*12,IF(H73&gt;=30%,17000*30*6,IF(H73&gt;=20%,17000*30*5,IF(H73&gt;=10%,17000*30*3,17000*30*2))))</f>
        <v>3060000</v>
      </c>
      <c r="Z73" s="26">
        <f>Y73*X73</f>
        <v>0</v>
      </c>
      <c r="AA73" s="26">
        <f>E73*125000*3</f>
        <v>468000000</v>
      </c>
      <c r="AB73" s="26">
        <f>30000*E73</f>
        <v>37440000</v>
      </c>
      <c r="AC73" s="26">
        <f>AB73+AA73+Z73+W73+J73</f>
        <v>759464661</v>
      </c>
      <c r="AD73" s="26">
        <f>15000*E73</f>
        <v>18720000</v>
      </c>
      <c r="AE73" s="28">
        <f>AD73+AC73</f>
        <v>778184661</v>
      </c>
    </row>
    <row r="74" spans="1:31" ht="15.5" outlineLevel="1" x14ac:dyDescent="0.35">
      <c r="A74" s="29"/>
      <c r="B74" s="49" t="s">
        <v>137</v>
      </c>
      <c r="C74" s="30"/>
      <c r="D74" s="120"/>
      <c r="E74" s="30"/>
      <c r="F74" s="31"/>
      <c r="G74" s="31"/>
      <c r="H74" s="31"/>
      <c r="I74" s="32"/>
      <c r="J74" s="33"/>
      <c r="K74" s="34"/>
      <c r="L74" s="35"/>
      <c r="M74" s="66"/>
      <c r="N74" s="120"/>
      <c r="O74" s="31"/>
      <c r="P74" s="30"/>
      <c r="Q74" s="156"/>
      <c r="R74" s="113"/>
      <c r="S74" s="67"/>
      <c r="T74" s="68"/>
      <c r="U74" s="68"/>
      <c r="V74" s="68"/>
      <c r="W74" s="69"/>
      <c r="X74" s="66"/>
      <c r="Y74" s="69"/>
      <c r="Z74" s="69"/>
      <c r="AA74" s="69"/>
      <c r="AB74" s="69"/>
      <c r="AC74" s="69"/>
      <c r="AD74" s="69"/>
      <c r="AE74" s="69"/>
    </row>
    <row r="75" spans="1:31" ht="15" customHeight="1" outlineLevel="1" x14ac:dyDescent="0.35">
      <c r="A75" s="8"/>
      <c r="B75" s="10"/>
      <c r="C75" s="11"/>
      <c r="D75" s="123"/>
      <c r="E75" s="3"/>
      <c r="F75" s="4"/>
      <c r="G75" s="5"/>
      <c r="H75" s="6"/>
      <c r="I75" s="7"/>
      <c r="J75" s="4"/>
      <c r="K75" s="14" t="s">
        <v>36</v>
      </c>
      <c r="L75" s="8"/>
      <c r="M75" s="57"/>
      <c r="N75" s="4"/>
      <c r="O75" s="4"/>
      <c r="P75" s="3">
        <f>E73</f>
        <v>1248</v>
      </c>
      <c r="Q75" s="158"/>
      <c r="R75" s="146"/>
      <c r="S75" s="13"/>
      <c r="T75" s="93">
        <f>T76+T79</f>
        <v>98024661</v>
      </c>
      <c r="U75" s="136"/>
      <c r="V75" s="136"/>
      <c r="W75" s="78"/>
      <c r="X75" s="79"/>
      <c r="Y75" s="6"/>
      <c r="Z75" s="9"/>
      <c r="AA75" s="80"/>
      <c r="AB75" s="80"/>
      <c r="AC75" s="80"/>
      <c r="AD75" s="57"/>
      <c r="AE75" s="80"/>
    </row>
    <row r="76" spans="1:31" ht="15" customHeight="1" outlineLevel="1" x14ac:dyDescent="0.35">
      <c r="A76" s="11"/>
      <c r="B76" s="10"/>
      <c r="C76" s="11"/>
      <c r="D76" s="124"/>
      <c r="E76" s="56"/>
      <c r="F76" s="56"/>
      <c r="G76" s="12"/>
      <c r="H76" s="81"/>
      <c r="I76" s="19"/>
      <c r="J76" s="14"/>
      <c r="K76" s="8" t="s">
        <v>37</v>
      </c>
      <c r="L76" s="12"/>
      <c r="M76" s="17"/>
      <c r="N76" s="56"/>
      <c r="O76" s="56"/>
      <c r="P76" s="3"/>
      <c r="Q76" s="117"/>
      <c r="R76" s="147"/>
      <c r="S76" s="13"/>
      <c r="T76" s="93">
        <f>ROUND(SUM(T77:T78),0)</f>
        <v>2575861</v>
      </c>
      <c r="U76" s="136"/>
      <c r="V76" s="137"/>
      <c r="W76" s="14"/>
      <c r="X76" s="37"/>
      <c r="Y76" s="37"/>
      <c r="Z76" s="82"/>
      <c r="AA76" s="83"/>
      <c r="AB76" s="83"/>
      <c r="AC76" s="83"/>
      <c r="AD76" s="17"/>
      <c r="AE76" s="84"/>
    </row>
    <row r="77" spans="1:31" ht="15" customHeight="1" outlineLevel="1" x14ac:dyDescent="0.35">
      <c r="A77" s="11"/>
      <c r="B77" s="10"/>
      <c r="C77" s="15"/>
      <c r="D77" s="124"/>
      <c r="E77" s="56"/>
      <c r="F77" s="56"/>
      <c r="G77" s="12"/>
      <c r="H77" s="81"/>
      <c r="I77" s="19"/>
      <c r="J77" s="19"/>
      <c r="K77" s="12" t="s">
        <v>68</v>
      </c>
      <c r="L77" s="12" t="s">
        <v>89</v>
      </c>
      <c r="M77" s="17" t="s">
        <v>65</v>
      </c>
      <c r="N77" s="56">
        <f>1.5*0.1*0.1*77</f>
        <v>1.1550000000000002</v>
      </c>
      <c r="O77" s="56"/>
      <c r="P77" s="56"/>
      <c r="Q77" s="37"/>
      <c r="R77" s="116">
        <v>3226656</v>
      </c>
      <c r="S77" s="37">
        <v>0.1</v>
      </c>
      <c r="T77" s="86">
        <f>ROUND((S77*R77*N77),0)</f>
        <v>372679</v>
      </c>
      <c r="U77" s="138"/>
      <c r="V77" s="138"/>
      <c r="W77" s="87"/>
      <c r="X77" s="88"/>
      <c r="Y77" s="37"/>
      <c r="Z77" s="89"/>
      <c r="AA77" s="84"/>
      <c r="AB77" s="84"/>
      <c r="AC77" s="84"/>
      <c r="AD77" s="17"/>
      <c r="AE77" s="84"/>
    </row>
    <row r="78" spans="1:31" ht="15" customHeight="1" outlineLevel="1" x14ac:dyDescent="0.35">
      <c r="A78" s="11"/>
      <c r="B78" s="10"/>
      <c r="C78" s="15"/>
      <c r="D78" s="124"/>
      <c r="E78" s="56"/>
      <c r="F78" s="56"/>
      <c r="G78" s="12"/>
      <c r="H78" s="81"/>
      <c r="I78" s="19"/>
      <c r="J78" s="19"/>
      <c r="K78" s="12" t="s">
        <v>61</v>
      </c>
      <c r="L78" s="12" t="s">
        <v>90</v>
      </c>
      <c r="M78" s="17" t="s">
        <v>45</v>
      </c>
      <c r="N78" s="56">
        <f>1.5*240*2.55</f>
        <v>917.99999999999989</v>
      </c>
      <c r="O78" s="56"/>
      <c r="P78" s="56"/>
      <c r="Q78" s="37"/>
      <c r="R78" s="115">
        <v>23999.800000000003</v>
      </c>
      <c r="S78" s="37">
        <v>0.1</v>
      </c>
      <c r="T78" s="86">
        <f>ROUND((S78*R78*N78),0)</f>
        <v>2203182</v>
      </c>
      <c r="U78" s="138"/>
      <c r="V78" s="138"/>
      <c r="W78" s="87"/>
      <c r="X78" s="88"/>
      <c r="Y78" s="37"/>
      <c r="Z78" s="89"/>
      <c r="AA78" s="84"/>
      <c r="AB78" s="84"/>
      <c r="AC78" s="84"/>
      <c r="AD78" s="17"/>
      <c r="AE78" s="84"/>
    </row>
    <row r="79" spans="1:31" ht="15" customHeight="1" outlineLevel="1" x14ac:dyDescent="0.35">
      <c r="A79" s="11"/>
      <c r="B79" s="10"/>
      <c r="C79" s="11"/>
      <c r="D79" s="124"/>
      <c r="E79" s="56"/>
      <c r="F79" s="56"/>
      <c r="G79" s="12"/>
      <c r="H79" s="81"/>
      <c r="I79" s="19"/>
      <c r="J79" s="14"/>
      <c r="K79" s="8" t="s">
        <v>46</v>
      </c>
      <c r="L79" s="12"/>
      <c r="M79" s="17"/>
      <c r="N79" s="56"/>
      <c r="O79" s="56"/>
      <c r="P79" s="3">
        <f>P75</f>
        <v>1248</v>
      </c>
      <c r="Q79" s="117"/>
      <c r="R79" s="147"/>
      <c r="S79" s="13"/>
      <c r="T79" s="93">
        <f>ROUND(SUM(T80:T83),0)</f>
        <v>95448800</v>
      </c>
      <c r="U79" s="136"/>
      <c r="V79" s="137"/>
      <c r="W79" s="14"/>
      <c r="X79" s="88"/>
      <c r="Y79" s="37"/>
      <c r="Z79" s="82"/>
      <c r="AA79" s="83"/>
      <c r="AB79" s="83"/>
      <c r="AC79" s="83"/>
      <c r="AD79" s="17"/>
      <c r="AE79" s="84"/>
    </row>
    <row r="80" spans="1:31" ht="15" customHeight="1" outlineLevel="1" x14ac:dyDescent="0.35">
      <c r="A80" s="11"/>
      <c r="B80" s="10"/>
      <c r="C80" s="11"/>
      <c r="D80" s="124"/>
      <c r="E80" s="56"/>
      <c r="F80" s="56"/>
      <c r="G80" s="12"/>
      <c r="H80" s="81"/>
      <c r="I80" s="95"/>
      <c r="J80" s="96"/>
      <c r="K80" s="16" t="s">
        <v>49</v>
      </c>
      <c r="L80" s="12" t="s">
        <v>87</v>
      </c>
      <c r="M80" s="18" t="s">
        <v>50</v>
      </c>
      <c r="N80" s="56">
        <v>70</v>
      </c>
      <c r="O80" s="56"/>
      <c r="P80" s="56">
        <f>N80</f>
        <v>70</v>
      </c>
      <c r="Q80" s="117"/>
      <c r="R80" s="115">
        <v>97000</v>
      </c>
      <c r="S80" s="37">
        <v>0.5</v>
      </c>
      <c r="T80" s="86">
        <f t="shared" ref="T80" si="36">ROUND((S80*R80*N80),0)</f>
        <v>3395000</v>
      </c>
      <c r="U80" s="140"/>
      <c r="V80" s="140"/>
      <c r="W80" s="90"/>
      <c r="X80" s="37"/>
      <c r="Y80" s="37"/>
      <c r="Z80" s="89"/>
      <c r="AA80" s="83"/>
      <c r="AB80" s="83"/>
      <c r="AC80" s="83"/>
      <c r="AD80" s="17"/>
      <c r="AE80" s="84"/>
    </row>
    <row r="81" spans="1:31" ht="15" customHeight="1" outlineLevel="1" x14ac:dyDescent="0.35">
      <c r="A81" s="91"/>
      <c r="B81" s="10"/>
      <c r="C81" s="15"/>
      <c r="D81" s="124"/>
      <c r="E81" s="56"/>
      <c r="F81" s="56"/>
      <c r="G81" s="12"/>
      <c r="H81" s="81"/>
      <c r="I81" s="19"/>
      <c r="J81" s="19"/>
      <c r="K81" s="18" t="s">
        <v>47</v>
      </c>
      <c r="L81" s="59" t="s">
        <v>91</v>
      </c>
      <c r="M81" s="18" t="s">
        <v>48</v>
      </c>
      <c r="N81" s="56">
        <v>36</v>
      </c>
      <c r="O81" s="56">
        <v>25</v>
      </c>
      <c r="P81" s="56">
        <f>+O81*N81</f>
        <v>900</v>
      </c>
      <c r="Q81" s="117"/>
      <c r="R81" s="115">
        <v>3750000</v>
      </c>
      <c r="S81" s="37">
        <v>0.5</v>
      </c>
      <c r="T81" s="86">
        <f>ROUND((S81*R81*N81),0)</f>
        <v>67500000</v>
      </c>
      <c r="U81" s="138"/>
      <c r="V81" s="138"/>
      <c r="W81" s="92"/>
      <c r="X81" s="37"/>
      <c r="Y81" s="37"/>
      <c r="Z81" s="89"/>
      <c r="AA81" s="83"/>
      <c r="AB81" s="83"/>
      <c r="AC81" s="84"/>
      <c r="AD81" s="17"/>
      <c r="AE81" s="84"/>
    </row>
    <row r="82" spans="1:31" ht="15" customHeight="1" outlineLevel="1" x14ac:dyDescent="0.35">
      <c r="A82" s="91"/>
      <c r="B82" s="10"/>
      <c r="C82" s="15"/>
      <c r="D82" s="124"/>
      <c r="E82" s="56"/>
      <c r="F82" s="56"/>
      <c r="G82" s="12"/>
      <c r="H82" s="81"/>
      <c r="I82" s="19"/>
      <c r="J82" s="19"/>
      <c r="K82" s="18" t="s">
        <v>47</v>
      </c>
      <c r="L82" s="59" t="s">
        <v>92</v>
      </c>
      <c r="M82" s="18" t="s">
        <v>48</v>
      </c>
      <c r="N82" s="56">
        <f>P82/O82</f>
        <v>11.12</v>
      </c>
      <c r="O82" s="56">
        <v>25</v>
      </c>
      <c r="P82" s="56">
        <f>P79-P81-P80</f>
        <v>278</v>
      </c>
      <c r="Q82" s="117"/>
      <c r="R82" s="151">
        <v>2700000</v>
      </c>
      <c r="S82" s="37">
        <v>0.5</v>
      </c>
      <c r="T82" s="86">
        <f>ROUND((S82*R82*N82),0)</f>
        <v>15012000</v>
      </c>
      <c r="U82" s="138"/>
      <c r="V82" s="138"/>
      <c r="W82" s="92"/>
      <c r="X82" s="37"/>
      <c r="Y82" s="37"/>
      <c r="Z82" s="89"/>
      <c r="AA82" s="83"/>
      <c r="AB82" s="83"/>
      <c r="AC82" s="84"/>
      <c r="AD82" s="17"/>
      <c r="AE82" s="84"/>
    </row>
    <row r="83" spans="1:31" ht="15" customHeight="1" outlineLevel="1" x14ac:dyDescent="0.35">
      <c r="A83" s="91"/>
      <c r="B83" s="10"/>
      <c r="C83" s="15"/>
      <c r="D83" s="124"/>
      <c r="E83" s="56"/>
      <c r="F83" s="56"/>
      <c r="G83" s="12"/>
      <c r="H83" s="81"/>
      <c r="I83" s="19"/>
      <c r="J83" s="19"/>
      <c r="K83" s="18" t="s">
        <v>102</v>
      </c>
      <c r="L83" s="59" t="s">
        <v>92</v>
      </c>
      <c r="M83" s="18" t="s">
        <v>48</v>
      </c>
      <c r="N83" s="56">
        <f>P83/O83</f>
        <v>14.135999999999999</v>
      </c>
      <c r="O83" s="56">
        <v>25</v>
      </c>
      <c r="P83" s="56">
        <f>0.3*(P79-P80)</f>
        <v>353.4</v>
      </c>
      <c r="Q83" s="117"/>
      <c r="R83" s="151">
        <v>2700000</v>
      </c>
      <c r="S83" s="37">
        <v>0.25</v>
      </c>
      <c r="T83" s="86">
        <f>ROUND((S83*R83*N83),0)</f>
        <v>9541800</v>
      </c>
      <c r="U83" s="138"/>
      <c r="V83" s="138"/>
      <c r="W83" s="92"/>
      <c r="X83" s="37"/>
      <c r="Y83" s="37"/>
      <c r="Z83" s="89"/>
      <c r="AA83" s="83"/>
      <c r="AB83" s="83"/>
      <c r="AC83" s="84"/>
      <c r="AD83" s="17"/>
      <c r="AE83" s="84"/>
    </row>
  </sheetData>
  <autoFilter ref="A1:AE8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6C67-95C4-4268-9FAB-CB1B21D9B539}">
  <dimension ref="A1:V883"/>
  <sheetViews>
    <sheetView topLeftCell="C1" zoomScale="85" zoomScaleNormal="85" workbookViewId="0">
      <pane ySplit="1" topLeftCell="A2" activePane="bottomLeft" state="frozen"/>
      <selection activeCell="T1" sqref="T1"/>
      <selection pane="bottomLeft" activeCell="K13" sqref="K13"/>
    </sheetView>
  </sheetViews>
  <sheetFormatPr defaultColWidth="8.7265625" defaultRowHeight="34" customHeight="1" x14ac:dyDescent="0.35"/>
  <cols>
    <col min="1" max="1" width="7.453125" style="161" customWidth="1"/>
    <col min="2" max="2" width="25.1796875" customWidth="1"/>
    <col min="3" max="3" width="20.1796875" customWidth="1"/>
    <col min="4" max="4" width="9" style="161" bestFit="1" customWidth="1"/>
    <col min="5" max="5" width="8.26953125" style="161" bestFit="1" customWidth="1"/>
    <col min="6" max="7" width="12.54296875" style="161" customWidth="1"/>
    <col min="8" max="8" width="14.81640625" bestFit="1" customWidth="1"/>
    <col min="9" max="9" width="17.81640625" bestFit="1" customWidth="1"/>
    <col min="11" max="11" width="33.26953125" customWidth="1"/>
    <col min="12" max="12" width="18.54296875" customWidth="1"/>
    <col min="17" max="17" width="9.7265625" bestFit="1" customWidth="1"/>
    <col min="19" max="19" width="41.81640625" customWidth="1"/>
    <col min="20" max="20" width="25.26953125" customWidth="1"/>
  </cols>
  <sheetData>
    <row r="1" spans="1:22" ht="34" customHeight="1" x14ac:dyDescent="0.35">
      <c r="A1" s="181" t="s">
        <v>107</v>
      </c>
      <c r="B1" s="181"/>
      <c r="C1" s="181"/>
      <c r="D1" s="181" t="s">
        <v>106</v>
      </c>
      <c r="E1" s="181" t="s">
        <v>105</v>
      </c>
      <c r="F1" s="181" t="s">
        <v>110</v>
      </c>
      <c r="G1" s="181" t="s">
        <v>109</v>
      </c>
      <c r="H1" s="181" t="s">
        <v>115</v>
      </c>
      <c r="I1" t="s">
        <v>114</v>
      </c>
      <c r="J1" s="181" t="s">
        <v>107</v>
      </c>
      <c r="K1" s="181" t="s">
        <v>113</v>
      </c>
      <c r="L1" s="181" t="s">
        <v>112</v>
      </c>
      <c r="M1" s="181" t="s">
        <v>111</v>
      </c>
      <c r="N1" s="181" t="s">
        <v>105</v>
      </c>
      <c r="O1" s="181" t="s">
        <v>110</v>
      </c>
      <c r="P1" s="181" t="s">
        <v>109</v>
      </c>
      <c r="Q1" s="181" t="s">
        <v>108</v>
      </c>
      <c r="R1" s="181" t="s">
        <v>107</v>
      </c>
      <c r="S1" s="181"/>
      <c r="T1" s="181"/>
      <c r="U1" s="181" t="s">
        <v>106</v>
      </c>
      <c r="V1" s="181" t="s">
        <v>105</v>
      </c>
    </row>
    <row r="2" spans="1:22" ht="15.5" x14ac:dyDescent="0.35">
      <c r="A2" s="178">
        <v>16</v>
      </c>
      <c r="B2" s="175" t="s">
        <v>145</v>
      </c>
      <c r="C2" s="175" t="s">
        <v>125</v>
      </c>
      <c r="D2" s="173">
        <v>1440</v>
      </c>
      <c r="E2" s="174">
        <v>528</v>
      </c>
      <c r="F2" s="173">
        <v>50</v>
      </c>
      <c r="G2" s="173">
        <v>16</v>
      </c>
      <c r="H2" s="176"/>
      <c r="J2" cm="1">
        <f t="array" ref="J2:P9">_xlfn._xlws.FILTER('File tổng'!A3:G7747,(LEN('File tổng'!A3:A7747)&gt;0)*(LEN('File tổng'!B3:B7747)&gt;0),"khong thay")</f>
        <v>1</v>
      </c>
      <c r="K2" t="str">
        <v>Nguyễn Văn A</v>
      </c>
      <c r="L2" t="str">
        <v>Lê Văn Hg</v>
      </c>
      <c r="M2">
        <v>1860</v>
      </c>
      <c r="N2">
        <v>876</v>
      </c>
      <c r="O2" t="str">
        <v>50</v>
      </c>
      <c r="P2" t="str">
        <v>298</v>
      </c>
      <c r="Q2" t="b">
        <f t="shared" ref="Q2:Q9" si="0">AND(J2=R2,M2=U2,N2=V2)</f>
        <v>0</v>
      </c>
      <c r="R2" cm="1">
        <f t="array" ref="R2:V2">_xlfn.XLOOKUP(O2&amp;"]"&amp;P2,$F$2:$F$30&amp;"]"&amp;$G$2:$G$30,$A$2:$E$30,,0)</f>
        <v>109</v>
      </c>
      <c r="S2" t="str">
        <v>Nguyễn Thị N</v>
      </c>
      <c r="T2" t="str">
        <v>Nguyễn Văn A</v>
      </c>
      <c r="U2">
        <v>1860</v>
      </c>
      <c r="V2">
        <v>876</v>
      </c>
    </row>
    <row r="3" spans="1:22" ht="15.5" x14ac:dyDescent="0.35">
      <c r="A3" s="172">
        <v>20</v>
      </c>
      <c r="B3" s="175" t="s">
        <v>140</v>
      </c>
      <c r="C3" s="175" t="s">
        <v>119</v>
      </c>
      <c r="D3" s="173">
        <v>1920</v>
      </c>
      <c r="E3" s="174">
        <v>672</v>
      </c>
      <c r="F3" s="173">
        <v>50</v>
      </c>
      <c r="G3" s="173">
        <v>23</v>
      </c>
      <c r="H3" s="176"/>
      <c r="J3">
        <v>2</v>
      </c>
      <c r="K3" t="str">
        <v>Lê Văn H</v>
      </c>
      <c r="L3" t="str">
        <v>Lê Văn Hg</v>
      </c>
      <c r="M3">
        <v>1488</v>
      </c>
      <c r="N3">
        <v>701</v>
      </c>
      <c r="O3" t="str">
        <v>50</v>
      </c>
      <c r="P3" t="str">
        <v>299</v>
      </c>
      <c r="Q3" t="b">
        <f t="shared" si="0"/>
        <v>0</v>
      </c>
      <c r="R3" cm="1">
        <f t="array" ref="R3:V3">_xlfn.XLOOKUP(O3&amp;"]"&amp;P3,$F$2:$F$30&amp;"]"&amp;$G$2:$G$30,$A$2:$E$30,,0)</f>
        <v>108</v>
      </c>
      <c r="S3" t="str">
        <v>Lê Văn H; Nguyễn Thị T</v>
      </c>
      <c r="T3" t="str">
        <v>Lê Văn H</v>
      </c>
      <c r="U3">
        <v>1488</v>
      </c>
      <c r="V3">
        <v>701</v>
      </c>
    </row>
    <row r="4" spans="1:22" ht="15.5" x14ac:dyDescent="0.35">
      <c r="A4" s="172">
        <v>59</v>
      </c>
      <c r="B4" s="175" t="s">
        <v>132</v>
      </c>
      <c r="C4" s="175" t="s">
        <v>132</v>
      </c>
      <c r="D4" s="173">
        <v>2880</v>
      </c>
      <c r="E4" s="174">
        <v>1032</v>
      </c>
      <c r="F4" s="173">
        <v>50</v>
      </c>
      <c r="G4" s="173">
        <v>27</v>
      </c>
      <c r="H4" s="176"/>
      <c r="J4">
        <v>77</v>
      </c>
      <c r="K4" t="str">
        <v>Lê Văn B</v>
      </c>
      <c r="L4" t="str">
        <v>Nguyễn Văn H</v>
      </c>
      <c r="M4">
        <v>2400</v>
      </c>
      <c r="N4">
        <v>672</v>
      </c>
      <c r="O4" t="str">
        <v>50</v>
      </c>
      <c r="P4" t="str">
        <v>17</v>
      </c>
      <c r="Q4" t="b">
        <f t="shared" si="0"/>
        <v>1</v>
      </c>
      <c r="R4" cm="1">
        <f t="array" ref="R4:V4">_xlfn.XLOOKUP(O4&amp;"]"&amp;P4,$F$2:$F$30&amp;"]"&amp;$G$2:$G$30,$A$2:$E$30,,0)</f>
        <v>77</v>
      </c>
      <c r="S4" t="str">
        <v>Lê Văn B; Đinh Thị P</v>
      </c>
      <c r="T4" t="str">
        <v>Lê Văn B</v>
      </c>
      <c r="U4">
        <v>2400</v>
      </c>
      <c r="V4">
        <v>672</v>
      </c>
    </row>
    <row r="5" spans="1:22" ht="15.5" x14ac:dyDescent="0.35">
      <c r="A5" s="172">
        <v>59</v>
      </c>
      <c r="B5" s="175" t="s">
        <v>132</v>
      </c>
      <c r="C5" s="175" t="s">
        <v>132</v>
      </c>
      <c r="D5" s="173">
        <v>2880</v>
      </c>
      <c r="E5" s="174">
        <v>1356</v>
      </c>
      <c r="F5" s="173">
        <v>50</v>
      </c>
      <c r="G5" s="173">
        <v>688</v>
      </c>
      <c r="H5" s="176"/>
      <c r="J5">
        <v>16</v>
      </c>
      <c r="K5" t="str">
        <v>Lê Thị X</v>
      </c>
      <c r="L5" t="str">
        <v>Nguyễn Văn H</v>
      </c>
      <c r="M5">
        <v>1440</v>
      </c>
      <c r="N5">
        <v>528</v>
      </c>
      <c r="O5" t="str">
        <v>50</v>
      </c>
      <c r="P5" t="str">
        <v>16</v>
      </c>
      <c r="Q5" t="b">
        <f t="shared" si="0"/>
        <v>1</v>
      </c>
      <c r="R5" cm="1">
        <f t="array" ref="R5:V5">_xlfn.XLOOKUP(O5&amp;"]"&amp;P5,$F$2:$F$30&amp;"]"&amp;$G$2:$G$30,$A$2:$E$30,,0)</f>
        <v>16</v>
      </c>
      <c r="S5" t="str">
        <v>Lã Văn N</v>
      </c>
      <c r="T5" t="str">
        <v>Lê Thị X</v>
      </c>
      <c r="U5">
        <v>1440</v>
      </c>
      <c r="V5">
        <v>528</v>
      </c>
    </row>
    <row r="6" spans="1:22" ht="15.5" x14ac:dyDescent="0.35">
      <c r="A6" s="172">
        <v>61</v>
      </c>
      <c r="B6" s="175" t="s">
        <v>146</v>
      </c>
      <c r="C6" s="175" t="s">
        <v>130</v>
      </c>
      <c r="D6" s="173">
        <v>3360</v>
      </c>
      <c r="E6" s="174">
        <v>360</v>
      </c>
      <c r="F6" s="173">
        <v>50</v>
      </c>
      <c r="G6" s="173">
        <v>885</v>
      </c>
      <c r="H6" s="176"/>
      <c r="J6">
        <v>89</v>
      </c>
      <c r="K6" t="str">
        <v>Nguyễn Văn C</v>
      </c>
      <c r="L6" t="str">
        <v>Nguyễn Văn C</v>
      </c>
      <c r="M6">
        <v>2880</v>
      </c>
      <c r="N6">
        <v>1008</v>
      </c>
      <c r="O6">
        <v>50</v>
      </c>
      <c r="P6" t="str">
        <v>4</v>
      </c>
      <c r="Q6" t="b">
        <f t="shared" si="0"/>
        <v>1</v>
      </c>
      <c r="R6" cm="1">
        <f t="array" ref="R6:V6">_xlfn.XLOOKUP(O6&amp;"]"&amp;P6,$F$2:$F$30&amp;"]"&amp;$G$2:$G$30,$A$2:$E$30,,0)</f>
        <v>89</v>
      </c>
      <c r="S6" t="str">
        <v>Nguyễn Văn C</v>
      </c>
      <c r="T6" t="str">
        <v>Nguyễn Văn C</v>
      </c>
      <c r="U6">
        <v>2880</v>
      </c>
      <c r="V6">
        <v>1008</v>
      </c>
    </row>
    <row r="7" spans="1:22" ht="15.5" x14ac:dyDescent="0.35">
      <c r="A7" s="172">
        <v>77</v>
      </c>
      <c r="B7" s="175" t="s">
        <v>144</v>
      </c>
      <c r="C7" s="175" t="s">
        <v>122</v>
      </c>
      <c r="D7" s="173">
        <v>2400</v>
      </c>
      <c r="E7" s="174">
        <v>672</v>
      </c>
      <c r="F7" s="173">
        <v>50</v>
      </c>
      <c r="G7" s="173">
        <v>17</v>
      </c>
      <c r="H7" s="176"/>
      <c r="J7">
        <v>2</v>
      </c>
      <c r="K7" t="str">
        <v>Đào Ngọc T</v>
      </c>
      <c r="L7" t="str">
        <v>Đào Thị T H</v>
      </c>
      <c r="M7">
        <v>0</v>
      </c>
      <c r="N7">
        <v>1000</v>
      </c>
      <c r="O7">
        <v>50</v>
      </c>
      <c r="P7" t="str">
        <v>885</v>
      </c>
      <c r="Q7" t="b">
        <f t="shared" si="0"/>
        <v>0</v>
      </c>
      <c r="R7" cm="1">
        <f t="array" ref="R7:V7">_xlfn.XLOOKUP(O7&amp;"]"&amp;P7,$F$2:$F$30&amp;"]"&amp;$G$2:$G$30,$A$2:$E$30,,0)</f>
        <v>61</v>
      </c>
      <c r="S7" t="str">
        <v>Lê Thị L</v>
      </c>
      <c r="T7" t="str">
        <v>Đào Ngọc T</v>
      </c>
      <c r="U7">
        <v>3360</v>
      </c>
      <c r="V7">
        <v>360</v>
      </c>
    </row>
    <row r="8" spans="1:22" ht="15.5" x14ac:dyDescent="0.35">
      <c r="A8" s="172">
        <v>77</v>
      </c>
      <c r="B8" s="175" t="s">
        <v>144</v>
      </c>
      <c r="C8" s="175" t="s">
        <v>122</v>
      </c>
      <c r="D8" s="173">
        <v>2400</v>
      </c>
      <c r="E8" s="174">
        <v>456</v>
      </c>
      <c r="F8" s="173">
        <v>51</v>
      </c>
      <c r="G8" s="173">
        <v>222</v>
      </c>
      <c r="H8" s="176"/>
      <c r="J8">
        <v>59</v>
      </c>
      <c r="K8" t="str">
        <v>Lê Văn Đ</v>
      </c>
      <c r="L8" t="str">
        <v>Lê Văn T</v>
      </c>
      <c r="M8">
        <v>2880</v>
      </c>
      <c r="N8">
        <v>1356</v>
      </c>
      <c r="O8">
        <v>50</v>
      </c>
      <c r="P8" t="str">
        <v>688</v>
      </c>
      <c r="Q8" t="b">
        <f t="shared" si="0"/>
        <v>1</v>
      </c>
      <c r="R8" cm="1">
        <f t="array" ref="R8:V8">_xlfn.XLOOKUP(O8&amp;"]"&amp;P8,$F$2:$F$30&amp;"]"&amp;$G$2:$G$30,$A$2:$E$30,,0)</f>
        <v>59</v>
      </c>
      <c r="S8" t="str">
        <v>Lê Văn Đ</v>
      </c>
      <c r="T8" t="str">
        <v>Lê Văn Đ</v>
      </c>
      <c r="U8">
        <v>2880</v>
      </c>
      <c r="V8">
        <v>1356</v>
      </c>
    </row>
    <row r="9" spans="1:22" ht="15.5" x14ac:dyDescent="0.35">
      <c r="A9" s="172">
        <v>77</v>
      </c>
      <c r="B9" s="175" t="s">
        <v>144</v>
      </c>
      <c r="C9" s="175" t="s">
        <v>122</v>
      </c>
      <c r="D9" s="173">
        <v>2400</v>
      </c>
      <c r="E9" s="174">
        <v>0</v>
      </c>
      <c r="F9" s="173">
        <v>47</v>
      </c>
      <c r="G9" s="173">
        <v>665</v>
      </c>
      <c r="H9" s="176"/>
      <c r="J9">
        <v>133</v>
      </c>
      <c r="K9" t="str">
        <v>Lê Đình K</v>
      </c>
      <c r="L9" t="str">
        <v>Lê Đình P</v>
      </c>
      <c r="M9">
        <v>2880</v>
      </c>
      <c r="N9">
        <v>1248</v>
      </c>
      <c r="O9">
        <v>50</v>
      </c>
      <c r="P9" t="str">
        <v>784</v>
      </c>
      <c r="Q9" t="b">
        <f t="shared" si="0"/>
        <v>1</v>
      </c>
      <c r="R9" cm="1">
        <f t="array" ref="R9:V9">_xlfn.XLOOKUP(O9&amp;"]"&amp;P9,$F$2:$F$30&amp;"]"&amp;$G$2:$G$30,$A$2:$E$30,,0)</f>
        <v>133</v>
      </c>
      <c r="S9" t="str">
        <v>Trần Thị T</v>
      </c>
      <c r="T9" t="str">
        <v>Lê Đình K</v>
      </c>
      <c r="U9">
        <v>2880</v>
      </c>
      <c r="V9">
        <v>1248</v>
      </c>
    </row>
    <row r="10" spans="1:22" ht="15.5" x14ac:dyDescent="0.35">
      <c r="A10" s="172">
        <v>89</v>
      </c>
      <c r="B10" s="175" t="s">
        <v>128</v>
      </c>
      <c r="C10" s="175" t="s">
        <v>128</v>
      </c>
      <c r="D10" s="173">
        <v>2880</v>
      </c>
      <c r="E10" s="174">
        <v>1008</v>
      </c>
      <c r="F10" s="173">
        <v>50</v>
      </c>
      <c r="G10" s="173">
        <v>4</v>
      </c>
      <c r="H10" s="176"/>
    </row>
    <row r="11" spans="1:22" ht="15.5" x14ac:dyDescent="0.35">
      <c r="A11" s="172">
        <v>89</v>
      </c>
      <c r="B11" s="175" t="s">
        <v>128</v>
      </c>
      <c r="C11" s="175" t="s">
        <v>128</v>
      </c>
      <c r="D11" s="173">
        <v>2880</v>
      </c>
      <c r="E11" s="174">
        <v>312</v>
      </c>
      <c r="F11" s="173">
        <v>47</v>
      </c>
      <c r="G11" s="173">
        <v>741</v>
      </c>
      <c r="H11" s="176"/>
    </row>
    <row r="12" spans="1:22" ht="28" x14ac:dyDescent="0.35">
      <c r="A12" s="172">
        <v>115</v>
      </c>
      <c r="B12" s="175" t="s">
        <v>150</v>
      </c>
      <c r="C12" s="175" t="s">
        <v>151</v>
      </c>
      <c r="D12" s="173">
        <v>1860</v>
      </c>
      <c r="E12" s="174">
        <v>288</v>
      </c>
      <c r="F12" s="173">
        <v>51</v>
      </c>
      <c r="G12" s="173">
        <v>188</v>
      </c>
      <c r="H12" s="176"/>
    </row>
    <row r="13" spans="1:22" ht="28" x14ac:dyDescent="0.35">
      <c r="A13" s="172">
        <v>115</v>
      </c>
      <c r="B13" s="175" t="s">
        <v>150</v>
      </c>
      <c r="C13" s="175" t="s">
        <v>151</v>
      </c>
      <c r="D13" s="173">
        <v>1860</v>
      </c>
      <c r="E13" s="174">
        <v>852</v>
      </c>
      <c r="F13" s="173">
        <v>51</v>
      </c>
      <c r="G13" s="173">
        <v>215</v>
      </c>
      <c r="H13" s="176"/>
    </row>
    <row r="14" spans="1:22" ht="15.5" x14ac:dyDescent="0.35">
      <c r="A14" s="172">
        <v>115</v>
      </c>
      <c r="B14" s="175" t="s">
        <v>94</v>
      </c>
      <c r="C14" s="175" t="s">
        <v>151</v>
      </c>
      <c r="D14" s="173">
        <v>1860</v>
      </c>
      <c r="E14" s="174">
        <v>432</v>
      </c>
      <c r="F14" s="173">
        <v>54</v>
      </c>
      <c r="G14" s="173">
        <v>745</v>
      </c>
      <c r="H14" s="176"/>
    </row>
    <row r="15" spans="1:22" ht="28" x14ac:dyDescent="0.35">
      <c r="A15" s="172">
        <v>115.5</v>
      </c>
      <c r="B15" s="175" t="s">
        <v>150</v>
      </c>
      <c r="C15" s="175" t="s">
        <v>151</v>
      </c>
      <c r="D15" s="173">
        <v>880</v>
      </c>
      <c r="E15" s="174">
        <v>456</v>
      </c>
      <c r="F15" s="173">
        <v>51</v>
      </c>
      <c r="G15" s="173">
        <v>61</v>
      </c>
      <c r="H15" s="176"/>
    </row>
    <row r="16" spans="1:22" ht="15.5" x14ac:dyDescent="0.35">
      <c r="A16" s="172">
        <v>118</v>
      </c>
      <c r="B16" s="175" t="s">
        <v>149</v>
      </c>
      <c r="C16" s="175" t="s">
        <v>149</v>
      </c>
      <c r="D16" s="173">
        <v>2400</v>
      </c>
      <c r="E16" s="174">
        <v>564</v>
      </c>
      <c r="F16" s="173">
        <v>54</v>
      </c>
      <c r="G16" s="173">
        <v>31</v>
      </c>
      <c r="H16" s="176"/>
    </row>
    <row r="17" spans="1:8" ht="15.5" x14ac:dyDescent="0.35">
      <c r="A17" s="172">
        <v>118</v>
      </c>
      <c r="B17" s="175" t="s">
        <v>149</v>
      </c>
      <c r="C17" s="175" t="s">
        <v>149</v>
      </c>
      <c r="D17" s="173">
        <v>2400</v>
      </c>
      <c r="E17" s="174">
        <v>504</v>
      </c>
      <c r="F17" s="173">
        <v>51</v>
      </c>
      <c r="G17" s="173">
        <v>131</v>
      </c>
      <c r="H17" s="176"/>
    </row>
    <row r="18" spans="1:8" ht="15.5" x14ac:dyDescent="0.35">
      <c r="A18" s="172">
        <v>118</v>
      </c>
      <c r="B18" s="175" t="s">
        <v>149</v>
      </c>
      <c r="C18" s="175" t="s">
        <v>149</v>
      </c>
      <c r="D18" s="173">
        <v>2400</v>
      </c>
      <c r="E18" s="174">
        <v>480</v>
      </c>
      <c r="F18" s="173">
        <v>51</v>
      </c>
      <c r="G18" s="173">
        <v>212</v>
      </c>
      <c r="H18" s="176"/>
    </row>
    <row r="19" spans="1:8" ht="15.5" x14ac:dyDescent="0.35">
      <c r="A19" s="172">
        <v>120</v>
      </c>
      <c r="B19" s="175" t="s">
        <v>152</v>
      </c>
      <c r="C19" s="175" t="s">
        <v>153</v>
      </c>
      <c r="D19" s="173">
        <v>3840</v>
      </c>
      <c r="E19" s="174">
        <v>1032</v>
      </c>
      <c r="F19" s="173">
        <v>50</v>
      </c>
      <c r="G19" s="173">
        <v>33</v>
      </c>
      <c r="H19" s="176"/>
    </row>
    <row r="20" spans="1:8" ht="15.5" x14ac:dyDescent="0.35">
      <c r="A20" s="172">
        <v>120</v>
      </c>
      <c r="B20" s="175" t="s">
        <v>152</v>
      </c>
      <c r="C20" s="175" t="s">
        <v>153</v>
      </c>
      <c r="D20" s="173">
        <v>3840</v>
      </c>
      <c r="E20" s="174">
        <v>456</v>
      </c>
      <c r="F20" s="173">
        <v>51</v>
      </c>
      <c r="G20" s="173">
        <v>60</v>
      </c>
      <c r="H20" s="176"/>
    </row>
    <row r="21" spans="1:8" ht="15.5" x14ac:dyDescent="0.35">
      <c r="A21" s="172">
        <v>120</v>
      </c>
      <c r="B21" s="175" t="s">
        <v>152</v>
      </c>
      <c r="C21" s="175" t="s">
        <v>153</v>
      </c>
      <c r="D21" s="173">
        <v>3840</v>
      </c>
      <c r="E21" s="174">
        <v>724.8</v>
      </c>
      <c r="F21" s="173">
        <v>50</v>
      </c>
      <c r="G21" s="173">
        <v>814</v>
      </c>
      <c r="H21" s="176"/>
    </row>
    <row r="22" spans="1:8" ht="15.5" x14ac:dyDescent="0.35">
      <c r="A22" s="172">
        <v>120</v>
      </c>
      <c r="B22" s="175" t="s">
        <v>152</v>
      </c>
      <c r="C22" s="175" t="s">
        <v>153</v>
      </c>
      <c r="D22" s="173">
        <v>3840</v>
      </c>
      <c r="E22" s="174">
        <v>288</v>
      </c>
      <c r="F22" s="173">
        <v>47</v>
      </c>
      <c r="G22" s="173">
        <v>923</v>
      </c>
      <c r="H22" s="176"/>
    </row>
    <row r="23" spans="1:8" ht="15.5" x14ac:dyDescent="0.35">
      <c r="A23" s="172">
        <v>133</v>
      </c>
      <c r="B23" s="171" t="s">
        <v>147</v>
      </c>
      <c r="C23" s="171" t="s">
        <v>135</v>
      </c>
      <c r="D23" s="168">
        <v>2880</v>
      </c>
      <c r="E23" s="169">
        <v>1008</v>
      </c>
      <c r="F23" s="170">
        <v>50</v>
      </c>
      <c r="G23" s="170">
        <v>42</v>
      </c>
      <c r="H23" s="176"/>
    </row>
    <row r="24" spans="1:8" ht="15.5" x14ac:dyDescent="0.35">
      <c r="A24" s="172">
        <v>133</v>
      </c>
      <c r="B24" s="171" t="s">
        <v>147</v>
      </c>
      <c r="C24" s="171" t="s">
        <v>135</v>
      </c>
      <c r="D24" s="168">
        <v>2880</v>
      </c>
      <c r="E24" s="169">
        <v>1008</v>
      </c>
      <c r="F24" s="170">
        <v>50</v>
      </c>
      <c r="G24" s="170">
        <v>84</v>
      </c>
      <c r="H24" s="176"/>
    </row>
    <row r="25" spans="1:8" ht="15.5" x14ac:dyDescent="0.35">
      <c r="A25" s="172">
        <v>133</v>
      </c>
      <c r="B25" s="171" t="s">
        <v>147</v>
      </c>
      <c r="C25" s="171" t="s">
        <v>135</v>
      </c>
      <c r="D25" s="168">
        <v>2880</v>
      </c>
      <c r="E25" s="169">
        <v>312</v>
      </c>
      <c r="F25" s="170">
        <v>51</v>
      </c>
      <c r="G25" s="170">
        <v>247</v>
      </c>
      <c r="H25" s="176"/>
    </row>
    <row r="26" spans="1:8" ht="15.5" x14ac:dyDescent="0.35">
      <c r="A26" s="172">
        <v>133</v>
      </c>
      <c r="B26" s="171" t="s">
        <v>147</v>
      </c>
      <c r="C26" s="171" t="s">
        <v>135</v>
      </c>
      <c r="D26" s="168">
        <v>2880</v>
      </c>
      <c r="E26" s="169">
        <v>1248</v>
      </c>
      <c r="F26" s="170">
        <v>50</v>
      </c>
      <c r="G26" s="170">
        <v>784</v>
      </c>
      <c r="H26" s="176"/>
    </row>
    <row r="27" spans="1:8" ht="15.5" x14ac:dyDescent="0.35">
      <c r="A27" s="166">
        <v>108</v>
      </c>
      <c r="B27" s="163" t="s">
        <v>142</v>
      </c>
      <c r="C27" s="163" t="s">
        <v>119</v>
      </c>
      <c r="D27" s="163">
        <v>1488</v>
      </c>
      <c r="E27" s="162">
        <v>787</v>
      </c>
      <c r="F27" s="164">
        <v>50</v>
      </c>
      <c r="G27" s="164">
        <v>89</v>
      </c>
      <c r="H27" s="176"/>
    </row>
    <row r="28" spans="1:8" ht="15.5" x14ac:dyDescent="0.35">
      <c r="A28" s="166">
        <v>108</v>
      </c>
      <c r="B28" s="163" t="s">
        <v>142</v>
      </c>
      <c r="C28" s="163" t="s">
        <v>119</v>
      </c>
      <c r="D28" s="163">
        <v>1488</v>
      </c>
      <c r="E28" s="162">
        <v>701</v>
      </c>
      <c r="F28" s="164">
        <v>50</v>
      </c>
      <c r="G28" s="164">
        <v>299</v>
      </c>
      <c r="H28" s="176"/>
    </row>
    <row r="29" spans="1:8" ht="28" x14ac:dyDescent="0.35">
      <c r="A29" s="166">
        <v>109</v>
      </c>
      <c r="B29" s="163" t="s">
        <v>139</v>
      </c>
      <c r="C29" s="163" t="s">
        <v>138</v>
      </c>
      <c r="D29" s="163">
        <v>1860</v>
      </c>
      <c r="E29" s="162">
        <v>984</v>
      </c>
      <c r="F29" s="164">
        <v>50</v>
      </c>
      <c r="G29" s="164">
        <v>88</v>
      </c>
      <c r="H29" s="176"/>
    </row>
    <row r="30" spans="1:8" ht="15.5" x14ac:dyDescent="0.35">
      <c r="A30" s="166">
        <v>109</v>
      </c>
      <c r="B30" s="163" t="s">
        <v>141</v>
      </c>
      <c r="C30" s="163" t="s">
        <v>116</v>
      </c>
      <c r="D30" s="163">
        <v>1860</v>
      </c>
      <c r="E30" s="162">
        <v>876</v>
      </c>
      <c r="F30" s="164">
        <v>50</v>
      </c>
      <c r="G30" s="164">
        <v>298</v>
      </c>
      <c r="H30" s="176"/>
    </row>
    <row r="31" spans="1:8" ht="15.5" x14ac:dyDescent="0.35">
      <c r="A31" s="163"/>
      <c r="B31" s="163"/>
      <c r="C31" s="163"/>
      <c r="D31" s="163"/>
      <c r="E31" s="162"/>
      <c r="F31" s="164"/>
      <c r="G31" s="164"/>
      <c r="H31" s="176"/>
    </row>
    <row r="32" spans="1:8" ht="15.5" x14ac:dyDescent="0.35">
      <c r="A32" s="163"/>
      <c r="B32" s="163"/>
      <c r="C32" s="163"/>
      <c r="D32" s="163"/>
      <c r="E32" s="162"/>
      <c r="F32" s="164"/>
      <c r="G32" s="164"/>
      <c r="H32" s="176"/>
    </row>
    <row r="33" spans="1:8" ht="15.5" x14ac:dyDescent="0.35">
      <c r="A33" s="163"/>
      <c r="B33" s="163"/>
      <c r="C33" s="163"/>
      <c r="D33" s="163"/>
      <c r="E33" s="162"/>
      <c r="F33" s="164"/>
      <c r="G33" s="164"/>
      <c r="H33" s="176"/>
    </row>
    <row r="34" spans="1:8" ht="15.5" x14ac:dyDescent="0.35">
      <c r="A34" s="163"/>
      <c r="B34" s="163"/>
      <c r="C34" s="163"/>
      <c r="D34" s="163"/>
      <c r="E34" s="162"/>
      <c r="F34" s="164"/>
      <c r="G34" s="164"/>
      <c r="H34" s="176"/>
    </row>
    <row r="35" spans="1:8" ht="15.5" x14ac:dyDescent="0.35">
      <c r="A35" s="163"/>
      <c r="B35" s="163"/>
      <c r="C35" s="163"/>
      <c r="D35" s="163"/>
      <c r="E35" s="162"/>
      <c r="F35" s="164"/>
      <c r="G35" s="164"/>
      <c r="H35" s="176"/>
    </row>
    <row r="36" spans="1:8" ht="15.5" x14ac:dyDescent="0.35">
      <c r="A36" s="163"/>
      <c r="B36" s="163"/>
      <c r="C36" s="163"/>
      <c r="D36" s="163"/>
      <c r="E36" s="162"/>
      <c r="F36" s="164"/>
      <c r="G36" s="164"/>
      <c r="H36" s="176"/>
    </row>
    <row r="37" spans="1:8" ht="15.5" x14ac:dyDescent="0.35">
      <c r="A37" s="163"/>
      <c r="B37" s="163"/>
      <c r="C37" s="163"/>
      <c r="D37" s="163"/>
      <c r="E37" s="162"/>
      <c r="F37" s="164"/>
      <c r="G37" s="164"/>
      <c r="H37" s="176"/>
    </row>
    <row r="38" spans="1:8" ht="15.5" x14ac:dyDescent="0.35">
      <c r="A38" s="163"/>
      <c r="B38" s="163"/>
      <c r="C38" s="163"/>
      <c r="D38" s="163"/>
      <c r="E38" s="162"/>
      <c r="F38" s="164"/>
      <c r="G38" s="164"/>
      <c r="H38" s="176"/>
    </row>
    <row r="39" spans="1:8" ht="15.5" x14ac:dyDescent="0.35">
      <c r="A39" s="163"/>
      <c r="B39" s="163"/>
      <c r="C39" s="163"/>
      <c r="D39" s="163"/>
      <c r="E39" s="162"/>
      <c r="F39" s="164"/>
      <c r="G39" s="164"/>
      <c r="H39" s="176"/>
    </row>
    <row r="40" spans="1:8" ht="15.5" x14ac:dyDescent="0.35">
      <c r="A40" s="163"/>
      <c r="B40" s="163"/>
      <c r="C40" s="163"/>
      <c r="D40" s="163"/>
      <c r="E40" s="162"/>
      <c r="F40" s="164"/>
      <c r="G40" s="164"/>
      <c r="H40" s="176"/>
    </row>
    <row r="41" spans="1:8" ht="15.5" x14ac:dyDescent="0.35">
      <c r="A41" s="163"/>
      <c r="B41" s="163"/>
      <c r="C41" s="163"/>
      <c r="D41" s="163"/>
      <c r="E41" s="162"/>
      <c r="F41" s="164"/>
      <c r="G41" s="165"/>
      <c r="H41" s="176"/>
    </row>
    <row r="42" spans="1:8" ht="15.5" x14ac:dyDescent="0.35">
      <c r="A42" s="163"/>
      <c r="B42" s="163"/>
      <c r="C42" s="163"/>
      <c r="D42" s="163"/>
      <c r="E42" s="162"/>
      <c r="F42" s="164"/>
      <c r="G42" s="164"/>
      <c r="H42" s="176"/>
    </row>
    <row r="43" spans="1:8" ht="15.5" x14ac:dyDescent="0.35">
      <c r="A43" s="163"/>
      <c r="B43" s="163"/>
      <c r="C43" s="163"/>
      <c r="D43" s="163"/>
      <c r="E43" s="162"/>
      <c r="F43" s="164"/>
      <c r="G43" s="164"/>
      <c r="H43" s="176"/>
    </row>
    <row r="44" spans="1:8" ht="15.5" x14ac:dyDescent="0.35">
      <c r="A44" s="163"/>
      <c r="B44" s="163"/>
      <c r="C44" s="163"/>
      <c r="D44" s="163"/>
      <c r="E44" s="162"/>
      <c r="F44" s="164"/>
      <c r="G44" s="164"/>
      <c r="H44" s="176"/>
    </row>
    <row r="45" spans="1:8" ht="15.5" x14ac:dyDescent="0.35">
      <c r="A45" s="163"/>
      <c r="B45" s="163"/>
      <c r="C45" s="163"/>
      <c r="D45" s="163"/>
      <c r="E45" s="162"/>
      <c r="F45" s="164"/>
      <c r="G45" s="164"/>
      <c r="H45" s="176"/>
    </row>
    <row r="46" spans="1:8" ht="15.5" x14ac:dyDescent="0.35">
      <c r="A46" s="163"/>
      <c r="B46" s="163"/>
      <c r="C46" s="163"/>
      <c r="D46" s="163"/>
      <c r="E46" s="162"/>
      <c r="F46" s="164"/>
      <c r="G46" s="164"/>
      <c r="H46" s="176"/>
    </row>
    <row r="47" spans="1:8" ht="15.5" x14ac:dyDescent="0.35">
      <c r="A47" s="163"/>
      <c r="B47" s="163"/>
      <c r="C47" s="163"/>
      <c r="D47" s="163"/>
      <c r="E47" s="162"/>
      <c r="F47" s="164"/>
      <c r="G47" s="164"/>
      <c r="H47" s="176"/>
    </row>
    <row r="48" spans="1:8" ht="15.5" x14ac:dyDescent="0.35">
      <c r="A48" s="163"/>
      <c r="B48" s="163"/>
      <c r="C48" s="163"/>
      <c r="D48" s="163"/>
      <c r="E48" s="162"/>
      <c r="F48" s="164"/>
      <c r="G48" s="164"/>
      <c r="H48" s="176"/>
    </row>
    <row r="49" spans="1:8" ht="15.5" x14ac:dyDescent="0.35">
      <c r="A49" s="163"/>
      <c r="B49" s="163"/>
      <c r="C49" s="163"/>
      <c r="D49" s="163"/>
      <c r="E49" s="162"/>
      <c r="F49" s="164"/>
      <c r="G49" s="164"/>
      <c r="H49" s="176"/>
    </row>
    <row r="50" spans="1:8" ht="15.5" x14ac:dyDescent="0.35">
      <c r="A50" s="163"/>
      <c r="B50" s="163"/>
      <c r="C50" s="163"/>
      <c r="D50" s="163"/>
      <c r="E50" s="162"/>
      <c r="F50" s="164"/>
      <c r="G50" s="165"/>
      <c r="H50" s="176"/>
    </row>
    <row r="51" spans="1:8" ht="15.5" x14ac:dyDescent="0.35">
      <c r="A51" s="163"/>
      <c r="B51" s="163"/>
      <c r="C51" s="163"/>
      <c r="D51" s="163"/>
      <c r="E51" s="162"/>
      <c r="F51" s="164"/>
      <c r="G51" s="164"/>
      <c r="H51" s="176"/>
    </row>
    <row r="52" spans="1:8" ht="15.5" x14ac:dyDescent="0.35">
      <c r="A52" s="163"/>
      <c r="B52" s="163"/>
      <c r="C52" s="163"/>
      <c r="D52" s="163"/>
      <c r="E52" s="162"/>
      <c r="F52" s="164"/>
      <c r="G52" s="164"/>
      <c r="H52" s="176"/>
    </row>
    <row r="53" spans="1:8" ht="15.5" x14ac:dyDescent="0.35">
      <c r="A53" s="163"/>
      <c r="B53" s="163"/>
      <c r="C53" s="163"/>
      <c r="D53" s="163"/>
      <c r="E53" s="162"/>
      <c r="F53" s="164"/>
      <c r="G53" s="164"/>
      <c r="H53" s="176"/>
    </row>
    <row r="54" spans="1:8" ht="15.5" x14ac:dyDescent="0.35">
      <c r="A54" s="163"/>
      <c r="B54" s="163"/>
      <c r="C54" s="163"/>
      <c r="D54" s="163"/>
      <c r="E54" s="162"/>
      <c r="F54" s="164"/>
      <c r="G54" s="164"/>
      <c r="H54" s="176"/>
    </row>
    <row r="55" spans="1:8" ht="15.5" x14ac:dyDescent="0.35">
      <c r="A55" s="163"/>
      <c r="B55" s="163"/>
      <c r="C55" s="163"/>
      <c r="D55" s="163"/>
      <c r="E55" s="162"/>
      <c r="F55" s="164"/>
      <c r="G55" s="164"/>
      <c r="H55" s="176"/>
    </row>
    <row r="56" spans="1:8" ht="15.5" x14ac:dyDescent="0.35">
      <c r="A56" s="163"/>
      <c r="B56" s="163"/>
      <c r="C56" s="163"/>
      <c r="D56" s="163"/>
      <c r="E56" s="162"/>
      <c r="F56" s="164"/>
      <c r="G56" s="164"/>
      <c r="H56" s="176"/>
    </row>
    <row r="57" spans="1:8" ht="15.5" x14ac:dyDescent="0.35">
      <c r="A57" s="163"/>
      <c r="B57" s="163"/>
      <c r="C57" s="163"/>
      <c r="D57" s="163"/>
      <c r="E57" s="162"/>
      <c r="F57" s="164"/>
      <c r="G57" s="164"/>
      <c r="H57" s="176"/>
    </row>
    <row r="58" spans="1:8" ht="15.5" x14ac:dyDescent="0.35">
      <c r="A58" s="163"/>
      <c r="B58" s="163"/>
      <c r="C58" s="163"/>
      <c r="D58" s="163"/>
      <c r="E58" s="162"/>
      <c r="F58" s="164"/>
      <c r="G58" s="165"/>
      <c r="H58" s="176"/>
    </row>
    <row r="59" spans="1:8" ht="15.5" x14ac:dyDescent="0.35">
      <c r="A59" s="163"/>
      <c r="B59" s="163"/>
      <c r="C59" s="163"/>
      <c r="D59" s="163"/>
      <c r="E59" s="162"/>
      <c r="F59" s="164"/>
      <c r="G59" s="164"/>
      <c r="H59" s="176"/>
    </row>
    <row r="60" spans="1:8" ht="15.5" x14ac:dyDescent="0.35">
      <c r="A60" s="163"/>
      <c r="B60" s="163"/>
      <c r="C60" s="163"/>
      <c r="D60" s="163"/>
      <c r="E60" s="162"/>
      <c r="F60" s="164"/>
      <c r="G60" s="164"/>
      <c r="H60" s="176"/>
    </row>
    <row r="61" spans="1:8" ht="15.5" x14ac:dyDescent="0.35">
      <c r="A61" s="163"/>
      <c r="B61" s="163"/>
      <c r="C61" s="163"/>
      <c r="D61" s="163"/>
      <c r="E61" s="162"/>
      <c r="F61" s="164"/>
      <c r="G61" s="164"/>
      <c r="H61" s="176"/>
    </row>
    <row r="62" spans="1:8" ht="15.5" x14ac:dyDescent="0.35">
      <c r="A62" s="163"/>
      <c r="B62" s="163"/>
      <c r="C62" s="163"/>
      <c r="D62" s="163"/>
      <c r="E62" s="162"/>
      <c r="F62" s="164"/>
      <c r="G62" s="164"/>
      <c r="H62" s="176"/>
    </row>
    <row r="63" spans="1:8" ht="15.5" x14ac:dyDescent="0.35">
      <c r="A63" s="163"/>
      <c r="B63" s="163"/>
      <c r="C63" s="163"/>
      <c r="D63" s="163"/>
      <c r="E63" s="162"/>
      <c r="F63" s="164"/>
      <c r="G63" s="164"/>
      <c r="H63" s="176"/>
    </row>
    <row r="64" spans="1:8" ht="15.5" x14ac:dyDescent="0.35">
      <c r="A64" s="163"/>
      <c r="B64" s="163"/>
      <c r="C64" s="163"/>
      <c r="D64" s="163"/>
      <c r="E64" s="162"/>
      <c r="F64" s="164"/>
      <c r="G64" s="164"/>
      <c r="H64" s="176"/>
    </row>
    <row r="65" spans="1:8" ht="15.5" x14ac:dyDescent="0.35">
      <c r="A65" s="163"/>
      <c r="B65" s="163"/>
      <c r="C65" s="163"/>
      <c r="D65" s="163"/>
      <c r="E65" s="162"/>
      <c r="F65" s="164"/>
      <c r="G65" s="164"/>
      <c r="H65" s="176"/>
    </row>
    <row r="66" spans="1:8" ht="15.5" x14ac:dyDescent="0.35">
      <c r="A66" s="163"/>
      <c r="B66" s="163"/>
      <c r="C66" s="163"/>
      <c r="D66" s="163"/>
      <c r="E66" s="162"/>
      <c r="F66" s="164"/>
      <c r="G66" s="164"/>
      <c r="H66" s="176"/>
    </row>
    <row r="67" spans="1:8" ht="15.5" x14ac:dyDescent="0.35">
      <c r="A67" s="163"/>
      <c r="B67" s="163"/>
      <c r="C67" s="163"/>
      <c r="D67" s="163"/>
      <c r="E67" s="162"/>
      <c r="F67" s="164"/>
      <c r="G67" s="164"/>
      <c r="H67" s="176"/>
    </row>
    <row r="68" spans="1:8" ht="15.5" x14ac:dyDescent="0.35">
      <c r="A68" s="163"/>
      <c r="B68" s="163"/>
      <c r="C68" s="163"/>
      <c r="D68" s="163"/>
      <c r="E68" s="162"/>
      <c r="F68" s="164"/>
      <c r="G68" s="164"/>
      <c r="H68" s="176"/>
    </row>
    <row r="69" spans="1:8" ht="15.5" x14ac:dyDescent="0.35">
      <c r="A69" s="163"/>
      <c r="B69" s="163"/>
      <c r="C69" s="163"/>
      <c r="D69" s="163"/>
      <c r="E69" s="162"/>
      <c r="F69" s="164"/>
      <c r="G69" s="164"/>
      <c r="H69" s="176"/>
    </row>
    <row r="70" spans="1:8" ht="15.5" x14ac:dyDescent="0.35">
      <c r="A70" s="163"/>
      <c r="B70" s="163"/>
      <c r="C70" s="163"/>
      <c r="D70" s="163"/>
      <c r="E70" s="162"/>
      <c r="F70" s="163"/>
      <c r="G70" s="165"/>
      <c r="H70" s="176"/>
    </row>
    <row r="71" spans="1:8" ht="15.5" x14ac:dyDescent="0.35">
      <c r="A71" s="163"/>
      <c r="B71" s="163"/>
      <c r="C71" s="163"/>
      <c r="D71" s="163"/>
      <c r="E71" s="162"/>
      <c r="F71" s="164"/>
      <c r="G71" s="165"/>
      <c r="H71" s="176"/>
    </row>
    <row r="72" spans="1:8" ht="15.5" x14ac:dyDescent="0.35">
      <c r="A72" s="163"/>
      <c r="B72" s="163"/>
      <c r="C72" s="163"/>
      <c r="D72" s="163"/>
      <c r="E72" s="162"/>
      <c r="F72" s="164"/>
      <c r="G72" s="164"/>
      <c r="H72" s="176"/>
    </row>
    <row r="73" spans="1:8" ht="15.5" x14ac:dyDescent="0.35">
      <c r="A73" s="163"/>
      <c r="B73" s="163"/>
      <c r="C73" s="163"/>
      <c r="D73" s="163"/>
      <c r="E73" s="162"/>
      <c r="F73" s="164"/>
      <c r="G73" s="165"/>
      <c r="H73" s="176"/>
    </row>
    <row r="74" spans="1:8" ht="15.5" x14ac:dyDescent="0.35">
      <c r="A74" s="163"/>
      <c r="B74" s="163"/>
      <c r="C74" s="163"/>
      <c r="D74" s="163"/>
      <c r="E74" s="162"/>
      <c r="F74" s="164"/>
      <c r="G74" s="164"/>
      <c r="H74" s="176"/>
    </row>
    <row r="75" spans="1:8" ht="15.5" x14ac:dyDescent="0.35">
      <c r="A75" s="163"/>
      <c r="B75" s="163"/>
      <c r="C75" s="163"/>
      <c r="D75" s="163"/>
      <c r="E75" s="162"/>
      <c r="F75" s="164"/>
      <c r="G75" s="164"/>
      <c r="H75" s="176"/>
    </row>
    <row r="76" spans="1:8" ht="15.5" x14ac:dyDescent="0.35">
      <c r="A76" s="163"/>
      <c r="B76" s="163"/>
      <c r="C76" s="163"/>
      <c r="D76" s="163"/>
      <c r="E76" s="162"/>
      <c r="F76" s="164"/>
      <c r="G76" s="164"/>
      <c r="H76" s="176"/>
    </row>
    <row r="77" spans="1:8" ht="15.5" x14ac:dyDescent="0.35">
      <c r="A77" s="163"/>
      <c r="B77" s="163"/>
      <c r="C77" s="163"/>
      <c r="D77" s="163"/>
      <c r="E77" s="162"/>
      <c r="F77" s="163"/>
      <c r="G77" s="165"/>
      <c r="H77" s="176"/>
    </row>
    <row r="78" spans="1:8" ht="15.5" x14ac:dyDescent="0.35">
      <c r="A78" s="163"/>
      <c r="B78" s="163"/>
      <c r="C78" s="163"/>
      <c r="D78" s="163"/>
      <c r="E78" s="162"/>
      <c r="F78" s="164"/>
      <c r="G78" s="165"/>
      <c r="H78" s="176"/>
    </row>
    <row r="79" spans="1:8" ht="15.5" x14ac:dyDescent="0.35">
      <c r="A79" s="163"/>
      <c r="B79" s="163"/>
      <c r="C79" s="163"/>
      <c r="D79" s="163"/>
      <c r="E79" s="162"/>
      <c r="F79" s="163"/>
      <c r="G79" s="165"/>
      <c r="H79" s="176"/>
    </row>
    <row r="80" spans="1:8" ht="15.5" x14ac:dyDescent="0.35">
      <c r="A80" s="163"/>
      <c r="B80" s="163"/>
      <c r="C80" s="163"/>
      <c r="D80" s="163"/>
      <c r="E80" s="162"/>
      <c r="F80" s="164"/>
      <c r="G80" s="165"/>
      <c r="H80" s="176"/>
    </row>
    <row r="81" spans="1:8" ht="15.5" x14ac:dyDescent="0.35">
      <c r="A81" s="163"/>
      <c r="B81" s="163"/>
      <c r="C81" s="163"/>
      <c r="D81" s="163"/>
      <c r="E81" s="162"/>
      <c r="F81" s="163"/>
      <c r="G81" s="165"/>
      <c r="H81" s="176"/>
    </row>
    <row r="82" spans="1:8" ht="15.5" x14ac:dyDescent="0.35">
      <c r="A82" s="163"/>
      <c r="B82" s="163"/>
      <c r="C82" s="163"/>
      <c r="D82" s="163"/>
      <c r="E82" s="162"/>
      <c r="F82" s="164"/>
      <c r="G82" s="164"/>
      <c r="H82" s="176"/>
    </row>
    <row r="83" spans="1:8" ht="15.5" x14ac:dyDescent="0.35">
      <c r="A83" s="163"/>
      <c r="B83" s="163"/>
      <c r="C83" s="163"/>
      <c r="D83" s="163"/>
      <c r="E83" s="162"/>
      <c r="F83" s="164"/>
      <c r="G83" s="164"/>
      <c r="H83" s="176"/>
    </row>
    <row r="84" spans="1:8" ht="15.5" x14ac:dyDescent="0.35">
      <c r="A84" s="163"/>
      <c r="B84" s="163"/>
      <c r="C84" s="163"/>
      <c r="D84" s="163"/>
      <c r="E84" s="162"/>
      <c r="F84" s="164"/>
      <c r="G84" s="164"/>
      <c r="H84" s="176"/>
    </row>
    <row r="85" spans="1:8" ht="15.5" x14ac:dyDescent="0.35">
      <c r="A85" s="164"/>
      <c r="B85" s="163"/>
      <c r="C85" s="163"/>
      <c r="D85" s="165"/>
      <c r="E85" s="162"/>
      <c r="F85" s="164"/>
      <c r="G85" s="164"/>
      <c r="H85" s="176"/>
    </row>
    <row r="86" spans="1:8" ht="15.5" x14ac:dyDescent="0.35">
      <c r="A86" s="163"/>
      <c r="B86" s="163"/>
      <c r="C86" s="163"/>
      <c r="D86" s="163"/>
      <c r="E86" s="162"/>
      <c r="F86" s="164"/>
      <c r="G86" s="164"/>
      <c r="H86" s="176"/>
    </row>
    <row r="87" spans="1:8" ht="15.5" x14ac:dyDescent="0.35">
      <c r="A87" s="163"/>
      <c r="B87" s="163"/>
      <c r="C87" s="163"/>
      <c r="D87" s="163"/>
      <c r="E87" s="162"/>
      <c r="F87" s="164"/>
      <c r="G87" s="164"/>
      <c r="H87" s="176"/>
    </row>
    <row r="88" spans="1:8" ht="15.5" x14ac:dyDescent="0.35">
      <c r="A88" s="163"/>
      <c r="B88" s="163"/>
      <c r="C88" s="163"/>
      <c r="D88" s="163"/>
      <c r="E88" s="162"/>
      <c r="F88" s="164"/>
      <c r="G88" s="164"/>
      <c r="H88" s="176"/>
    </row>
    <row r="89" spans="1:8" ht="15.5" x14ac:dyDescent="0.35">
      <c r="A89" s="163"/>
      <c r="B89" s="163"/>
      <c r="C89" s="163"/>
      <c r="D89" s="163"/>
      <c r="E89" s="162"/>
      <c r="F89" s="164"/>
      <c r="G89" s="164"/>
      <c r="H89" s="176"/>
    </row>
    <row r="90" spans="1:8" ht="15.5" x14ac:dyDescent="0.35">
      <c r="A90" s="163"/>
      <c r="B90" s="163"/>
      <c r="C90" s="163"/>
      <c r="D90" s="163"/>
      <c r="E90" s="162"/>
      <c r="F90" s="164"/>
      <c r="G90" s="164"/>
      <c r="H90" s="176"/>
    </row>
    <row r="91" spans="1:8" ht="15.5" x14ac:dyDescent="0.35">
      <c r="A91" s="163"/>
      <c r="B91" s="163"/>
      <c r="C91" s="163"/>
      <c r="D91" s="163"/>
      <c r="E91" s="162"/>
      <c r="F91" s="164"/>
      <c r="G91" s="164"/>
      <c r="H91" s="176"/>
    </row>
    <row r="92" spans="1:8" ht="15.5" x14ac:dyDescent="0.35">
      <c r="A92" s="163"/>
      <c r="B92" s="163"/>
      <c r="C92" s="163"/>
      <c r="D92" s="163"/>
      <c r="E92" s="162"/>
      <c r="H92" s="176"/>
    </row>
    <row r="93" spans="1:8" ht="15.5" x14ac:dyDescent="0.35">
      <c r="A93" s="163"/>
      <c r="B93" s="163"/>
      <c r="C93" s="163"/>
      <c r="D93" s="163"/>
      <c r="E93" s="162"/>
      <c r="H93" s="176"/>
    </row>
    <row r="94" spans="1:8" ht="15.5" x14ac:dyDescent="0.35">
      <c r="A94" s="163"/>
      <c r="B94" s="163"/>
      <c r="C94" s="163"/>
      <c r="D94" s="163"/>
      <c r="E94" s="162"/>
      <c r="H94" s="176"/>
    </row>
    <row r="95" spans="1:8" ht="15.5" x14ac:dyDescent="0.35">
      <c r="A95" s="163"/>
      <c r="B95" s="163"/>
      <c r="C95" s="163"/>
      <c r="D95" s="163"/>
      <c r="E95" s="162"/>
      <c r="H95" s="176"/>
    </row>
    <row r="96" spans="1:8" ht="15.5" x14ac:dyDescent="0.35">
      <c r="A96" s="163"/>
      <c r="B96" s="163"/>
      <c r="C96" s="163"/>
      <c r="D96" s="163"/>
      <c r="E96" s="162"/>
      <c r="H96" s="176"/>
    </row>
    <row r="97" spans="1:8" ht="15.5" x14ac:dyDescent="0.35">
      <c r="A97" s="163"/>
      <c r="B97" s="163"/>
      <c r="C97" s="163"/>
      <c r="D97" s="163"/>
      <c r="E97" s="162"/>
      <c r="H97" s="176"/>
    </row>
    <row r="98" spans="1:8" ht="15.5" x14ac:dyDescent="0.35">
      <c r="A98" s="163"/>
      <c r="B98" s="163"/>
      <c r="C98" s="163"/>
      <c r="D98" s="163"/>
      <c r="E98" s="162"/>
      <c r="H98" s="176"/>
    </row>
    <row r="99" spans="1:8" ht="15.5" x14ac:dyDescent="0.35">
      <c r="A99" s="163"/>
      <c r="B99" s="163"/>
      <c r="C99" s="163"/>
      <c r="D99" s="163"/>
      <c r="E99" s="162"/>
      <c r="H99" s="176"/>
    </row>
    <row r="100" spans="1:8" ht="15.5" x14ac:dyDescent="0.35">
      <c r="A100" s="163"/>
      <c r="B100" s="163"/>
      <c r="C100" s="163"/>
      <c r="D100" s="163"/>
      <c r="E100" s="162"/>
      <c r="H100" s="176"/>
    </row>
    <row r="101" spans="1:8" ht="15.5" x14ac:dyDescent="0.35">
      <c r="A101" s="163"/>
      <c r="B101" s="163"/>
      <c r="C101" s="163"/>
      <c r="D101" s="163"/>
      <c r="E101" s="162"/>
      <c r="H101" s="176"/>
    </row>
    <row r="102" spans="1:8" ht="15.5" x14ac:dyDescent="0.35">
      <c r="A102" s="163"/>
      <c r="B102" s="163"/>
      <c r="C102" s="163"/>
      <c r="D102" s="163"/>
      <c r="E102" s="162"/>
      <c r="H102" s="176"/>
    </row>
    <row r="103" spans="1:8" ht="15.5" x14ac:dyDescent="0.35">
      <c r="A103" s="163"/>
      <c r="B103" s="163"/>
      <c r="C103" s="163"/>
      <c r="D103" s="163"/>
      <c r="E103" s="162"/>
      <c r="H103" s="176"/>
    </row>
    <row r="104" spans="1:8" ht="15.5" x14ac:dyDescent="0.35">
      <c r="A104" s="163"/>
      <c r="B104" s="163"/>
      <c r="C104" s="163"/>
      <c r="D104" s="163"/>
      <c r="E104" s="162"/>
      <c r="H104" s="176"/>
    </row>
    <row r="105" spans="1:8" ht="15.5" x14ac:dyDescent="0.35">
      <c r="A105" s="163"/>
      <c r="B105" s="163"/>
      <c r="C105" s="163"/>
      <c r="D105" s="163"/>
      <c r="E105" s="162"/>
      <c r="H105" s="176"/>
    </row>
    <row r="106" spans="1:8" ht="15.5" x14ac:dyDescent="0.35">
      <c r="A106" s="163"/>
      <c r="B106" s="163"/>
      <c r="C106" s="163"/>
      <c r="D106" s="163"/>
      <c r="E106" s="162"/>
      <c r="H106" s="176"/>
    </row>
    <row r="107" spans="1:8" ht="15.5" x14ac:dyDescent="0.35">
      <c r="A107" s="163"/>
      <c r="B107" s="163"/>
      <c r="C107" s="163"/>
      <c r="D107" s="163"/>
      <c r="E107" s="162"/>
      <c r="H107" s="176"/>
    </row>
    <row r="108" spans="1:8" ht="15.5" x14ac:dyDescent="0.35">
      <c r="A108" s="163"/>
      <c r="B108" s="163"/>
      <c r="C108" s="163"/>
      <c r="D108" s="163"/>
      <c r="E108" s="162"/>
      <c r="H108" s="176"/>
    </row>
    <row r="109" spans="1:8" ht="15.5" x14ac:dyDescent="0.35">
      <c r="A109" s="163"/>
      <c r="B109" s="163"/>
      <c r="C109" s="163"/>
      <c r="D109" s="163"/>
      <c r="E109" s="162"/>
      <c r="H109" s="176"/>
    </row>
    <row r="110" spans="1:8" ht="15.5" x14ac:dyDescent="0.35">
      <c r="A110" s="163"/>
      <c r="B110" s="163"/>
      <c r="C110" s="163"/>
      <c r="D110" s="163"/>
      <c r="E110" s="162"/>
      <c r="H110" s="176"/>
    </row>
    <row r="111" spans="1:8" ht="15.5" x14ac:dyDescent="0.35">
      <c r="A111" s="163"/>
      <c r="B111" s="163"/>
      <c r="C111" s="163"/>
      <c r="D111" s="163"/>
      <c r="E111" s="162"/>
      <c r="H111" s="176"/>
    </row>
    <row r="112" spans="1:8" ht="15.5" x14ac:dyDescent="0.35">
      <c r="A112" s="163"/>
      <c r="B112" s="163"/>
      <c r="C112" s="163"/>
      <c r="D112" s="163"/>
      <c r="E112" s="162"/>
      <c r="H112" s="176"/>
    </row>
    <row r="113" spans="8:8" ht="15.5" x14ac:dyDescent="0.35">
      <c r="H113" s="176"/>
    </row>
    <row r="114" spans="8:8" ht="15.5" x14ac:dyDescent="0.35">
      <c r="H114" s="176"/>
    </row>
    <row r="115" spans="8:8" ht="15.5" x14ac:dyDescent="0.35">
      <c r="H115" s="176"/>
    </row>
    <row r="116" spans="8:8" ht="15.5" x14ac:dyDescent="0.35">
      <c r="H116" s="176"/>
    </row>
    <row r="117" spans="8:8" ht="15.5" x14ac:dyDescent="0.35">
      <c r="H117" s="176"/>
    </row>
    <row r="118" spans="8:8" ht="15.5" x14ac:dyDescent="0.35">
      <c r="H118" s="176"/>
    </row>
    <row r="119" spans="8:8" ht="15.5" x14ac:dyDescent="0.35">
      <c r="H119" s="176"/>
    </row>
    <row r="120" spans="8:8" ht="15.5" x14ac:dyDescent="0.35">
      <c r="H120" s="176"/>
    </row>
    <row r="121" spans="8:8" ht="15.5" x14ac:dyDescent="0.35">
      <c r="H121" s="176"/>
    </row>
    <row r="122" spans="8:8" ht="15.5" x14ac:dyDescent="0.35">
      <c r="H122" s="176"/>
    </row>
    <row r="123" spans="8:8" ht="15.5" x14ac:dyDescent="0.35">
      <c r="H123" s="176"/>
    </row>
    <row r="124" spans="8:8" ht="15.5" x14ac:dyDescent="0.35">
      <c r="H124" s="176"/>
    </row>
    <row r="125" spans="8:8" ht="15.5" x14ac:dyDescent="0.35">
      <c r="H125" s="176"/>
    </row>
    <row r="126" spans="8:8" ht="15.5" x14ac:dyDescent="0.35">
      <c r="H126" s="176"/>
    </row>
    <row r="127" spans="8:8" ht="15.5" x14ac:dyDescent="0.35">
      <c r="H127" s="176"/>
    </row>
    <row r="128" spans="8:8" ht="15.5" x14ac:dyDescent="0.35">
      <c r="H128" s="176"/>
    </row>
    <row r="129" spans="8:8" ht="15.5" x14ac:dyDescent="0.35">
      <c r="H129" s="176"/>
    </row>
    <row r="130" spans="8:8" ht="15.5" x14ac:dyDescent="0.35">
      <c r="H130" s="176"/>
    </row>
    <row r="131" spans="8:8" ht="15.5" x14ac:dyDescent="0.35">
      <c r="H131" s="176"/>
    </row>
    <row r="132" spans="8:8" ht="15.5" x14ac:dyDescent="0.35">
      <c r="H132" s="176"/>
    </row>
    <row r="133" spans="8:8" ht="15.5" x14ac:dyDescent="0.35">
      <c r="H133" s="176"/>
    </row>
    <row r="134" spans="8:8" ht="15.5" x14ac:dyDescent="0.35">
      <c r="H134" s="176"/>
    </row>
    <row r="135" spans="8:8" ht="15.5" x14ac:dyDescent="0.35">
      <c r="H135" s="176"/>
    </row>
    <row r="136" spans="8:8" ht="15.5" x14ac:dyDescent="0.35">
      <c r="H136" s="176"/>
    </row>
    <row r="137" spans="8:8" ht="15.5" x14ac:dyDescent="0.35">
      <c r="H137" s="176"/>
    </row>
    <row r="138" spans="8:8" ht="15.5" x14ac:dyDescent="0.35">
      <c r="H138" s="176"/>
    </row>
    <row r="139" spans="8:8" ht="15.5" x14ac:dyDescent="0.35">
      <c r="H139" s="176"/>
    </row>
    <row r="140" spans="8:8" ht="15.5" x14ac:dyDescent="0.35">
      <c r="H140" s="176"/>
    </row>
    <row r="141" spans="8:8" ht="15.5" x14ac:dyDescent="0.35">
      <c r="H141" s="176"/>
    </row>
    <row r="142" spans="8:8" ht="15.5" x14ac:dyDescent="0.35">
      <c r="H142" s="176"/>
    </row>
    <row r="143" spans="8:8" ht="15.5" x14ac:dyDescent="0.35">
      <c r="H143" s="176"/>
    </row>
    <row r="144" spans="8:8" ht="15.5" x14ac:dyDescent="0.35">
      <c r="H144" s="176"/>
    </row>
    <row r="145" spans="8:16" ht="15.5" x14ac:dyDescent="0.35">
      <c r="H145" s="176"/>
    </row>
    <row r="146" spans="8:16" ht="15.5" x14ac:dyDescent="0.35">
      <c r="H146" s="176"/>
    </row>
    <row r="147" spans="8:16" ht="15.5" x14ac:dyDescent="0.35">
      <c r="H147" s="176"/>
    </row>
    <row r="148" spans="8:16" ht="15.5" x14ac:dyDescent="0.35">
      <c r="H148" s="176"/>
    </row>
    <row r="149" spans="8:16" ht="15.5" x14ac:dyDescent="0.35">
      <c r="H149" s="176"/>
    </row>
    <row r="150" spans="8:16" ht="15.5" x14ac:dyDescent="0.35">
      <c r="H150" s="176"/>
    </row>
    <row r="151" spans="8:16" ht="15.5" x14ac:dyDescent="0.35">
      <c r="H151" s="176"/>
    </row>
    <row r="152" spans="8:16" ht="15.5" x14ac:dyDescent="0.35">
      <c r="H152" s="176"/>
    </row>
    <row r="153" spans="8:16" ht="15.5" x14ac:dyDescent="0.35">
      <c r="H153" s="176"/>
    </row>
    <row r="154" spans="8:16" ht="15.5" x14ac:dyDescent="0.35">
      <c r="H154" s="176"/>
    </row>
    <row r="155" spans="8:16" ht="15.5" x14ac:dyDescent="0.35">
      <c r="H155" s="176"/>
    </row>
    <row r="156" spans="8:16" ht="15.5" x14ac:dyDescent="0.35">
      <c r="H156" s="176"/>
    </row>
    <row r="157" spans="8:16" ht="15.5" x14ac:dyDescent="0.35">
      <c r="H157" s="176"/>
    </row>
    <row r="158" spans="8:16" ht="15.5" x14ac:dyDescent="0.35">
      <c r="H158" s="176"/>
      <c r="P158" s="180"/>
    </row>
    <row r="159" spans="8:16" ht="15.5" x14ac:dyDescent="0.35">
      <c r="H159" s="176"/>
    </row>
    <row r="160" spans="8:16" ht="15.5" x14ac:dyDescent="0.35">
      <c r="H160" s="176"/>
    </row>
    <row r="161" spans="1:14" ht="15.5" x14ac:dyDescent="0.35">
      <c r="H161" s="176"/>
    </row>
    <row r="162" spans="1:14" ht="15.5" x14ac:dyDescent="0.35">
      <c r="H162" s="176"/>
    </row>
    <row r="163" spans="1:14" ht="15.5" x14ac:dyDescent="0.35">
      <c r="H163" s="176"/>
    </row>
    <row r="164" spans="1:14" ht="15.5" x14ac:dyDescent="0.35">
      <c r="H164" s="176"/>
    </row>
    <row r="165" spans="1:14" ht="15.5" x14ac:dyDescent="0.35">
      <c r="H165" s="176"/>
    </row>
    <row r="166" spans="1:14" ht="15.5" x14ac:dyDescent="0.35">
      <c r="H166" s="176"/>
      <c r="N166" s="179"/>
    </row>
    <row r="167" spans="1:14" ht="15.5" x14ac:dyDescent="0.35">
      <c r="H167" s="176"/>
    </row>
    <row r="168" spans="1:14" ht="15.5" x14ac:dyDescent="0.35">
      <c r="H168" s="176"/>
    </row>
    <row r="169" spans="1:14" ht="15.5" x14ac:dyDescent="0.35">
      <c r="H169" s="176"/>
    </row>
    <row r="170" spans="1:14" ht="15.5" x14ac:dyDescent="0.35">
      <c r="H170" s="176"/>
    </row>
    <row r="171" spans="1:14" ht="15.5" x14ac:dyDescent="0.35">
      <c r="H171" s="176"/>
    </row>
    <row r="172" spans="1:14" ht="15.5" x14ac:dyDescent="0.35">
      <c r="H172" s="176"/>
    </row>
    <row r="173" spans="1:14" ht="15.5" x14ac:dyDescent="0.35">
      <c r="H173" s="176"/>
    </row>
    <row r="174" spans="1:14" ht="15.5" x14ac:dyDescent="0.35">
      <c r="H174" s="176"/>
    </row>
    <row r="175" spans="1:14" s="167" customFormat="1" ht="15.5" x14ac:dyDescent="0.35">
      <c r="A175" s="161"/>
      <c r="B175"/>
      <c r="C175"/>
      <c r="D175" s="161"/>
      <c r="E175" s="161"/>
      <c r="F175" s="161"/>
      <c r="G175" s="161"/>
      <c r="H175" s="177"/>
    </row>
    <row r="176" spans="1:14" ht="15.5" x14ac:dyDescent="0.35">
      <c r="H176" s="176"/>
    </row>
    <row r="177" spans="1:8" ht="15.5" x14ac:dyDescent="0.35">
      <c r="H177" s="176"/>
    </row>
    <row r="178" spans="1:8" s="167" customFormat="1" ht="15.5" x14ac:dyDescent="0.35">
      <c r="A178" s="161"/>
      <c r="B178"/>
      <c r="C178"/>
      <c r="D178" s="161"/>
      <c r="E178" s="161"/>
      <c r="F178" s="161"/>
      <c r="G178" s="161"/>
      <c r="H178" s="177"/>
    </row>
    <row r="179" spans="1:8" ht="15.5" x14ac:dyDescent="0.35">
      <c r="H179" s="176"/>
    </row>
    <row r="180" spans="1:8" ht="15.5" x14ac:dyDescent="0.35">
      <c r="H180" s="176"/>
    </row>
    <row r="181" spans="1:8" ht="15.5" x14ac:dyDescent="0.35">
      <c r="H181" s="176"/>
    </row>
    <row r="182" spans="1:8" ht="15.5" x14ac:dyDescent="0.35">
      <c r="H182" s="176"/>
    </row>
    <row r="183" spans="1:8" s="167" customFormat="1" ht="15.5" x14ac:dyDescent="0.35">
      <c r="A183" s="161"/>
      <c r="B183"/>
      <c r="C183"/>
      <c r="D183" s="161"/>
      <c r="E183" s="161"/>
      <c r="F183" s="161"/>
      <c r="G183" s="161"/>
      <c r="H183" s="177"/>
    </row>
    <row r="184" spans="1:8" ht="15.5" x14ac:dyDescent="0.35">
      <c r="H184" s="176"/>
    </row>
    <row r="185" spans="1:8" s="167" customFormat="1" ht="15.5" x14ac:dyDescent="0.35">
      <c r="A185" s="161"/>
      <c r="B185"/>
      <c r="C185"/>
      <c r="D185" s="161"/>
      <c r="E185" s="161"/>
      <c r="F185" s="161"/>
      <c r="G185" s="161"/>
      <c r="H185" s="177"/>
    </row>
    <row r="186" spans="1:8" ht="15.5" x14ac:dyDescent="0.35">
      <c r="H186" s="176"/>
    </row>
    <row r="187" spans="1:8" ht="15.5" x14ac:dyDescent="0.35">
      <c r="H187" s="176"/>
    </row>
    <row r="188" spans="1:8" s="167" customFormat="1" ht="15.5" x14ac:dyDescent="0.35">
      <c r="A188" s="161"/>
      <c r="B188"/>
      <c r="C188"/>
      <c r="D188" s="161"/>
      <c r="E188" s="161"/>
      <c r="F188" s="161"/>
      <c r="G188" s="161"/>
      <c r="H188" s="177"/>
    </row>
    <row r="189" spans="1:8" ht="15.5" x14ac:dyDescent="0.35">
      <c r="H189" s="176"/>
    </row>
    <row r="190" spans="1:8" ht="15.5" x14ac:dyDescent="0.35">
      <c r="H190" s="176"/>
    </row>
    <row r="191" spans="1:8" s="167" customFormat="1" ht="15.5" x14ac:dyDescent="0.35">
      <c r="A191" s="161"/>
      <c r="B191"/>
      <c r="C191"/>
      <c r="D191" s="161"/>
      <c r="E191" s="161"/>
      <c r="F191" s="161"/>
      <c r="G191" s="161"/>
      <c r="H191" s="177"/>
    </row>
    <row r="192" spans="1:8" ht="15.5" x14ac:dyDescent="0.35">
      <c r="H192" s="176"/>
    </row>
    <row r="193" spans="1:8" s="167" customFormat="1" ht="15.5" x14ac:dyDescent="0.35">
      <c r="A193" s="161"/>
      <c r="B193"/>
      <c r="C193"/>
      <c r="D193" s="161"/>
      <c r="E193" s="161"/>
      <c r="F193" s="161"/>
      <c r="G193" s="161"/>
      <c r="H193" s="177"/>
    </row>
    <row r="194" spans="1:8" s="167" customFormat="1" ht="15.5" x14ac:dyDescent="0.35">
      <c r="A194" s="161"/>
      <c r="B194"/>
      <c r="C194"/>
      <c r="D194" s="161"/>
      <c r="E194" s="161"/>
      <c r="F194" s="161"/>
      <c r="G194" s="161"/>
      <c r="H194" s="177"/>
    </row>
    <row r="195" spans="1:8" ht="15.5" x14ac:dyDescent="0.35">
      <c r="H195" s="176"/>
    </row>
    <row r="196" spans="1:8" ht="15.5" x14ac:dyDescent="0.35">
      <c r="H196" s="176"/>
    </row>
    <row r="197" spans="1:8" ht="15.5" x14ac:dyDescent="0.35">
      <c r="H197" s="176"/>
    </row>
    <row r="198" spans="1:8" ht="15.5" x14ac:dyDescent="0.35">
      <c r="H198" s="176"/>
    </row>
    <row r="199" spans="1:8" s="167" customFormat="1" ht="15.5" x14ac:dyDescent="0.35">
      <c r="A199" s="161"/>
      <c r="B199"/>
      <c r="C199"/>
      <c r="D199" s="161"/>
      <c r="E199" s="161"/>
      <c r="F199" s="161"/>
      <c r="G199" s="161"/>
      <c r="H199" s="177"/>
    </row>
    <row r="200" spans="1:8" ht="15.5" x14ac:dyDescent="0.35">
      <c r="H200" s="176"/>
    </row>
    <row r="201" spans="1:8" ht="15.5" x14ac:dyDescent="0.35">
      <c r="H201" s="176"/>
    </row>
    <row r="202" spans="1:8" ht="15.5" x14ac:dyDescent="0.35">
      <c r="H202" s="176"/>
    </row>
    <row r="203" spans="1:8" ht="15.5" x14ac:dyDescent="0.35">
      <c r="H203" s="176"/>
    </row>
    <row r="204" spans="1:8" ht="15.5" x14ac:dyDescent="0.35">
      <c r="H204" s="176"/>
    </row>
    <row r="205" spans="1:8" ht="15.5" x14ac:dyDescent="0.35">
      <c r="H205" s="176"/>
    </row>
    <row r="206" spans="1:8" ht="15.5" x14ac:dyDescent="0.35">
      <c r="H206" s="176"/>
    </row>
    <row r="207" spans="1:8" ht="15.5" x14ac:dyDescent="0.35">
      <c r="H207" s="176"/>
    </row>
    <row r="208" spans="1:8" ht="15.5" x14ac:dyDescent="0.35">
      <c r="H208" s="176"/>
    </row>
    <row r="209" spans="8:16" ht="15.5" x14ac:dyDescent="0.35">
      <c r="H209" s="176"/>
    </row>
    <row r="210" spans="8:16" ht="15.5" x14ac:dyDescent="0.35">
      <c r="H210" s="176"/>
    </row>
    <row r="211" spans="8:16" ht="15.5" x14ac:dyDescent="0.35">
      <c r="H211" s="176"/>
      <c r="J211" s="126"/>
      <c r="K211" s="126"/>
      <c r="L211" s="126"/>
      <c r="M211" s="126"/>
      <c r="N211" s="126"/>
      <c r="O211" s="126"/>
      <c r="P211" s="126"/>
    </row>
    <row r="212" spans="8:16" ht="15.5" x14ac:dyDescent="0.35">
      <c r="H212" s="176"/>
      <c r="J212" s="126"/>
      <c r="K212" s="126"/>
      <c r="L212" s="126"/>
      <c r="M212" s="126"/>
      <c r="N212" s="126"/>
      <c r="O212" s="126"/>
      <c r="P212" s="126"/>
    </row>
    <row r="213" spans="8:16" ht="15.5" x14ac:dyDescent="0.35">
      <c r="H213" s="176"/>
      <c r="J213" s="126"/>
      <c r="K213" s="126"/>
      <c r="L213" s="126"/>
      <c r="M213" s="126"/>
      <c r="N213" s="126"/>
      <c r="O213" s="126"/>
      <c r="P213" s="126"/>
    </row>
    <row r="214" spans="8:16" ht="15.5" x14ac:dyDescent="0.35">
      <c r="H214" s="176"/>
      <c r="J214" s="126"/>
      <c r="K214" s="126"/>
      <c r="L214" s="126"/>
      <c r="M214" s="126"/>
      <c r="N214" s="126"/>
      <c r="O214" s="126"/>
      <c r="P214" s="126"/>
    </row>
    <row r="215" spans="8:16" ht="15.5" x14ac:dyDescent="0.35">
      <c r="H215" s="176"/>
      <c r="J215" s="126"/>
      <c r="K215" s="126"/>
      <c r="L215" s="126"/>
      <c r="M215" s="126"/>
      <c r="N215" s="126"/>
      <c r="O215" s="126"/>
      <c r="P215" s="126"/>
    </row>
    <row r="216" spans="8:16" ht="15.5" x14ac:dyDescent="0.35">
      <c r="H216" s="176"/>
      <c r="J216" s="126"/>
      <c r="K216" s="126"/>
      <c r="L216" s="126"/>
      <c r="M216" s="126"/>
      <c r="N216" s="126"/>
      <c r="O216" s="126"/>
      <c r="P216" s="126"/>
    </row>
    <row r="217" spans="8:16" ht="15.5" x14ac:dyDescent="0.35">
      <c r="H217" s="176"/>
      <c r="J217" s="126"/>
      <c r="K217" s="126"/>
      <c r="L217" s="126"/>
      <c r="M217" s="126"/>
      <c r="N217" s="126"/>
      <c r="O217" s="126"/>
      <c r="P217" s="126"/>
    </row>
    <row r="218" spans="8:16" ht="15.5" x14ac:dyDescent="0.35">
      <c r="H218" s="176"/>
      <c r="J218" s="126"/>
      <c r="K218" s="126"/>
      <c r="L218" s="126"/>
      <c r="M218" s="126"/>
      <c r="N218" s="126"/>
      <c r="O218" s="126"/>
      <c r="P218" s="126"/>
    </row>
    <row r="219" spans="8:16" ht="15.5" x14ac:dyDescent="0.35">
      <c r="H219" s="176"/>
      <c r="J219" s="126"/>
      <c r="K219" s="126"/>
      <c r="L219" s="126"/>
      <c r="M219" s="126"/>
      <c r="N219" s="126"/>
      <c r="O219" s="126"/>
      <c r="P219" s="126"/>
    </row>
    <row r="220" spans="8:16" ht="15.5" x14ac:dyDescent="0.35">
      <c r="H220" s="176"/>
      <c r="J220" s="126"/>
      <c r="K220" s="126"/>
      <c r="L220" s="126"/>
      <c r="M220" s="126"/>
      <c r="N220" s="126"/>
      <c r="O220" s="126"/>
      <c r="P220" s="126"/>
    </row>
    <row r="221" spans="8:16" ht="15.5" x14ac:dyDescent="0.35">
      <c r="H221" s="176"/>
      <c r="J221" s="126"/>
      <c r="K221" s="126"/>
      <c r="L221" s="126"/>
      <c r="M221" s="126"/>
      <c r="N221" s="126"/>
      <c r="O221" s="126"/>
      <c r="P221" s="126"/>
    </row>
    <row r="222" spans="8:16" ht="15.5" x14ac:dyDescent="0.35">
      <c r="H222" s="176"/>
      <c r="J222" s="126"/>
      <c r="K222" s="126"/>
      <c r="L222" s="126"/>
      <c r="M222" s="126"/>
      <c r="N222" s="126"/>
      <c r="O222" s="126"/>
      <c r="P222" s="126"/>
    </row>
    <row r="223" spans="8:16" ht="15.5" x14ac:dyDescent="0.35">
      <c r="H223" s="176"/>
      <c r="J223" s="126"/>
      <c r="K223" s="126"/>
      <c r="L223" s="126"/>
      <c r="M223" s="126"/>
      <c r="N223" s="126"/>
      <c r="O223" s="126"/>
      <c r="P223" s="126"/>
    </row>
    <row r="224" spans="8:16" ht="15.5" x14ac:dyDescent="0.35">
      <c r="H224" s="176"/>
      <c r="J224" s="126"/>
      <c r="K224" s="126"/>
      <c r="L224" s="126"/>
      <c r="M224" s="126"/>
      <c r="N224" s="126"/>
      <c r="O224" s="126"/>
      <c r="P224" s="126"/>
    </row>
    <row r="225" spans="8:16" ht="15.5" x14ac:dyDescent="0.35">
      <c r="H225" s="176"/>
      <c r="J225" s="126"/>
      <c r="K225" s="126"/>
      <c r="L225" s="126"/>
      <c r="M225" s="126"/>
      <c r="N225" s="126"/>
      <c r="O225" s="126"/>
      <c r="P225" s="126"/>
    </row>
    <row r="226" spans="8:16" ht="15.5" x14ac:dyDescent="0.35">
      <c r="H226" s="176"/>
      <c r="J226" s="126"/>
      <c r="K226" s="126"/>
      <c r="L226" s="126"/>
      <c r="M226" s="126"/>
      <c r="N226" s="126"/>
      <c r="O226" s="126"/>
      <c r="P226" s="126"/>
    </row>
    <row r="227" spans="8:16" ht="15.5" x14ac:dyDescent="0.35">
      <c r="H227" s="176"/>
      <c r="J227" s="126"/>
      <c r="K227" s="126"/>
      <c r="L227" s="126"/>
      <c r="M227" s="126"/>
      <c r="N227" s="126"/>
      <c r="O227" s="126"/>
      <c r="P227" s="126"/>
    </row>
    <row r="228" spans="8:16" ht="15.5" x14ac:dyDescent="0.35">
      <c r="H228" s="176"/>
      <c r="J228" s="126"/>
      <c r="K228" s="126"/>
      <c r="L228" s="126"/>
      <c r="M228" s="126"/>
      <c r="N228" s="126"/>
      <c r="O228" s="126"/>
      <c r="P228" s="126"/>
    </row>
    <row r="229" spans="8:16" ht="15.5" x14ac:dyDescent="0.35">
      <c r="H229" s="176"/>
      <c r="J229" s="126"/>
      <c r="K229" s="126"/>
      <c r="L229" s="126"/>
      <c r="M229" s="126"/>
      <c r="N229" s="126"/>
      <c r="O229" s="126"/>
      <c r="P229" s="126"/>
    </row>
    <row r="230" spans="8:16" ht="15.5" x14ac:dyDescent="0.35">
      <c r="H230" s="176"/>
      <c r="J230" s="126"/>
      <c r="K230" s="126"/>
      <c r="L230" s="126"/>
      <c r="M230" s="126"/>
      <c r="N230" s="126"/>
      <c r="O230" s="126"/>
      <c r="P230" s="126"/>
    </row>
    <row r="231" spans="8:16" ht="15.5" x14ac:dyDescent="0.35">
      <c r="H231" s="176"/>
      <c r="J231" s="126"/>
      <c r="K231" s="126"/>
      <c r="L231" s="126"/>
      <c r="M231" s="126"/>
      <c r="N231" s="126"/>
      <c r="O231" s="126"/>
      <c r="P231" s="126"/>
    </row>
    <row r="232" spans="8:16" ht="15.5" x14ac:dyDescent="0.35">
      <c r="H232" s="176"/>
      <c r="J232" s="126"/>
      <c r="K232" s="126"/>
      <c r="L232" s="126"/>
      <c r="M232" s="126"/>
      <c r="N232" s="126"/>
      <c r="O232" s="126"/>
      <c r="P232" s="126"/>
    </row>
    <row r="233" spans="8:16" ht="15.5" x14ac:dyDescent="0.35">
      <c r="H233" s="176"/>
      <c r="J233" s="126"/>
      <c r="K233" s="126"/>
      <c r="L233" s="126"/>
      <c r="M233" s="126"/>
      <c r="N233" s="126"/>
      <c r="O233" s="126"/>
      <c r="P233" s="126"/>
    </row>
    <row r="234" spans="8:16" ht="15.5" x14ac:dyDescent="0.35">
      <c r="H234" s="176"/>
      <c r="J234" s="126"/>
      <c r="K234" s="126"/>
      <c r="L234" s="126"/>
      <c r="M234" s="126"/>
      <c r="N234" s="126"/>
      <c r="O234" s="126"/>
      <c r="P234" s="126"/>
    </row>
    <row r="235" spans="8:16" ht="15.5" x14ac:dyDescent="0.35">
      <c r="H235" s="176"/>
      <c r="J235" s="126"/>
      <c r="K235" s="126"/>
      <c r="L235" s="126"/>
      <c r="M235" s="126"/>
      <c r="N235" s="126"/>
      <c r="O235" s="126"/>
      <c r="P235" s="126"/>
    </row>
    <row r="236" spans="8:16" ht="15.5" x14ac:dyDescent="0.35">
      <c r="H236" s="176"/>
      <c r="J236" s="126"/>
      <c r="K236" s="126"/>
      <c r="L236" s="126"/>
      <c r="M236" s="126"/>
      <c r="N236" s="126"/>
      <c r="O236" s="126"/>
      <c r="P236" s="126"/>
    </row>
    <row r="237" spans="8:16" ht="15.5" x14ac:dyDescent="0.35">
      <c r="H237" s="176"/>
      <c r="J237" s="126"/>
      <c r="K237" s="126"/>
      <c r="L237" s="126"/>
      <c r="M237" s="126"/>
      <c r="N237" s="126"/>
      <c r="O237" s="126"/>
      <c r="P237" s="126"/>
    </row>
    <row r="238" spans="8:16" ht="15.5" x14ac:dyDescent="0.35">
      <c r="H238" s="176"/>
      <c r="J238" s="126"/>
      <c r="K238" s="126"/>
      <c r="L238" s="126"/>
      <c r="M238" s="126"/>
      <c r="N238" s="126"/>
      <c r="O238" s="126"/>
      <c r="P238" s="126"/>
    </row>
    <row r="239" spans="8:16" ht="15.5" x14ac:dyDescent="0.35">
      <c r="H239" s="176"/>
      <c r="J239" s="126"/>
      <c r="K239" s="126"/>
      <c r="L239" s="126"/>
      <c r="M239" s="126"/>
      <c r="N239" s="126"/>
      <c r="O239" s="126"/>
      <c r="P239" s="126"/>
    </row>
    <row r="240" spans="8:16" ht="15.5" x14ac:dyDescent="0.35">
      <c r="H240" s="176"/>
      <c r="J240" s="126"/>
      <c r="K240" s="126"/>
      <c r="L240" s="126"/>
      <c r="M240" s="126"/>
      <c r="N240" s="126"/>
      <c r="O240" s="126"/>
      <c r="P240" s="126"/>
    </row>
    <row r="241" spans="8:16" ht="15.5" x14ac:dyDescent="0.35">
      <c r="H241" s="176"/>
      <c r="J241" s="126"/>
      <c r="K241" s="126"/>
      <c r="L241" s="126"/>
      <c r="M241" s="126"/>
      <c r="N241" s="126"/>
      <c r="O241" s="126"/>
      <c r="P241" s="126"/>
    </row>
    <row r="242" spans="8:16" ht="15.5" x14ac:dyDescent="0.35">
      <c r="H242" s="176"/>
      <c r="J242" s="126"/>
      <c r="K242" s="126"/>
      <c r="L242" s="126"/>
      <c r="M242" s="126"/>
      <c r="N242" s="126"/>
      <c r="O242" s="126"/>
      <c r="P242" s="126"/>
    </row>
    <row r="243" spans="8:16" ht="15.5" x14ac:dyDescent="0.35">
      <c r="H243" s="176"/>
      <c r="J243" s="126"/>
      <c r="K243" s="126"/>
      <c r="L243" s="126"/>
      <c r="M243" s="126"/>
      <c r="N243" s="126"/>
      <c r="O243" s="126"/>
      <c r="P243" s="126"/>
    </row>
    <row r="244" spans="8:16" ht="15.5" x14ac:dyDescent="0.35">
      <c r="H244" s="176"/>
      <c r="J244" s="126"/>
      <c r="K244" s="126"/>
      <c r="L244" s="126"/>
      <c r="M244" s="126"/>
      <c r="N244" s="126"/>
      <c r="O244" s="126"/>
      <c r="P244" s="126"/>
    </row>
    <row r="245" spans="8:16" ht="15.5" x14ac:dyDescent="0.35">
      <c r="H245" s="176"/>
      <c r="J245" s="126"/>
      <c r="K245" s="126"/>
      <c r="L245" s="126"/>
      <c r="M245" s="126"/>
      <c r="N245" s="126"/>
      <c r="O245" s="126"/>
      <c r="P245" s="126"/>
    </row>
    <row r="246" spans="8:16" ht="15.5" x14ac:dyDescent="0.35">
      <c r="H246" s="176"/>
      <c r="J246" s="126"/>
      <c r="K246" s="126"/>
      <c r="L246" s="126"/>
      <c r="M246" s="126"/>
      <c r="N246" s="126"/>
      <c r="O246" s="126"/>
      <c r="P246" s="126"/>
    </row>
    <row r="247" spans="8:16" ht="15.5" x14ac:dyDescent="0.35">
      <c r="H247" s="176"/>
      <c r="J247" s="126"/>
      <c r="K247" s="126"/>
      <c r="L247" s="126"/>
      <c r="M247" s="126"/>
      <c r="N247" s="126"/>
      <c r="O247" s="126"/>
      <c r="P247" s="126"/>
    </row>
    <row r="248" spans="8:16" ht="15.5" x14ac:dyDescent="0.35">
      <c r="H248" s="176"/>
      <c r="J248" s="126"/>
      <c r="K248" s="126"/>
      <c r="L248" s="126"/>
      <c r="M248" s="126"/>
      <c r="N248" s="126"/>
      <c r="O248" s="126"/>
      <c r="P248" s="126"/>
    </row>
    <row r="249" spans="8:16" ht="15.5" x14ac:dyDescent="0.35">
      <c r="H249" s="176"/>
      <c r="J249" s="126"/>
      <c r="K249" s="126"/>
      <c r="L249" s="126"/>
      <c r="M249" s="126"/>
      <c r="N249" s="126"/>
      <c r="O249" s="126"/>
      <c r="P249" s="126"/>
    </row>
    <row r="250" spans="8:16" ht="15.5" x14ac:dyDescent="0.35">
      <c r="H250" s="176"/>
      <c r="J250" s="126"/>
      <c r="K250" s="126"/>
      <c r="L250" s="126"/>
      <c r="M250" s="126"/>
      <c r="N250" s="126"/>
      <c r="O250" s="126"/>
      <c r="P250" s="126"/>
    </row>
    <row r="251" spans="8:16" ht="15.5" x14ac:dyDescent="0.35">
      <c r="H251" s="176"/>
      <c r="J251" s="126"/>
      <c r="K251" s="126"/>
      <c r="L251" s="126"/>
      <c r="M251" s="126"/>
      <c r="N251" s="126"/>
      <c r="O251" s="126"/>
      <c r="P251" s="126"/>
    </row>
    <row r="252" spans="8:16" ht="15.5" x14ac:dyDescent="0.35">
      <c r="H252" s="176"/>
      <c r="J252" s="126"/>
      <c r="K252" s="126"/>
      <c r="L252" s="126"/>
      <c r="M252" s="126"/>
      <c r="N252" s="126"/>
      <c r="O252" s="126"/>
      <c r="P252" s="126"/>
    </row>
    <row r="253" spans="8:16" ht="15.5" x14ac:dyDescent="0.35">
      <c r="H253" s="176"/>
      <c r="J253" s="126"/>
      <c r="K253" s="126"/>
      <c r="L253" s="126"/>
      <c r="M253" s="126"/>
      <c r="N253" s="126"/>
      <c r="O253" s="126"/>
      <c r="P253" s="126"/>
    </row>
    <row r="254" spans="8:16" ht="15.5" x14ac:dyDescent="0.35">
      <c r="H254" s="176"/>
      <c r="J254" s="126"/>
      <c r="K254" s="126"/>
      <c r="L254" s="126"/>
      <c r="M254" s="126"/>
      <c r="N254" s="126"/>
      <c r="O254" s="126"/>
      <c r="P254" s="126"/>
    </row>
    <row r="255" spans="8:16" ht="15.5" x14ac:dyDescent="0.35">
      <c r="H255" s="176"/>
      <c r="J255" s="126"/>
      <c r="K255" s="126"/>
      <c r="L255" s="126"/>
      <c r="M255" s="126"/>
      <c r="N255" s="126"/>
      <c r="O255" s="126"/>
      <c r="P255" s="126"/>
    </row>
    <row r="256" spans="8:16" ht="15.5" x14ac:dyDescent="0.35">
      <c r="H256" s="176"/>
      <c r="J256" s="126"/>
      <c r="K256" s="126"/>
      <c r="L256" s="126"/>
      <c r="M256" s="126"/>
      <c r="N256" s="126"/>
      <c r="O256" s="126"/>
      <c r="P256" s="126"/>
    </row>
    <row r="257" spans="8:16" ht="15.5" x14ac:dyDescent="0.35">
      <c r="H257" s="176"/>
      <c r="J257" s="126"/>
      <c r="K257" s="126"/>
      <c r="L257" s="126"/>
      <c r="M257" s="126"/>
      <c r="N257" s="126"/>
      <c r="O257" s="126"/>
      <c r="P257" s="126"/>
    </row>
    <row r="258" spans="8:16" ht="15.5" x14ac:dyDescent="0.35">
      <c r="H258" s="176"/>
      <c r="J258" s="126"/>
      <c r="K258" s="126"/>
      <c r="L258" s="126"/>
      <c r="M258" s="126"/>
      <c r="N258" s="126"/>
      <c r="O258" s="126"/>
      <c r="P258" s="126"/>
    </row>
    <row r="259" spans="8:16" ht="15.5" x14ac:dyDescent="0.35">
      <c r="H259" s="176"/>
      <c r="J259" s="126"/>
      <c r="K259" s="126"/>
      <c r="L259" s="126"/>
      <c r="M259" s="126"/>
      <c r="N259" s="126"/>
      <c r="O259" s="126"/>
      <c r="P259" s="126"/>
    </row>
    <row r="260" spans="8:16" ht="15.5" x14ac:dyDescent="0.35">
      <c r="H260" s="176"/>
      <c r="J260" s="126"/>
      <c r="K260" s="126"/>
      <c r="L260" s="126"/>
      <c r="M260" s="126"/>
      <c r="N260" s="126"/>
      <c r="O260" s="126"/>
      <c r="P260" s="126"/>
    </row>
    <row r="261" spans="8:16" ht="15.5" x14ac:dyDescent="0.35">
      <c r="H261" s="176"/>
      <c r="J261" s="126"/>
      <c r="K261" s="126"/>
      <c r="L261" s="126"/>
      <c r="M261" s="126"/>
      <c r="N261" s="126"/>
      <c r="O261" s="126"/>
      <c r="P261" s="126"/>
    </row>
    <row r="262" spans="8:16" ht="15.5" x14ac:dyDescent="0.35">
      <c r="H262" s="176"/>
      <c r="J262" s="126"/>
      <c r="K262" s="126"/>
      <c r="L262" s="126"/>
      <c r="M262" s="126"/>
      <c r="N262" s="126"/>
      <c r="O262" s="126"/>
      <c r="P262" s="126"/>
    </row>
    <row r="263" spans="8:16" ht="15.5" x14ac:dyDescent="0.35">
      <c r="H263" s="176"/>
      <c r="J263" s="126"/>
      <c r="K263" s="126"/>
      <c r="L263" s="126"/>
      <c r="M263" s="126"/>
      <c r="N263" s="126"/>
      <c r="O263" s="126"/>
      <c r="P263" s="126"/>
    </row>
    <row r="264" spans="8:16" ht="15.5" x14ac:dyDescent="0.35">
      <c r="H264" s="176"/>
      <c r="J264" s="126"/>
      <c r="K264" s="126"/>
      <c r="L264" s="126"/>
      <c r="M264" s="126"/>
      <c r="N264" s="126"/>
      <c r="O264" s="126"/>
      <c r="P264" s="126"/>
    </row>
    <row r="265" spans="8:16" ht="15.5" x14ac:dyDescent="0.35">
      <c r="H265" s="176"/>
      <c r="J265" s="126"/>
      <c r="K265" s="126"/>
      <c r="L265" s="126"/>
      <c r="M265" s="126"/>
      <c r="N265" s="126"/>
      <c r="O265" s="126"/>
      <c r="P265" s="126"/>
    </row>
    <row r="266" spans="8:16" ht="15.5" x14ac:dyDescent="0.35">
      <c r="H266" s="176"/>
      <c r="J266" s="126"/>
      <c r="K266" s="126"/>
      <c r="L266" s="126"/>
      <c r="M266" s="126"/>
      <c r="N266" s="126"/>
      <c r="O266" s="126"/>
      <c r="P266" s="126"/>
    </row>
    <row r="267" spans="8:16" ht="15.5" x14ac:dyDescent="0.35">
      <c r="H267" s="176"/>
      <c r="J267" s="126"/>
      <c r="K267" s="126"/>
      <c r="L267" s="126"/>
      <c r="M267" s="126"/>
      <c r="N267" s="126"/>
      <c r="O267" s="126"/>
      <c r="P267" s="126"/>
    </row>
    <row r="268" spans="8:16" ht="15.5" x14ac:dyDescent="0.35">
      <c r="H268" s="176"/>
      <c r="J268" s="126"/>
      <c r="K268" s="126"/>
      <c r="L268" s="126"/>
      <c r="M268" s="126"/>
      <c r="N268" s="126"/>
      <c r="O268" s="126"/>
      <c r="P268" s="126"/>
    </row>
    <row r="269" spans="8:16" ht="15.5" x14ac:dyDescent="0.35">
      <c r="H269" s="176"/>
      <c r="J269" s="126"/>
      <c r="K269" s="126"/>
      <c r="L269" s="126"/>
      <c r="M269" s="126"/>
      <c r="N269" s="126"/>
      <c r="O269" s="126"/>
      <c r="P269" s="126"/>
    </row>
    <row r="270" spans="8:16" ht="15.5" x14ac:dyDescent="0.35">
      <c r="H270" s="176"/>
      <c r="J270" s="126"/>
      <c r="K270" s="126"/>
      <c r="L270" s="126"/>
      <c r="M270" s="126"/>
      <c r="N270" s="126"/>
      <c r="O270" s="126"/>
      <c r="P270" s="126"/>
    </row>
    <row r="271" spans="8:16" ht="15.5" x14ac:dyDescent="0.35">
      <c r="H271" s="176"/>
      <c r="J271" s="126"/>
      <c r="K271" s="126"/>
      <c r="L271" s="126"/>
      <c r="M271" s="126"/>
      <c r="N271" s="126"/>
      <c r="O271" s="126"/>
      <c r="P271" s="126"/>
    </row>
    <row r="272" spans="8:16" ht="15.5" x14ac:dyDescent="0.35">
      <c r="H272" s="176"/>
      <c r="J272" s="126"/>
      <c r="K272" s="126"/>
      <c r="L272" s="126"/>
      <c r="M272" s="126"/>
      <c r="N272" s="126"/>
      <c r="O272" s="126"/>
      <c r="P272" s="126"/>
    </row>
    <row r="273" spans="1:16" ht="15.5" x14ac:dyDescent="0.35">
      <c r="H273" s="176"/>
      <c r="J273" s="126"/>
      <c r="K273" s="126"/>
      <c r="L273" s="126"/>
      <c r="M273" s="126"/>
      <c r="N273" s="126"/>
      <c r="O273" s="126"/>
      <c r="P273" s="126"/>
    </row>
    <row r="274" spans="1:16" ht="15.5" x14ac:dyDescent="0.35">
      <c r="H274" s="176"/>
      <c r="J274" s="126"/>
      <c r="K274" s="126"/>
      <c r="L274" s="126"/>
      <c r="M274" s="126"/>
      <c r="N274" s="126"/>
      <c r="O274" s="126"/>
      <c r="P274" s="126"/>
    </row>
    <row r="275" spans="1:16" ht="15.5" x14ac:dyDescent="0.35">
      <c r="H275" s="176"/>
      <c r="J275" s="126"/>
      <c r="K275" s="126"/>
      <c r="L275" s="126"/>
      <c r="M275" s="126"/>
      <c r="N275" s="126"/>
      <c r="O275" s="126"/>
      <c r="P275" s="126"/>
    </row>
    <row r="276" spans="1:16" ht="15.5" x14ac:dyDescent="0.35">
      <c r="H276" s="176"/>
      <c r="J276" s="126"/>
      <c r="K276" s="126"/>
      <c r="L276" s="126"/>
      <c r="M276" s="126"/>
      <c r="N276" s="126"/>
      <c r="O276" s="126"/>
      <c r="P276" s="126"/>
    </row>
    <row r="277" spans="1:16" s="167" customFormat="1" ht="15.5" x14ac:dyDescent="0.35">
      <c r="A277" s="161"/>
      <c r="B277"/>
      <c r="C277"/>
      <c r="D277" s="161"/>
      <c r="E277" s="161"/>
      <c r="F277" s="161"/>
      <c r="G277" s="161"/>
      <c r="H277" s="177"/>
      <c r="J277" s="127"/>
      <c r="K277" s="127"/>
      <c r="L277" s="127"/>
      <c r="M277" s="127"/>
      <c r="N277" s="127"/>
      <c r="O277" s="127"/>
      <c r="P277" s="127"/>
    </row>
    <row r="278" spans="1:16" ht="15.5" x14ac:dyDescent="0.35">
      <c r="H278" s="176"/>
      <c r="J278" s="126"/>
      <c r="K278" s="126"/>
      <c r="L278" s="126"/>
      <c r="M278" s="126"/>
      <c r="N278" s="126"/>
      <c r="O278" s="126"/>
      <c r="P278" s="126"/>
    </row>
    <row r="279" spans="1:16" ht="15.5" x14ac:dyDescent="0.35">
      <c r="H279" s="176"/>
      <c r="J279" s="126"/>
      <c r="K279" s="126"/>
      <c r="L279" s="126"/>
      <c r="M279" s="126"/>
      <c r="N279" s="126"/>
      <c r="O279" s="126"/>
      <c r="P279" s="126"/>
    </row>
    <row r="280" spans="1:16" ht="15.5" x14ac:dyDescent="0.35">
      <c r="H280" s="176"/>
      <c r="J280" s="126"/>
      <c r="K280" s="126"/>
      <c r="L280" s="126"/>
      <c r="M280" s="126"/>
      <c r="N280" s="126"/>
      <c r="O280" s="126"/>
      <c r="P280" s="126"/>
    </row>
    <row r="281" spans="1:16" ht="15.5" x14ac:dyDescent="0.35">
      <c r="H281" s="176"/>
      <c r="J281" s="126"/>
      <c r="K281" s="126"/>
      <c r="L281" s="126"/>
      <c r="M281" s="126"/>
      <c r="N281" s="126"/>
      <c r="O281" s="126"/>
      <c r="P281" s="126"/>
    </row>
    <row r="282" spans="1:16" ht="15.5" x14ac:dyDescent="0.35">
      <c r="H282" s="176"/>
      <c r="J282" s="126"/>
      <c r="K282" s="126"/>
      <c r="L282" s="126"/>
      <c r="M282" s="126"/>
      <c r="N282" s="126"/>
      <c r="O282" s="126"/>
      <c r="P282" s="126"/>
    </row>
    <row r="283" spans="1:16" ht="15.5" x14ac:dyDescent="0.35">
      <c r="H283" s="176"/>
      <c r="J283" s="126"/>
      <c r="K283" s="126"/>
      <c r="L283" s="126"/>
      <c r="M283" s="126"/>
      <c r="N283" s="126"/>
      <c r="O283" s="126"/>
      <c r="P283" s="126"/>
    </row>
    <row r="284" spans="1:16" ht="15.5" x14ac:dyDescent="0.35">
      <c r="H284" s="176"/>
      <c r="J284" s="126"/>
      <c r="K284" s="126"/>
      <c r="L284" s="126"/>
      <c r="M284" s="126"/>
      <c r="N284" s="126"/>
      <c r="O284" s="126"/>
      <c r="P284" s="126"/>
    </row>
    <row r="285" spans="1:16" ht="15.5" x14ac:dyDescent="0.35">
      <c r="H285" s="176"/>
      <c r="J285" s="126"/>
      <c r="K285" s="126"/>
      <c r="L285" s="126"/>
      <c r="M285" s="126"/>
      <c r="N285" s="126"/>
      <c r="O285" s="126"/>
      <c r="P285" s="126"/>
    </row>
    <row r="286" spans="1:16" ht="15.5" x14ac:dyDescent="0.35">
      <c r="H286" s="176"/>
      <c r="J286" s="126"/>
      <c r="K286" s="126"/>
      <c r="L286" s="126"/>
      <c r="M286" s="126"/>
      <c r="N286" s="126"/>
      <c r="O286" s="126"/>
      <c r="P286" s="126"/>
    </row>
    <row r="287" spans="1:16" ht="15.5" x14ac:dyDescent="0.35">
      <c r="H287" s="176"/>
      <c r="J287" s="126"/>
      <c r="K287" s="126"/>
      <c r="L287" s="126"/>
      <c r="M287" s="126"/>
      <c r="N287" s="126"/>
      <c r="O287" s="126"/>
      <c r="P287" s="126"/>
    </row>
    <row r="288" spans="1:16" ht="15.5" x14ac:dyDescent="0.35">
      <c r="H288" s="176"/>
      <c r="J288" s="126"/>
      <c r="K288" s="126"/>
      <c r="L288" s="126"/>
      <c r="M288" s="126"/>
      <c r="N288" s="126"/>
      <c r="O288" s="126"/>
      <c r="P288" s="126"/>
    </row>
    <row r="289" spans="8:16" ht="15.5" x14ac:dyDescent="0.35">
      <c r="H289" s="176"/>
      <c r="J289" s="126"/>
      <c r="K289" s="126"/>
      <c r="L289" s="126"/>
      <c r="M289" s="126"/>
      <c r="N289" s="126"/>
      <c r="O289" s="126"/>
      <c r="P289" s="126"/>
    </row>
    <row r="290" spans="8:16" ht="15.5" x14ac:dyDescent="0.35">
      <c r="H290" s="176"/>
      <c r="J290" s="126"/>
      <c r="K290" s="126"/>
      <c r="L290" s="126"/>
      <c r="M290" s="126"/>
      <c r="N290" s="126"/>
      <c r="O290" s="126"/>
      <c r="P290" s="126"/>
    </row>
    <row r="291" spans="8:16" ht="15.5" x14ac:dyDescent="0.35">
      <c r="H291" s="176"/>
      <c r="J291" s="126"/>
      <c r="K291" s="126"/>
      <c r="L291" s="126"/>
      <c r="M291" s="126"/>
      <c r="N291" s="126"/>
      <c r="O291" s="126"/>
      <c r="P291" s="126"/>
    </row>
    <row r="292" spans="8:16" ht="15.5" x14ac:dyDescent="0.35">
      <c r="H292" s="176"/>
      <c r="J292" s="126"/>
      <c r="K292" s="126"/>
      <c r="L292" s="126"/>
      <c r="M292" s="126"/>
      <c r="N292" s="126"/>
      <c r="O292" s="126"/>
      <c r="P292" s="126"/>
    </row>
    <row r="293" spans="8:16" ht="15.5" x14ac:dyDescent="0.35">
      <c r="H293" s="176"/>
      <c r="J293" s="126"/>
      <c r="K293" s="126"/>
      <c r="L293" s="126"/>
      <c r="M293" s="126"/>
      <c r="N293" s="126"/>
      <c r="O293" s="126"/>
      <c r="P293" s="126"/>
    </row>
    <row r="294" spans="8:16" ht="15.5" x14ac:dyDescent="0.35">
      <c r="J294" s="126"/>
      <c r="K294" s="126"/>
      <c r="L294" s="126"/>
      <c r="M294" s="126"/>
      <c r="N294" s="126"/>
      <c r="O294" s="126"/>
      <c r="P294" s="126"/>
    </row>
    <row r="295" spans="8:16" ht="15.5" x14ac:dyDescent="0.35">
      <c r="J295" s="126"/>
      <c r="K295" s="126"/>
      <c r="L295" s="126"/>
      <c r="M295" s="126"/>
      <c r="N295" s="126"/>
      <c r="O295" s="126"/>
      <c r="P295" s="126"/>
    </row>
    <row r="296" spans="8:16" ht="15.5" x14ac:dyDescent="0.35">
      <c r="J296" s="126"/>
      <c r="K296" s="126"/>
      <c r="L296" s="126"/>
      <c r="M296" s="126"/>
      <c r="N296" s="126"/>
      <c r="O296" s="126"/>
      <c r="P296" s="126"/>
    </row>
    <row r="297" spans="8:16" ht="15.5" x14ac:dyDescent="0.35">
      <c r="J297" s="126"/>
      <c r="K297" s="126"/>
      <c r="L297" s="126"/>
      <c r="M297" s="126"/>
      <c r="N297" s="126"/>
      <c r="O297" s="126"/>
      <c r="P297" s="126"/>
    </row>
    <row r="298" spans="8:16" ht="15.5" x14ac:dyDescent="0.35">
      <c r="J298" s="126"/>
      <c r="K298" s="126"/>
      <c r="L298" s="126"/>
      <c r="M298" s="126"/>
      <c r="N298" s="126"/>
      <c r="O298" s="126"/>
      <c r="P298" s="126"/>
    </row>
    <row r="299" spans="8:16" ht="15.5" x14ac:dyDescent="0.35">
      <c r="J299" s="126"/>
      <c r="K299" s="126"/>
      <c r="L299" s="126"/>
      <c r="M299" s="126"/>
      <c r="N299" s="126"/>
      <c r="O299" s="126"/>
      <c r="P299" s="126"/>
    </row>
    <row r="300" spans="8:16" ht="15.5" x14ac:dyDescent="0.35">
      <c r="J300" s="126"/>
      <c r="K300" s="126"/>
      <c r="L300" s="126"/>
      <c r="M300" s="126"/>
      <c r="N300" s="126"/>
      <c r="O300" s="126"/>
      <c r="P300" s="126"/>
    </row>
    <row r="301" spans="8:16" ht="15.5" x14ac:dyDescent="0.35">
      <c r="J301" s="126"/>
      <c r="K301" s="126"/>
      <c r="L301" s="126"/>
      <c r="M301" s="126"/>
      <c r="N301" s="126"/>
      <c r="O301" s="126"/>
      <c r="P301" s="126"/>
    </row>
    <row r="302" spans="8:16" ht="15.5" x14ac:dyDescent="0.35">
      <c r="J302" s="126"/>
      <c r="K302" s="126"/>
      <c r="L302" s="126"/>
      <c r="M302" s="126"/>
      <c r="N302" s="126"/>
      <c r="O302" s="126"/>
      <c r="P302" s="126"/>
    </row>
    <row r="303" spans="8:16" ht="15.5" x14ac:dyDescent="0.35">
      <c r="J303" s="126"/>
      <c r="K303" s="126"/>
      <c r="L303" s="126"/>
      <c r="M303" s="126"/>
      <c r="N303" s="126"/>
      <c r="O303" s="126"/>
      <c r="P303" s="126"/>
    </row>
    <row r="304" spans="8:16" ht="15.5" x14ac:dyDescent="0.35">
      <c r="J304" s="126"/>
      <c r="K304" s="126"/>
      <c r="L304" s="126"/>
      <c r="M304" s="126"/>
      <c r="N304" s="126"/>
      <c r="O304" s="126"/>
      <c r="P304" s="126"/>
    </row>
    <row r="305" spans="10:16" ht="15.5" x14ac:dyDescent="0.35">
      <c r="J305" s="126"/>
      <c r="K305" s="126"/>
      <c r="L305" s="126"/>
      <c r="M305" s="126"/>
      <c r="N305" s="126"/>
      <c r="O305" s="126"/>
      <c r="P305" s="126"/>
    </row>
    <row r="306" spans="10:16" ht="15.5" x14ac:dyDescent="0.35">
      <c r="J306" s="126"/>
      <c r="K306" s="126"/>
      <c r="L306" s="126"/>
      <c r="M306" s="126"/>
      <c r="N306" s="126"/>
      <c r="O306" s="126"/>
      <c r="P306" s="126"/>
    </row>
    <row r="307" spans="10:16" ht="15.5" x14ac:dyDescent="0.35">
      <c r="J307" s="126"/>
      <c r="K307" s="126"/>
      <c r="L307" s="126"/>
      <c r="M307" s="126"/>
      <c r="N307" s="126"/>
      <c r="O307" s="126"/>
      <c r="P307" s="126"/>
    </row>
    <row r="308" spans="10:16" ht="15.5" x14ac:dyDescent="0.35">
      <c r="J308" s="126"/>
      <c r="K308" s="126"/>
      <c r="L308" s="126"/>
      <c r="M308" s="126"/>
      <c r="N308" s="126"/>
      <c r="O308" s="126"/>
      <c r="P308" s="126"/>
    </row>
    <row r="309" spans="10:16" ht="15.5" x14ac:dyDescent="0.35">
      <c r="J309" s="126"/>
      <c r="K309" s="126"/>
      <c r="L309" s="126"/>
      <c r="M309" s="126"/>
      <c r="N309" s="126"/>
      <c r="O309" s="126"/>
      <c r="P309" s="126"/>
    </row>
    <row r="310" spans="10:16" ht="15.5" x14ac:dyDescent="0.35">
      <c r="J310" s="126"/>
      <c r="K310" s="126"/>
      <c r="L310" s="126"/>
      <c r="M310" s="126"/>
      <c r="N310" s="126"/>
      <c r="O310" s="126"/>
      <c r="P310" s="126"/>
    </row>
    <row r="311" spans="10:16" ht="15.5" x14ac:dyDescent="0.35">
      <c r="J311" s="126"/>
      <c r="K311" s="126"/>
      <c r="L311" s="126"/>
      <c r="M311" s="126"/>
      <c r="N311" s="126"/>
      <c r="O311" s="126"/>
      <c r="P311" s="126"/>
    </row>
    <row r="312" spans="10:16" ht="15.5" x14ac:dyDescent="0.35">
      <c r="J312" s="126"/>
      <c r="K312" s="126"/>
      <c r="L312" s="126"/>
      <c r="M312" s="126"/>
      <c r="N312" s="126"/>
      <c r="O312" s="126"/>
      <c r="P312" s="126"/>
    </row>
    <row r="313" spans="10:16" ht="15.5" x14ac:dyDescent="0.35">
      <c r="J313" s="126"/>
      <c r="K313" s="126"/>
      <c r="L313" s="126"/>
      <c r="M313" s="126"/>
      <c r="N313" s="126"/>
      <c r="O313" s="126"/>
      <c r="P313" s="126"/>
    </row>
    <row r="314" spans="10:16" ht="15.5" x14ac:dyDescent="0.35">
      <c r="J314" s="126"/>
      <c r="K314" s="126"/>
      <c r="L314" s="126"/>
      <c r="M314" s="126"/>
      <c r="N314" s="126"/>
      <c r="O314" s="126"/>
      <c r="P314" s="126"/>
    </row>
    <row r="315" spans="10:16" ht="15.5" x14ac:dyDescent="0.35">
      <c r="J315" s="126"/>
      <c r="K315" s="126"/>
      <c r="L315" s="126"/>
      <c r="M315" s="126"/>
      <c r="N315" s="126"/>
      <c r="O315" s="126"/>
      <c r="P315" s="126"/>
    </row>
    <row r="316" spans="10:16" ht="15.5" x14ac:dyDescent="0.35">
      <c r="J316" s="126"/>
      <c r="K316" s="126"/>
      <c r="L316" s="126"/>
      <c r="M316" s="126"/>
      <c r="N316" s="126"/>
      <c r="O316" s="126"/>
      <c r="P316" s="126"/>
    </row>
    <row r="317" spans="10:16" ht="15.5" x14ac:dyDescent="0.35">
      <c r="J317" s="126"/>
      <c r="K317" s="126"/>
      <c r="L317" s="126"/>
      <c r="M317" s="126"/>
      <c r="N317" s="126"/>
      <c r="O317" s="126"/>
      <c r="P317" s="126"/>
    </row>
    <row r="318" spans="10:16" ht="15.5" x14ac:dyDescent="0.35">
      <c r="J318" s="126"/>
      <c r="K318" s="126"/>
      <c r="L318" s="126"/>
      <c r="M318" s="126"/>
      <c r="N318" s="126"/>
      <c r="O318" s="126"/>
      <c r="P318" s="126"/>
    </row>
    <row r="319" spans="10:16" ht="15.5" x14ac:dyDescent="0.35">
      <c r="J319" s="126"/>
      <c r="K319" s="126"/>
      <c r="L319" s="126"/>
      <c r="M319" s="126"/>
      <c r="N319" s="126"/>
      <c r="O319" s="126"/>
      <c r="P319" s="126"/>
    </row>
    <row r="320" spans="10:16" ht="15.5" x14ac:dyDescent="0.35">
      <c r="J320" s="126"/>
      <c r="K320" s="126"/>
      <c r="L320" s="126"/>
      <c r="M320" s="126"/>
      <c r="N320" s="126"/>
      <c r="O320" s="126"/>
      <c r="P320" s="126"/>
    </row>
    <row r="321" spans="1:16" ht="15.5" x14ac:dyDescent="0.35">
      <c r="J321" s="126"/>
      <c r="K321" s="126"/>
      <c r="L321" s="126"/>
      <c r="M321" s="126"/>
      <c r="N321" s="126"/>
      <c r="O321" s="126"/>
      <c r="P321" s="126"/>
    </row>
    <row r="322" spans="1:16" ht="15.5" x14ac:dyDescent="0.35">
      <c r="J322" s="126"/>
      <c r="K322" s="126"/>
      <c r="L322" s="126"/>
      <c r="M322" s="126"/>
      <c r="N322" s="126"/>
      <c r="O322" s="126"/>
      <c r="P322" s="126"/>
    </row>
    <row r="323" spans="1:16" ht="15.5" x14ac:dyDescent="0.35">
      <c r="J323" s="126"/>
      <c r="K323" s="126"/>
      <c r="L323" s="126"/>
      <c r="M323" s="126"/>
      <c r="N323" s="126"/>
      <c r="O323" s="126"/>
      <c r="P323" s="126"/>
    </row>
    <row r="324" spans="1:16" ht="15.5" x14ac:dyDescent="0.35">
      <c r="J324" s="126"/>
      <c r="K324" s="126"/>
      <c r="L324" s="126"/>
      <c r="M324" s="126"/>
      <c r="N324" s="126"/>
      <c r="O324" s="126"/>
      <c r="P324" s="126"/>
    </row>
    <row r="325" spans="1:16" ht="15.5" x14ac:dyDescent="0.35">
      <c r="J325" s="126"/>
      <c r="K325" s="126"/>
      <c r="L325" s="126"/>
      <c r="M325" s="126"/>
      <c r="N325" s="126"/>
      <c r="O325" s="126"/>
      <c r="P325" s="126"/>
    </row>
    <row r="326" spans="1:16" ht="15.5" x14ac:dyDescent="0.35">
      <c r="J326" s="126"/>
      <c r="K326" s="126"/>
      <c r="L326" s="126"/>
      <c r="M326" s="126"/>
      <c r="N326" s="126"/>
      <c r="O326" s="126"/>
      <c r="P326" s="126"/>
    </row>
    <row r="327" spans="1:16" ht="15.5" x14ac:dyDescent="0.35">
      <c r="J327" s="126"/>
      <c r="K327" s="126"/>
      <c r="L327" s="126"/>
      <c r="M327" s="126"/>
      <c r="N327" s="126"/>
      <c r="O327" s="126"/>
      <c r="P327" s="126"/>
    </row>
    <row r="328" spans="1:16" ht="15.5" x14ac:dyDescent="0.35">
      <c r="J328" s="126"/>
      <c r="K328" s="126"/>
      <c r="L328" s="126"/>
      <c r="M328" s="126"/>
      <c r="N328" s="126"/>
      <c r="O328" s="126"/>
      <c r="P328" s="126"/>
    </row>
    <row r="329" spans="1:16" s="167" customFormat="1" ht="15.5" x14ac:dyDescent="0.35">
      <c r="A329" s="161"/>
      <c r="B329"/>
      <c r="C329"/>
      <c r="D329" s="161"/>
      <c r="E329" s="161"/>
      <c r="F329" s="161"/>
      <c r="G329" s="161"/>
      <c r="J329" s="127"/>
      <c r="K329" s="127"/>
      <c r="L329" s="127"/>
      <c r="M329" s="127"/>
      <c r="N329" s="127"/>
      <c r="O329" s="127"/>
      <c r="P329" s="127"/>
    </row>
    <row r="330" spans="1:16" ht="15.5" x14ac:dyDescent="0.35">
      <c r="J330" s="126"/>
      <c r="K330" s="126"/>
      <c r="L330" s="126"/>
      <c r="M330" s="126"/>
      <c r="N330" s="126"/>
      <c r="O330" s="126"/>
      <c r="P330" s="126"/>
    </row>
    <row r="331" spans="1:16" ht="15.5" x14ac:dyDescent="0.35">
      <c r="J331" s="126"/>
      <c r="K331" s="126"/>
      <c r="L331" s="126"/>
      <c r="M331" s="126"/>
      <c r="N331" s="126"/>
      <c r="O331" s="126"/>
      <c r="P331" s="126"/>
    </row>
    <row r="332" spans="1:16" s="167" customFormat="1" ht="15.5" x14ac:dyDescent="0.35">
      <c r="A332" s="161"/>
      <c r="B332"/>
      <c r="C332"/>
      <c r="D332" s="161"/>
      <c r="E332" s="161"/>
      <c r="F332" s="161"/>
      <c r="G332" s="161"/>
      <c r="J332" s="127"/>
      <c r="K332" s="127"/>
      <c r="L332" s="127"/>
      <c r="M332" s="127"/>
      <c r="N332" s="127"/>
      <c r="O332" s="127"/>
      <c r="P332" s="127"/>
    </row>
    <row r="333" spans="1:16" ht="15.5" x14ac:dyDescent="0.35">
      <c r="J333" s="126"/>
      <c r="K333" s="126"/>
      <c r="L333" s="126"/>
      <c r="M333" s="126"/>
      <c r="N333" s="126"/>
      <c r="O333" s="126"/>
      <c r="P333" s="126"/>
    </row>
    <row r="334" spans="1:16" ht="15.5" x14ac:dyDescent="0.35">
      <c r="J334" s="126"/>
      <c r="K334" s="126"/>
      <c r="L334" s="126"/>
      <c r="M334" s="126"/>
      <c r="N334" s="126"/>
      <c r="O334" s="126"/>
      <c r="P334" s="126"/>
    </row>
    <row r="335" spans="1:16" ht="15.5" x14ac:dyDescent="0.35">
      <c r="J335" s="126"/>
      <c r="K335" s="126"/>
      <c r="L335" s="126"/>
      <c r="M335" s="126"/>
      <c r="N335" s="126"/>
      <c r="O335" s="126"/>
      <c r="P335" s="126"/>
    </row>
    <row r="336" spans="1:16" ht="15.5" x14ac:dyDescent="0.35">
      <c r="J336" s="126"/>
      <c r="K336" s="126"/>
      <c r="L336" s="126"/>
      <c r="M336" s="126"/>
      <c r="N336" s="126"/>
      <c r="O336" s="126"/>
      <c r="P336" s="126"/>
    </row>
    <row r="337" spans="1:16" s="167" customFormat="1" ht="15.5" x14ac:dyDescent="0.35">
      <c r="A337" s="161"/>
      <c r="B337"/>
      <c r="C337"/>
      <c r="D337" s="161"/>
      <c r="E337" s="161"/>
      <c r="F337" s="161"/>
      <c r="G337" s="161"/>
      <c r="J337" s="127"/>
      <c r="K337" s="127"/>
      <c r="L337" s="127"/>
      <c r="M337" s="127"/>
      <c r="N337" s="127"/>
      <c r="O337" s="127"/>
      <c r="P337" s="127"/>
    </row>
    <row r="338" spans="1:16" s="167" customFormat="1" ht="15.5" x14ac:dyDescent="0.35">
      <c r="A338" s="161"/>
      <c r="B338"/>
      <c r="C338"/>
      <c r="D338" s="161"/>
      <c r="E338" s="161"/>
      <c r="F338" s="161"/>
      <c r="G338" s="161"/>
      <c r="J338" s="127"/>
      <c r="K338" s="127"/>
      <c r="L338" s="127"/>
      <c r="M338" s="127"/>
      <c r="N338" s="127"/>
      <c r="O338" s="127"/>
      <c r="P338" s="127"/>
    </row>
    <row r="339" spans="1:16" ht="15.5" x14ac:dyDescent="0.35">
      <c r="J339" s="126"/>
      <c r="K339" s="126"/>
      <c r="L339" s="126"/>
      <c r="M339" s="126"/>
      <c r="N339" s="126"/>
      <c r="O339" s="126"/>
      <c r="P339" s="126"/>
    </row>
    <row r="340" spans="1:16" ht="15.5" x14ac:dyDescent="0.35">
      <c r="J340" s="126"/>
      <c r="K340" s="126"/>
      <c r="L340" s="126"/>
      <c r="M340" s="126"/>
      <c r="N340" s="126"/>
      <c r="O340" s="126"/>
      <c r="P340" s="126"/>
    </row>
    <row r="341" spans="1:16" ht="15.5" x14ac:dyDescent="0.35">
      <c r="J341" s="126"/>
      <c r="K341" s="126"/>
      <c r="L341" s="126"/>
      <c r="M341" s="126"/>
      <c r="N341" s="126"/>
      <c r="O341" s="126"/>
      <c r="P341" s="126"/>
    </row>
    <row r="342" spans="1:16" ht="15.5" x14ac:dyDescent="0.35">
      <c r="J342" s="126"/>
      <c r="K342" s="126"/>
      <c r="L342" s="126"/>
      <c r="M342" s="126"/>
      <c r="N342" s="126"/>
      <c r="O342" s="126"/>
      <c r="P342" s="126"/>
    </row>
    <row r="343" spans="1:16" ht="15.5" x14ac:dyDescent="0.35">
      <c r="J343" s="126"/>
      <c r="K343" s="126"/>
      <c r="L343" s="126"/>
      <c r="M343" s="126"/>
      <c r="N343" s="126"/>
      <c r="O343" s="126"/>
      <c r="P343" s="126"/>
    </row>
    <row r="344" spans="1:16" ht="15.5" x14ac:dyDescent="0.35">
      <c r="J344" s="126"/>
      <c r="K344" s="126"/>
      <c r="L344" s="126"/>
      <c r="M344" s="126"/>
      <c r="N344" s="126"/>
      <c r="O344" s="126"/>
      <c r="P344" s="126"/>
    </row>
    <row r="345" spans="1:16" ht="15.5" x14ac:dyDescent="0.35">
      <c r="J345" s="126"/>
      <c r="K345" s="126"/>
      <c r="L345" s="126"/>
      <c r="M345" s="126"/>
      <c r="N345" s="126"/>
      <c r="O345" s="126"/>
      <c r="P345" s="126"/>
    </row>
    <row r="346" spans="1:16" ht="15.5" x14ac:dyDescent="0.35">
      <c r="J346" s="126"/>
      <c r="K346" s="126"/>
      <c r="L346" s="126"/>
      <c r="M346" s="126"/>
      <c r="N346" s="126"/>
      <c r="O346" s="126"/>
      <c r="P346" s="126"/>
    </row>
    <row r="347" spans="1:16" ht="15.5" x14ac:dyDescent="0.35">
      <c r="J347" s="126"/>
      <c r="K347" s="126"/>
      <c r="L347" s="126"/>
      <c r="M347" s="126"/>
      <c r="N347" s="126"/>
      <c r="O347" s="126"/>
      <c r="P347" s="126"/>
    </row>
    <row r="348" spans="1:16" ht="15.5" x14ac:dyDescent="0.35">
      <c r="J348" s="126"/>
      <c r="K348" s="126"/>
      <c r="L348" s="126"/>
      <c r="M348" s="126"/>
      <c r="N348" s="126"/>
      <c r="O348" s="126"/>
      <c r="P348" s="126"/>
    </row>
    <row r="349" spans="1:16" ht="15.5" x14ac:dyDescent="0.35">
      <c r="J349" s="126"/>
      <c r="K349" s="126"/>
      <c r="L349" s="126"/>
      <c r="M349" s="126"/>
      <c r="N349" s="126"/>
      <c r="O349" s="126"/>
      <c r="P349" s="126"/>
    </row>
    <row r="350" spans="1:16" ht="15.5" x14ac:dyDescent="0.35">
      <c r="J350" s="126"/>
      <c r="K350" s="126"/>
      <c r="L350" s="126"/>
      <c r="M350" s="126"/>
      <c r="N350" s="126"/>
      <c r="O350" s="126"/>
      <c r="P350" s="126"/>
    </row>
    <row r="351" spans="1:16" ht="15.5" x14ac:dyDescent="0.35">
      <c r="J351" s="126"/>
      <c r="K351" s="126"/>
      <c r="L351" s="126"/>
      <c r="M351" s="126"/>
      <c r="N351" s="126"/>
      <c r="O351" s="126"/>
      <c r="P351" s="126"/>
    </row>
    <row r="352" spans="1:16" s="167" customFormat="1" ht="15.5" x14ac:dyDescent="0.35">
      <c r="A352" s="161"/>
      <c r="B352"/>
      <c r="C352"/>
      <c r="D352" s="161"/>
      <c r="E352" s="161"/>
      <c r="F352" s="161"/>
      <c r="G352" s="161"/>
      <c r="J352" s="127"/>
      <c r="K352" s="127"/>
      <c r="L352" s="127"/>
      <c r="M352" s="127"/>
      <c r="N352" s="127"/>
      <c r="O352" s="127"/>
      <c r="P352" s="127"/>
    </row>
    <row r="353" spans="1:16" ht="15.5" x14ac:dyDescent="0.35">
      <c r="J353" s="126"/>
      <c r="K353" s="126"/>
      <c r="L353" s="126"/>
      <c r="M353" s="126"/>
      <c r="N353" s="126"/>
      <c r="O353" s="126"/>
      <c r="P353" s="126"/>
    </row>
    <row r="354" spans="1:16" ht="15.5" x14ac:dyDescent="0.35">
      <c r="J354" s="126"/>
      <c r="K354" s="126"/>
      <c r="L354" s="126"/>
      <c r="M354" s="126"/>
      <c r="N354" s="126"/>
      <c r="O354" s="126"/>
      <c r="P354" s="126"/>
    </row>
    <row r="355" spans="1:16" ht="15.5" x14ac:dyDescent="0.35">
      <c r="J355" s="126"/>
      <c r="K355" s="126"/>
      <c r="L355" s="126"/>
      <c r="M355" s="126"/>
      <c r="N355" s="126"/>
      <c r="O355" s="126"/>
      <c r="P355" s="126"/>
    </row>
    <row r="356" spans="1:16" ht="15.5" x14ac:dyDescent="0.35">
      <c r="J356" s="126"/>
      <c r="K356" s="126"/>
      <c r="L356" s="126"/>
      <c r="M356" s="126"/>
      <c r="N356" s="126"/>
      <c r="O356" s="126"/>
      <c r="P356" s="126"/>
    </row>
    <row r="357" spans="1:16" ht="15.5" x14ac:dyDescent="0.35">
      <c r="J357" s="126"/>
      <c r="K357" s="126"/>
      <c r="L357" s="126"/>
      <c r="M357" s="126"/>
      <c r="N357" s="126"/>
      <c r="O357" s="126"/>
      <c r="P357" s="126"/>
    </row>
    <row r="358" spans="1:16" s="167" customFormat="1" ht="15.5" x14ac:dyDescent="0.35">
      <c r="A358" s="161"/>
      <c r="B358"/>
      <c r="C358"/>
      <c r="D358" s="161"/>
      <c r="E358" s="161"/>
      <c r="F358" s="161"/>
      <c r="G358" s="161"/>
      <c r="J358" s="127"/>
      <c r="K358" s="127"/>
      <c r="L358" s="127"/>
      <c r="M358" s="127"/>
      <c r="N358" s="127"/>
      <c r="O358" s="127"/>
      <c r="P358" s="127"/>
    </row>
    <row r="359" spans="1:16" ht="15.5" x14ac:dyDescent="0.35">
      <c r="J359" s="126"/>
      <c r="K359" s="126"/>
      <c r="L359" s="126"/>
      <c r="M359" s="126"/>
      <c r="N359" s="126"/>
      <c r="O359" s="126"/>
      <c r="P359" s="126"/>
    </row>
    <row r="360" spans="1:16" ht="15.5" x14ac:dyDescent="0.35">
      <c r="J360" s="126"/>
      <c r="K360" s="126"/>
      <c r="L360" s="126"/>
      <c r="M360" s="126"/>
      <c r="N360" s="126"/>
      <c r="O360" s="126"/>
      <c r="P360" s="126"/>
    </row>
    <row r="361" spans="1:16" s="167" customFormat="1" ht="15.5" x14ac:dyDescent="0.35">
      <c r="A361" s="161"/>
      <c r="B361"/>
      <c r="C361"/>
      <c r="D361" s="161"/>
      <c r="E361" s="161"/>
      <c r="F361" s="161"/>
      <c r="G361" s="161"/>
      <c r="J361" s="127"/>
      <c r="K361" s="127"/>
      <c r="L361" s="127"/>
      <c r="M361" s="127"/>
      <c r="N361" s="127"/>
      <c r="O361" s="127"/>
      <c r="P361" s="127"/>
    </row>
    <row r="362" spans="1:16" ht="15.5" x14ac:dyDescent="0.35">
      <c r="J362" s="126"/>
      <c r="K362" s="126"/>
      <c r="L362" s="126"/>
      <c r="M362" s="126"/>
      <c r="N362" s="126"/>
      <c r="O362" s="126"/>
      <c r="P362" s="126"/>
    </row>
    <row r="363" spans="1:16" ht="15.5" x14ac:dyDescent="0.35">
      <c r="J363" s="126"/>
      <c r="K363" s="126"/>
      <c r="L363" s="126"/>
      <c r="M363" s="126"/>
      <c r="N363" s="126"/>
      <c r="O363" s="126"/>
      <c r="P363" s="126"/>
    </row>
    <row r="364" spans="1:16" ht="15.5" x14ac:dyDescent="0.35">
      <c r="J364" s="126"/>
      <c r="K364" s="126"/>
      <c r="L364" s="126"/>
      <c r="M364" s="126"/>
      <c r="N364" s="126"/>
      <c r="O364" s="126"/>
      <c r="P364" s="126"/>
    </row>
    <row r="365" spans="1:16" ht="15.5" x14ac:dyDescent="0.35">
      <c r="J365" s="126"/>
      <c r="K365" s="126"/>
      <c r="L365" s="126"/>
      <c r="M365" s="126"/>
      <c r="N365" s="126"/>
      <c r="O365" s="126"/>
      <c r="P365" s="126"/>
    </row>
    <row r="366" spans="1:16" ht="15.5" x14ac:dyDescent="0.35">
      <c r="J366" s="126"/>
      <c r="K366" s="126"/>
      <c r="L366" s="126"/>
      <c r="M366" s="126"/>
      <c r="N366" s="126"/>
      <c r="O366" s="126"/>
      <c r="P366" s="126"/>
    </row>
    <row r="367" spans="1:16" ht="15.5" x14ac:dyDescent="0.35">
      <c r="J367" s="126"/>
      <c r="K367" s="126"/>
      <c r="L367" s="126"/>
      <c r="M367" s="126"/>
      <c r="N367" s="126"/>
      <c r="O367" s="126"/>
      <c r="P367" s="126"/>
    </row>
    <row r="368" spans="1:16" ht="15.5" x14ac:dyDescent="0.35">
      <c r="J368" s="126"/>
      <c r="K368" s="126"/>
      <c r="L368" s="126"/>
      <c r="M368" s="126"/>
      <c r="N368" s="126"/>
      <c r="O368" s="126"/>
      <c r="P368" s="126"/>
    </row>
    <row r="369" spans="1:16" ht="15.5" x14ac:dyDescent="0.35">
      <c r="J369" s="126"/>
      <c r="K369" s="126"/>
      <c r="L369" s="126"/>
      <c r="M369" s="126"/>
      <c r="N369" s="126"/>
      <c r="O369" s="126"/>
      <c r="P369" s="126"/>
    </row>
    <row r="370" spans="1:16" ht="15.5" x14ac:dyDescent="0.35">
      <c r="J370" s="126"/>
      <c r="K370" s="126"/>
      <c r="L370" s="126"/>
      <c r="M370" s="126"/>
      <c r="N370" s="126"/>
      <c r="O370" s="126"/>
      <c r="P370" s="126"/>
    </row>
    <row r="371" spans="1:16" s="167" customFormat="1" ht="15.5" x14ac:dyDescent="0.35">
      <c r="A371" s="161"/>
      <c r="B371"/>
      <c r="C371"/>
      <c r="D371" s="161"/>
      <c r="E371" s="161"/>
      <c r="F371" s="161"/>
      <c r="G371" s="161"/>
      <c r="J371" s="127"/>
      <c r="K371" s="127"/>
      <c r="L371" s="127"/>
      <c r="M371" s="127"/>
      <c r="N371" s="127"/>
      <c r="O371" s="127"/>
      <c r="P371" s="127"/>
    </row>
    <row r="372" spans="1:16" ht="15.5" x14ac:dyDescent="0.35">
      <c r="J372" s="126"/>
      <c r="K372" s="126"/>
      <c r="L372" s="126"/>
      <c r="M372" s="126"/>
      <c r="N372" s="126"/>
      <c r="O372" s="126"/>
      <c r="P372" s="126"/>
    </row>
    <row r="373" spans="1:16" s="167" customFormat="1" ht="15.5" x14ac:dyDescent="0.35">
      <c r="A373" s="161"/>
      <c r="B373"/>
      <c r="C373"/>
      <c r="D373" s="161"/>
      <c r="E373" s="161"/>
      <c r="F373" s="161"/>
      <c r="G373" s="161"/>
      <c r="J373" s="127"/>
      <c r="K373" s="127"/>
      <c r="L373" s="127"/>
      <c r="M373" s="127"/>
      <c r="N373" s="127"/>
      <c r="O373" s="127"/>
      <c r="P373" s="127"/>
    </row>
    <row r="374" spans="1:16" ht="15.5" x14ac:dyDescent="0.35">
      <c r="J374" s="126"/>
      <c r="K374" s="126"/>
      <c r="L374" s="126"/>
      <c r="M374" s="126"/>
      <c r="N374" s="126"/>
      <c r="O374" s="126"/>
      <c r="P374" s="126"/>
    </row>
    <row r="375" spans="1:16" ht="15.5" x14ac:dyDescent="0.35">
      <c r="J375" s="126"/>
      <c r="K375" s="126"/>
      <c r="L375" s="126"/>
      <c r="M375" s="126"/>
      <c r="N375" s="126"/>
      <c r="O375" s="126"/>
      <c r="P375" s="126"/>
    </row>
    <row r="376" spans="1:16" ht="15.5" x14ac:dyDescent="0.35">
      <c r="J376" s="126"/>
      <c r="K376" s="126"/>
      <c r="L376" s="126"/>
      <c r="M376" s="126"/>
      <c r="N376" s="126"/>
      <c r="O376" s="126"/>
      <c r="P376" s="126"/>
    </row>
    <row r="377" spans="1:16" ht="15.5" x14ac:dyDescent="0.35">
      <c r="J377" s="126"/>
      <c r="K377" s="126"/>
      <c r="L377" s="126"/>
      <c r="M377" s="126"/>
      <c r="N377" s="126"/>
      <c r="O377" s="126"/>
      <c r="P377" s="126"/>
    </row>
    <row r="378" spans="1:16" ht="15.5" x14ac:dyDescent="0.35">
      <c r="J378" s="126"/>
      <c r="K378" s="126"/>
      <c r="L378" s="126"/>
      <c r="M378" s="126"/>
      <c r="N378" s="126"/>
      <c r="O378" s="126"/>
      <c r="P378" s="126"/>
    </row>
    <row r="379" spans="1:16" ht="15.5" x14ac:dyDescent="0.35">
      <c r="J379" s="126"/>
      <c r="K379" s="126"/>
      <c r="L379" s="126"/>
      <c r="M379" s="126"/>
      <c r="N379" s="126"/>
      <c r="O379" s="126"/>
      <c r="P379" s="126"/>
    </row>
    <row r="380" spans="1:16" ht="15.5" x14ac:dyDescent="0.35">
      <c r="J380" s="126"/>
      <c r="K380" s="126"/>
      <c r="L380" s="126"/>
      <c r="M380" s="126"/>
      <c r="N380" s="126"/>
      <c r="O380" s="126"/>
      <c r="P380" s="126"/>
    </row>
    <row r="381" spans="1:16" ht="15.5" x14ac:dyDescent="0.35">
      <c r="J381" s="126"/>
      <c r="K381" s="126"/>
      <c r="L381" s="126"/>
      <c r="M381" s="126"/>
      <c r="N381" s="126"/>
      <c r="O381" s="126"/>
      <c r="P381" s="126"/>
    </row>
    <row r="382" spans="1:16" ht="15.5" x14ac:dyDescent="0.35">
      <c r="J382" s="126"/>
      <c r="K382" s="126"/>
      <c r="L382" s="126"/>
      <c r="M382" s="126"/>
      <c r="N382" s="126"/>
      <c r="O382" s="126"/>
      <c r="P382" s="126"/>
    </row>
    <row r="383" spans="1:16" ht="15.5" x14ac:dyDescent="0.35">
      <c r="J383" s="126"/>
      <c r="K383" s="126"/>
      <c r="L383" s="126"/>
      <c r="M383" s="126"/>
      <c r="N383" s="126"/>
      <c r="O383" s="126"/>
      <c r="P383" s="126"/>
    </row>
    <row r="384" spans="1:16" ht="15.5" x14ac:dyDescent="0.35">
      <c r="J384" s="126"/>
      <c r="K384" s="126"/>
      <c r="L384" s="126"/>
      <c r="M384" s="126"/>
      <c r="N384" s="126"/>
      <c r="O384" s="126"/>
      <c r="P384" s="126"/>
    </row>
    <row r="385" spans="1:16" ht="15.5" x14ac:dyDescent="0.35">
      <c r="J385" s="126"/>
      <c r="K385" s="126"/>
      <c r="L385" s="126"/>
      <c r="M385" s="126"/>
      <c r="N385" s="126"/>
      <c r="O385" s="126"/>
      <c r="P385" s="126"/>
    </row>
    <row r="386" spans="1:16" ht="15.5" x14ac:dyDescent="0.35">
      <c r="J386" s="126"/>
      <c r="K386" s="126"/>
      <c r="L386" s="126"/>
      <c r="M386" s="126"/>
      <c r="N386" s="126"/>
      <c r="O386" s="126"/>
      <c r="P386" s="126"/>
    </row>
    <row r="387" spans="1:16" ht="15.5" x14ac:dyDescent="0.35">
      <c r="J387" s="126"/>
      <c r="K387" s="126"/>
      <c r="L387" s="126"/>
      <c r="M387" s="126"/>
      <c r="N387" s="126"/>
      <c r="O387" s="126"/>
      <c r="P387" s="126"/>
    </row>
    <row r="388" spans="1:16" ht="15.5" x14ac:dyDescent="0.35">
      <c r="J388" s="126"/>
      <c r="K388" s="126"/>
      <c r="L388" s="126"/>
      <c r="M388" s="126"/>
      <c r="N388" s="126"/>
      <c r="O388" s="126"/>
      <c r="P388" s="126"/>
    </row>
    <row r="389" spans="1:16" ht="15.5" x14ac:dyDescent="0.35">
      <c r="J389" s="126"/>
      <c r="K389" s="126"/>
      <c r="L389" s="126"/>
      <c r="M389" s="126"/>
      <c r="N389" s="126"/>
      <c r="O389" s="126"/>
      <c r="P389" s="126"/>
    </row>
    <row r="390" spans="1:16" s="167" customFormat="1" ht="15.5" x14ac:dyDescent="0.35">
      <c r="A390" s="161"/>
      <c r="B390"/>
      <c r="C390"/>
      <c r="D390" s="161"/>
      <c r="E390" s="161"/>
      <c r="F390" s="161"/>
      <c r="G390" s="161"/>
      <c r="J390" s="127"/>
      <c r="K390" s="127"/>
      <c r="L390" s="127"/>
      <c r="M390" s="127"/>
      <c r="N390" s="127"/>
      <c r="O390" s="127"/>
      <c r="P390" s="127"/>
    </row>
    <row r="391" spans="1:16" ht="15.5" x14ac:dyDescent="0.35">
      <c r="J391" s="126"/>
      <c r="K391" s="126"/>
      <c r="L391" s="126"/>
      <c r="M391" s="126"/>
      <c r="N391" s="126"/>
      <c r="O391" s="126"/>
      <c r="P391" s="126"/>
    </row>
    <row r="392" spans="1:16" ht="15.5" x14ac:dyDescent="0.35">
      <c r="J392" s="126"/>
      <c r="K392" s="126"/>
      <c r="L392" s="126"/>
      <c r="M392" s="126"/>
      <c r="N392" s="126"/>
      <c r="O392" s="126"/>
      <c r="P392" s="126"/>
    </row>
    <row r="393" spans="1:16" s="167" customFormat="1" ht="15.5" x14ac:dyDescent="0.35">
      <c r="A393" s="161"/>
      <c r="B393"/>
      <c r="C393"/>
      <c r="D393" s="161"/>
      <c r="E393" s="161"/>
      <c r="F393" s="161"/>
      <c r="G393" s="161"/>
      <c r="J393" s="127"/>
      <c r="K393" s="127"/>
      <c r="L393" s="127"/>
      <c r="M393" s="127"/>
      <c r="N393" s="127"/>
      <c r="O393" s="127"/>
      <c r="P393" s="127"/>
    </row>
    <row r="394" spans="1:16" s="167" customFormat="1" ht="15.5" x14ac:dyDescent="0.35">
      <c r="A394" s="161"/>
      <c r="B394"/>
      <c r="C394"/>
      <c r="D394" s="161"/>
      <c r="E394" s="161"/>
      <c r="F394" s="161"/>
      <c r="G394" s="161"/>
      <c r="J394" s="127"/>
      <c r="K394" s="127"/>
      <c r="L394" s="127"/>
      <c r="M394" s="127"/>
      <c r="N394" s="127"/>
      <c r="O394" s="127"/>
      <c r="P394" s="127"/>
    </row>
    <row r="395" spans="1:16" ht="15.5" x14ac:dyDescent="0.35">
      <c r="J395" s="126"/>
      <c r="K395" s="126"/>
      <c r="L395" s="126"/>
      <c r="M395" s="126"/>
      <c r="N395" s="126"/>
      <c r="O395" s="126"/>
      <c r="P395" s="126"/>
    </row>
    <row r="396" spans="1:16" ht="15.5" x14ac:dyDescent="0.35">
      <c r="J396" s="126"/>
      <c r="K396" s="126"/>
      <c r="L396" s="126"/>
      <c r="M396" s="126"/>
      <c r="N396" s="126"/>
      <c r="O396" s="126"/>
      <c r="P396" s="126"/>
    </row>
    <row r="397" spans="1:16" ht="15.5" x14ac:dyDescent="0.35">
      <c r="J397" s="126"/>
      <c r="K397" s="126"/>
      <c r="L397" s="126"/>
      <c r="M397" s="126"/>
      <c r="N397" s="126"/>
      <c r="O397" s="126"/>
      <c r="P397" s="126"/>
    </row>
    <row r="398" spans="1:16" ht="15.5" x14ac:dyDescent="0.35">
      <c r="J398" s="126"/>
      <c r="K398" s="126"/>
      <c r="L398" s="126"/>
      <c r="M398" s="126"/>
      <c r="N398" s="126"/>
      <c r="O398" s="126"/>
      <c r="P398" s="126"/>
    </row>
    <row r="399" spans="1:16" ht="15.5" x14ac:dyDescent="0.35">
      <c r="J399" s="126"/>
      <c r="K399" s="126"/>
      <c r="L399" s="126"/>
      <c r="M399" s="126"/>
      <c r="N399" s="126"/>
      <c r="O399" s="126"/>
      <c r="P399" s="126"/>
    </row>
    <row r="400" spans="1:16" ht="15.5" x14ac:dyDescent="0.35">
      <c r="J400" s="126"/>
      <c r="K400" s="126"/>
      <c r="L400" s="126"/>
      <c r="M400" s="126"/>
      <c r="N400" s="126"/>
      <c r="O400" s="126"/>
      <c r="P400" s="126"/>
    </row>
    <row r="401" spans="10:16" ht="15.5" x14ac:dyDescent="0.35">
      <c r="J401" s="126"/>
      <c r="K401" s="126"/>
      <c r="L401" s="126"/>
      <c r="M401" s="126"/>
      <c r="N401" s="126"/>
      <c r="O401" s="126"/>
      <c r="P401" s="126"/>
    </row>
    <row r="402" spans="10:16" ht="15.5" x14ac:dyDescent="0.35">
      <c r="J402" s="126"/>
      <c r="K402" s="126"/>
      <c r="L402" s="126"/>
      <c r="M402" s="126"/>
      <c r="N402" s="126"/>
      <c r="O402" s="126"/>
      <c r="P402" s="126"/>
    </row>
    <row r="403" spans="10:16" ht="15.5" x14ac:dyDescent="0.35">
      <c r="J403" s="126"/>
      <c r="K403" s="126"/>
      <c r="L403" s="126"/>
      <c r="M403" s="126"/>
      <c r="N403" s="126"/>
      <c r="O403" s="126"/>
      <c r="P403" s="126"/>
    </row>
    <row r="404" spans="10:16" ht="15.5" x14ac:dyDescent="0.35">
      <c r="J404" s="126"/>
      <c r="K404" s="126"/>
      <c r="L404" s="126"/>
      <c r="M404" s="126"/>
      <c r="N404" s="126"/>
      <c r="O404" s="126"/>
      <c r="P404" s="126"/>
    </row>
    <row r="405" spans="10:16" ht="15.5" x14ac:dyDescent="0.35">
      <c r="J405" s="126"/>
      <c r="K405" s="126"/>
      <c r="L405" s="126"/>
      <c r="M405" s="126"/>
      <c r="N405" s="126"/>
      <c r="O405" s="126"/>
      <c r="P405" s="126"/>
    </row>
    <row r="406" spans="10:16" ht="15.5" x14ac:dyDescent="0.35">
      <c r="J406" s="126"/>
      <c r="K406" s="126"/>
      <c r="L406" s="126"/>
      <c r="M406" s="126"/>
      <c r="N406" s="126"/>
      <c r="O406" s="126"/>
      <c r="P406" s="126"/>
    </row>
    <row r="407" spans="10:16" ht="15.5" x14ac:dyDescent="0.35">
      <c r="J407" s="126"/>
      <c r="K407" s="126"/>
      <c r="L407" s="126"/>
      <c r="M407" s="126"/>
      <c r="N407" s="126"/>
      <c r="O407" s="126"/>
      <c r="P407" s="126"/>
    </row>
    <row r="408" spans="10:16" ht="15.5" x14ac:dyDescent="0.35">
      <c r="J408" s="126"/>
      <c r="K408" s="126"/>
      <c r="L408" s="126"/>
      <c r="M408" s="126"/>
      <c r="N408" s="126"/>
      <c r="O408" s="126"/>
      <c r="P408" s="126"/>
    </row>
    <row r="409" spans="10:16" ht="15.5" x14ac:dyDescent="0.35">
      <c r="J409" s="126"/>
      <c r="K409" s="126"/>
      <c r="L409" s="126"/>
      <c r="M409" s="126"/>
      <c r="N409" s="126"/>
      <c r="O409" s="126"/>
      <c r="P409" s="126"/>
    </row>
    <row r="410" spans="10:16" ht="15.5" x14ac:dyDescent="0.35">
      <c r="J410" s="126"/>
      <c r="K410" s="126"/>
      <c r="L410" s="126"/>
      <c r="M410" s="126"/>
      <c r="N410" s="126"/>
      <c r="O410" s="126"/>
      <c r="P410" s="126"/>
    </row>
    <row r="411" spans="10:16" ht="15.5" x14ac:dyDescent="0.35">
      <c r="J411" s="126"/>
      <c r="K411" s="126"/>
      <c r="L411" s="126"/>
      <c r="M411" s="126"/>
      <c r="N411" s="126"/>
      <c r="O411" s="126"/>
      <c r="P411" s="126"/>
    </row>
    <row r="412" spans="10:16" ht="15.5" x14ac:dyDescent="0.35">
      <c r="J412" s="126"/>
      <c r="K412" s="126"/>
      <c r="L412" s="126"/>
      <c r="M412" s="126"/>
      <c r="N412" s="126"/>
      <c r="O412" s="126"/>
      <c r="P412" s="126"/>
    </row>
    <row r="413" spans="10:16" ht="15.5" x14ac:dyDescent="0.35">
      <c r="J413" s="126"/>
      <c r="K413" s="126"/>
      <c r="L413" s="126"/>
      <c r="M413" s="126"/>
      <c r="N413" s="126"/>
      <c r="O413" s="126"/>
      <c r="P413" s="126"/>
    </row>
    <row r="414" spans="10:16" ht="15.5" x14ac:dyDescent="0.35">
      <c r="J414" s="126"/>
      <c r="K414" s="126"/>
      <c r="L414" s="126"/>
      <c r="M414" s="126"/>
      <c r="N414" s="126"/>
      <c r="O414" s="126"/>
      <c r="P414" s="126"/>
    </row>
    <row r="415" spans="10:16" ht="15.5" x14ac:dyDescent="0.35">
      <c r="J415" s="126"/>
      <c r="K415" s="126"/>
      <c r="L415" s="126"/>
      <c r="M415" s="126"/>
      <c r="N415" s="126"/>
      <c r="O415" s="126"/>
      <c r="P415" s="126"/>
    </row>
    <row r="416" spans="10:16" ht="15.5" x14ac:dyDescent="0.35">
      <c r="J416" s="126"/>
      <c r="K416" s="126"/>
      <c r="L416" s="126"/>
      <c r="M416" s="126"/>
      <c r="N416" s="126"/>
      <c r="O416" s="126"/>
      <c r="P416" s="126"/>
    </row>
    <row r="417" spans="10:16" ht="15.5" x14ac:dyDescent="0.35">
      <c r="J417" s="126"/>
      <c r="K417" s="126"/>
      <c r="L417" s="126"/>
      <c r="M417" s="126"/>
      <c r="N417" s="126"/>
      <c r="O417" s="126"/>
      <c r="P417" s="126"/>
    </row>
    <row r="418" spans="10:16" ht="15.5" x14ac:dyDescent="0.35">
      <c r="J418" s="126"/>
      <c r="K418" s="126"/>
      <c r="L418" s="126"/>
      <c r="M418" s="126"/>
      <c r="N418" s="126"/>
      <c r="O418" s="126"/>
      <c r="P418" s="126"/>
    </row>
    <row r="419" spans="10:16" ht="15.5" x14ac:dyDescent="0.35">
      <c r="J419" s="126"/>
      <c r="K419" s="126"/>
      <c r="L419" s="126"/>
      <c r="M419" s="126"/>
      <c r="N419" s="126"/>
      <c r="O419" s="126"/>
      <c r="P419" s="126"/>
    </row>
    <row r="420" spans="10:16" ht="15.5" x14ac:dyDescent="0.35">
      <c r="J420" s="126"/>
      <c r="K420" s="126"/>
      <c r="L420" s="126"/>
      <c r="M420" s="126"/>
      <c r="N420" s="126"/>
      <c r="O420" s="126"/>
      <c r="P420" s="126"/>
    </row>
    <row r="421" spans="10:16" ht="15.5" x14ac:dyDescent="0.35">
      <c r="J421" s="126"/>
      <c r="K421" s="126"/>
      <c r="L421" s="126"/>
      <c r="M421" s="126"/>
      <c r="N421" s="126"/>
      <c r="O421" s="126"/>
      <c r="P421" s="126"/>
    </row>
    <row r="422" spans="10:16" ht="15.5" x14ac:dyDescent="0.35">
      <c r="J422" s="126"/>
      <c r="K422" s="126"/>
      <c r="L422" s="126"/>
      <c r="M422" s="126"/>
      <c r="N422" s="126"/>
      <c r="O422" s="126"/>
      <c r="P422" s="126"/>
    </row>
    <row r="423" spans="10:16" ht="15.5" x14ac:dyDescent="0.35">
      <c r="J423" s="126"/>
      <c r="K423" s="126"/>
      <c r="L423" s="126"/>
      <c r="M423" s="126"/>
      <c r="N423" s="126"/>
      <c r="O423" s="126"/>
      <c r="P423" s="126"/>
    </row>
    <row r="424" spans="10:16" ht="15.5" x14ac:dyDescent="0.35">
      <c r="J424" s="126"/>
      <c r="K424" s="126"/>
      <c r="L424" s="126"/>
      <c r="M424" s="126"/>
      <c r="N424" s="126"/>
      <c r="O424" s="126"/>
      <c r="P424" s="126"/>
    </row>
    <row r="425" spans="10:16" ht="15.5" x14ac:dyDescent="0.35">
      <c r="J425" s="126"/>
      <c r="K425" s="126"/>
      <c r="L425" s="126"/>
      <c r="M425" s="126"/>
      <c r="N425" s="126"/>
      <c r="O425" s="126"/>
      <c r="P425" s="126"/>
    </row>
    <row r="426" spans="10:16" ht="15.5" x14ac:dyDescent="0.35">
      <c r="J426" s="126"/>
      <c r="K426" s="126"/>
      <c r="L426" s="126"/>
      <c r="M426" s="126"/>
      <c r="N426" s="126"/>
      <c r="O426" s="126"/>
      <c r="P426" s="126"/>
    </row>
    <row r="427" spans="10:16" ht="15.5" x14ac:dyDescent="0.35">
      <c r="J427" s="126"/>
      <c r="K427" s="126"/>
      <c r="L427" s="126"/>
      <c r="M427" s="126"/>
      <c r="N427" s="126"/>
      <c r="O427" s="126"/>
      <c r="P427" s="126"/>
    </row>
    <row r="428" spans="10:16" ht="15.5" x14ac:dyDescent="0.35">
      <c r="J428" s="126"/>
      <c r="K428" s="126"/>
      <c r="L428" s="126"/>
      <c r="M428" s="126"/>
      <c r="N428" s="126"/>
      <c r="O428" s="126"/>
      <c r="P428" s="126"/>
    </row>
    <row r="429" spans="10:16" ht="15.5" x14ac:dyDescent="0.35">
      <c r="J429" s="126"/>
      <c r="K429" s="126"/>
      <c r="L429" s="126"/>
      <c r="M429" s="126"/>
      <c r="N429" s="126"/>
      <c r="O429" s="126"/>
      <c r="P429" s="126"/>
    </row>
    <row r="430" spans="10:16" ht="15.5" x14ac:dyDescent="0.35">
      <c r="J430" s="126"/>
      <c r="K430" s="126"/>
      <c r="L430" s="126"/>
      <c r="M430" s="126"/>
      <c r="N430" s="126"/>
      <c r="O430" s="126"/>
      <c r="P430" s="126"/>
    </row>
    <row r="431" spans="10:16" ht="15.5" x14ac:dyDescent="0.35">
      <c r="J431" s="126"/>
      <c r="K431" s="126"/>
      <c r="L431" s="126"/>
      <c r="M431" s="126"/>
      <c r="N431" s="126"/>
      <c r="O431" s="126"/>
      <c r="P431" s="126"/>
    </row>
    <row r="432" spans="10:16" ht="15.5" x14ac:dyDescent="0.35">
      <c r="J432" s="126"/>
      <c r="K432" s="126"/>
      <c r="L432" s="126"/>
      <c r="M432" s="126"/>
      <c r="N432" s="126"/>
      <c r="O432" s="126"/>
      <c r="P432" s="126"/>
    </row>
    <row r="433" spans="1:16" ht="15.5" x14ac:dyDescent="0.35">
      <c r="J433" s="126"/>
      <c r="K433" s="126"/>
      <c r="L433" s="126"/>
      <c r="M433" s="126"/>
      <c r="N433" s="126"/>
      <c r="O433" s="126"/>
      <c r="P433" s="126"/>
    </row>
    <row r="434" spans="1:16" ht="15.5" x14ac:dyDescent="0.35">
      <c r="J434" s="126"/>
      <c r="K434" s="126"/>
      <c r="L434" s="126"/>
      <c r="M434" s="126"/>
      <c r="N434" s="126"/>
      <c r="O434" s="126"/>
      <c r="P434" s="126"/>
    </row>
    <row r="435" spans="1:16" s="167" customFormat="1" ht="15.5" x14ac:dyDescent="0.35">
      <c r="A435" s="161"/>
      <c r="B435"/>
      <c r="C435"/>
      <c r="D435" s="161"/>
      <c r="E435" s="161"/>
      <c r="F435" s="161"/>
      <c r="G435" s="161"/>
      <c r="J435" s="127"/>
      <c r="K435" s="127"/>
      <c r="L435" s="127"/>
      <c r="M435" s="127"/>
      <c r="N435" s="127"/>
      <c r="O435" s="127"/>
      <c r="P435" s="127"/>
    </row>
    <row r="436" spans="1:16" s="167" customFormat="1" ht="15.5" x14ac:dyDescent="0.35">
      <c r="A436" s="161"/>
      <c r="B436"/>
      <c r="C436"/>
      <c r="D436" s="161"/>
      <c r="E436" s="161"/>
      <c r="F436" s="161"/>
      <c r="G436" s="161"/>
      <c r="J436" s="127"/>
      <c r="K436" s="127"/>
      <c r="L436" s="127"/>
      <c r="M436" s="127"/>
      <c r="N436" s="127"/>
      <c r="O436" s="127"/>
      <c r="P436" s="127"/>
    </row>
    <row r="437" spans="1:16" ht="15.5" x14ac:dyDescent="0.35">
      <c r="J437" s="126"/>
      <c r="K437" s="126"/>
      <c r="L437" s="126"/>
      <c r="M437" s="126"/>
      <c r="N437" s="126"/>
      <c r="O437" s="126"/>
      <c r="P437" s="126"/>
    </row>
    <row r="438" spans="1:16" s="167" customFormat="1" ht="15.5" x14ac:dyDescent="0.35">
      <c r="A438" s="161"/>
      <c r="B438"/>
      <c r="C438"/>
      <c r="D438" s="161"/>
      <c r="E438" s="161"/>
      <c r="F438" s="161"/>
      <c r="G438" s="161"/>
      <c r="J438" s="127"/>
      <c r="K438" s="127"/>
      <c r="L438" s="127"/>
      <c r="M438" s="127"/>
      <c r="N438" s="127"/>
      <c r="O438" s="127"/>
      <c r="P438" s="127"/>
    </row>
    <row r="439" spans="1:16" ht="15.5" x14ac:dyDescent="0.35">
      <c r="J439" s="126"/>
      <c r="K439" s="126"/>
      <c r="L439" s="126"/>
      <c r="M439" s="126"/>
      <c r="N439" s="126"/>
      <c r="O439" s="126"/>
      <c r="P439" s="126"/>
    </row>
    <row r="440" spans="1:16" ht="15.5" x14ac:dyDescent="0.35">
      <c r="J440" s="126"/>
      <c r="K440" s="126"/>
      <c r="L440" s="126"/>
      <c r="M440" s="126"/>
      <c r="N440" s="126"/>
      <c r="O440" s="126"/>
      <c r="P440" s="126"/>
    </row>
    <row r="441" spans="1:16" s="167" customFormat="1" ht="15.5" x14ac:dyDescent="0.35">
      <c r="A441" s="161"/>
      <c r="B441"/>
      <c r="C441"/>
      <c r="D441" s="161"/>
      <c r="E441" s="161"/>
      <c r="F441" s="161"/>
      <c r="G441" s="161"/>
      <c r="J441" s="127"/>
      <c r="K441" s="127"/>
      <c r="L441" s="127"/>
      <c r="M441" s="127"/>
      <c r="N441" s="127"/>
      <c r="O441" s="127"/>
      <c r="P441" s="127"/>
    </row>
    <row r="442" spans="1:16" ht="15.5" x14ac:dyDescent="0.35">
      <c r="J442" s="126"/>
      <c r="K442" s="126"/>
      <c r="L442" s="126"/>
      <c r="M442" s="126"/>
      <c r="N442" s="126"/>
      <c r="O442" s="126"/>
      <c r="P442" s="126"/>
    </row>
    <row r="443" spans="1:16" ht="15.5" x14ac:dyDescent="0.35">
      <c r="J443" s="126"/>
      <c r="K443" s="126"/>
      <c r="L443" s="126"/>
      <c r="M443" s="126"/>
      <c r="N443" s="126"/>
      <c r="O443" s="126"/>
      <c r="P443" s="126"/>
    </row>
    <row r="444" spans="1:16" ht="15.5" x14ac:dyDescent="0.35">
      <c r="J444" s="126"/>
      <c r="K444" s="126"/>
      <c r="L444" s="126"/>
      <c r="M444" s="126"/>
      <c r="N444" s="126"/>
      <c r="O444" s="126"/>
      <c r="P444" s="126"/>
    </row>
    <row r="445" spans="1:16" ht="15.5" x14ac:dyDescent="0.35">
      <c r="J445" s="126"/>
      <c r="K445" s="126"/>
      <c r="L445" s="126"/>
      <c r="M445" s="126"/>
      <c r="N445" s="126"/>
      <c r="O445" s="126"/>
      <c r="P445" s="126"/>
    </row>
    <row r="446" spans="1:16" s="167" customFormat="1" ht="15.5" x14ac:dyDescent="0.35">
      <c r="A446" s="161"/>
      <c r="B446"/>
      <c r="C446"/>
      <c r="D446" s="161"/>
      <c r="E446" s="161"/>
      <c r="F446" s="161"/>
      <c r="G446" s="161"/>
      <c r="J446" s="127"/>
      <c r="K446" s="127"/>
      <c r="L446" s="127"/>
      <c r="M446" s="127"/>
      <c r="N446" s="127"/>
      <c r="O446" s="127"/>
      <c r="P446" s="127"/>
    </row>
    <row r="447" spans="1:16" ht="15.5" x14ac:dyDescent="0.35">
      <c r="J447" s="126"/>
      <c r="K447" s="126"/>
      <c r="L447" s="126"/>
      <c r="M447" s="126"/>
      <c r="N447" s="126"/>
      <c r="O447" s="126"/>
      <c r="P447" s="126"/>
    </row>
    <row r="448" spans="1:16" ht="15.5" x14ac:dyDescent="0.35">
      <c r="J448" s="126"/>
      <c r="K448" s="126"/>
      <c r="L448" s="126"/>
      <c r="M448" s="126"/>
      <c r="N448" s="126"/>
      <c r="O448" s="126"/>
      <c r="P448" s="126"/>
    </row>
    <row r="449" spans="1:16" ht="15.5" x14ac:dyDescent="0.35">
      <c r="J449" s="126"/>
      <c r="K449" s="126"/>
      <c r="L449" s="126"/>
      <c r="M449" s="126"/>
      <c r="N449" s="126"/>
      <c r="O449" s="126"/>
      <c r="P449" s="126"/>
    </row>
    <row r="450" spans="1:16" ht="15.5" x14ac:dyDescent="0.35">
      <c r="J450" s="126"/>
      <c r="K450" s="126"/>
      <c r="L450" s="126"/>
      <c r="M450" s="126"/>
      <c r="N450" s="126"/>
      <c r="O450" s="126"/>
      <c r="P450" s="126"/>
    </row>
    <row r="451" spans="1:16" ht="15.5" x14ac:dyDescent="0.35">
      <c r="J451" s="126"/>
      <c r="K451" s="126"/>
      <c r="L451" s="126"/>
      <c r="M451" s="126"/>
      <c r="N451" s="126"/>
      <c r="O451" s="126"/>
      <c r="P451" s="126"/>
    </row>
    <row r="452" spans="1:16" ht="15.5" x14ac:dyDescent="0.35">
      <c r="J452" s="126"/>
      <c r="K452" s="126"/>
      <c r="L452" s="126"/>
      <c r="M452" s="126"/>
      <c r="N452" s="126"/>
      <c r="O452" s="126"/>
      <c r="P452" s="126"/>
    </row>
    <row r="453" spans="1:16" s="167" customFormat="1" ht="15.5" x14ac:dyDescent="0.35">
      <c r="A453" s="161"/>
      <c r="B453"/>
      <c r="C453"/>
      <c r="D453" s="161"/>
      <c r="E453" s="161"/>
      <c r="F453" s="161"/>
      <c r="G453" s="161"/>
      <c r="J453" s="127"/>
      <c r="K453" s="127"/>
      <c r="L453" s="127"/>
      <c r="M453" s="127"/>
      <c r="N453" s="127"/>
      <c r="O453" s="127"/>
      <c r="P453" s="127"/>
    </row>
    <row r="454" spans="1:16" ht="15.5" x14ac:dyDescent="0.35">
      <c r="J454" s="126"/>
      <c r="K454" s="126"/>
      <c r="L454" s="126"/>
      <c r="M454" s="126"/>
      <c r="N454" s="126"/>
      <c r="O454" s="126"/>
      <c r="P454" s="126"/>
    </row>
    <row r="455" spans="1:16" ht="15.5" x14ac:dyDescent="0.35">
      <c r="J455" s="126"/>
      <c r="K455" s="126"/>
      <c r="L455" s="126"/>
      <c r="M455" s="126"/>
      <c r="N455" s="126"/>
      <c r="O455" s="126"/>
      <c r="P455" s="126"/>
    </row>
    <row r="456" spans="1:16" ht="15.5" x14ac:dyDescent="0.35">
      <c r="J456" s="126"/>
      <c r="K456" s="126"/>
      <c r="L456" s="126"/>
      <c r="M456" s="126"/>
      <c r="N456" s="126"/>
      <c r="O456" s="126"/>
      <c r="P456" s="126"/>
    </row>
    <row r="457" spans="1:16" ht="15.5" x14ac:dyDescent="0.35">
      <c r="J457" s="126"/>
      <c r="K457" s="126"/>
      <c r="L457" s="126"/>
      <c r="M457" s="126"/>
      <c r="N457" s="126"/>
      <c r="O457" s="126"/>
      <c r="P457" s="126"/>
    </row>
    <row r="458" spans="1:16" ht="15.5" x14ac:dyDescent="0.35">
      <c r="J458" s="126"/>
      <c r="K458" s="126"/>
      <c r="L458" s="126"/>
      <c r="M458" s="126"/>
      <c r="N458" s="126"/>
      <c r="O458" s="126"/>
      <c r="P458" s="126"/>
    </row>
    <row r="459" spans="1:16" ht="15.5" x14ac:dyDescent="0.35">
      <c r="J459" s="126"/>
      <c r="K459" s="126"/>
      <c r="L459" s="126"/>
      <c r="M459" s="126"/>
      <c r="N459" s="126"/>
      <c r="O459" s="126"/>
      <c r="P459" s="126"/>
    </row>
    <row r="460" spans="1:16" ht="15.5" x14ac:dyDescent="0.35">
      <c r="J460" s="126"/>
      <c r="K460" s="126"/>
      <c r="L460" s="126"/>
      <c r="M460" s="126"/>
      <c r="N460" s="126"/>
      <c r="O460" s="126"/>
      <c r="P460" s="126"/>
    </row>
    <row r="461" spans="1:16" ht="15.5" x14ac:dyDescent="0.35">
      <c r="J461" s="126"/>
      <c r="K461" s="126"/>
      <c r="L461" s="126"/>
      <c r="M461" s="126"/>
      <c r="N461" s="126"/>
      <c r="O461" s="126"/>
      <c r="P461" s="126"/>
    </row>
    <row r="462" spans="1:16" ht="15.5" x14ac:dyDescent="0.35">
      <c r="J462" s="126"/>
      <c r="K462" s="126"/>
      <c r="L462" s="126"/>
      <c r="M462" s="126"/>
      <c r="N462" s="126"/>
      <c r="O462" s="126"/>
      <c r="P462" s="126"/>
    </row>
    <row r="463" spans="1:16" ht="15.5" x14ac:dyDescent="0.35">
      <c r="J463" s="126"/>
      <c r="K463" s="126"/>
      <c r="L463" s="126"/>
      <c r="M463" s="126"/>
      <c r="N463" s="126"/>
      <c r="O463" s="126"/>
      <c r="P463" s="126"/>
    </row>
    <row r="464" spans="1:16" ht="15.5" x14ac:dyDescent="0.35">
      <c r="J464" s="126"/>
      <c r="K464" s="126"/>
      <c r="L464" s="126"/>
      <c r="M464" s="126"/>
      <c r="N464" s="126"/>
      <c r="O464" s="126"/>
      <c r="P464" s="126"/>
    </row>
    <row r="465" spans="1:16" ht="15.5" x14ac:dyDescent="0.35">
      <c r="J465" s="126"/>
      <c r="K465" s="126"/>
      <c r="L465" s="126"/>
      <c r="M465" s="126"/>
      <c r="N465" s="126"/>
      <c r="O465" s="126"/>
      <c r="P465" s="126"/>
    </row>
    <row r="466" spans="1:16" ht="15.5" x14ac:dyDescent="0.35">
      <c r="J466" s="126"/>
      <c r="K466" s="126"/>
      <c r="L466" s="126"/>
      <c r="M466" s="126"/>
      <c r="N466" s="126"/>
      <c r="O466" s="126"/>
      <c r="P466" s="126"/>
    </row>
    <row r="467" spans="1:16" ht="15.5" x14ac:dyDescent="0.35">
      <c r="J467" s="126"/>
      <c r="K467" s="126"/>
      <c r="L467" s="126"/>
      <c r="M467" s="126"/>
      <c r="N467" s="126"/>
      <c r="O467" s="126"/>
      <c r="P467" s="126"/>
    </row>
    <row r="468" spans="1:16" ht="15.5" x14ac:dyDescent="0.35">
      <c r="J468" s="126"/>
      <c r="K468" s="126"/>
      <c r="L468" s="126"/>
      <c r="M468" s="126"/>
      <c r="N468" s="126"/>
      <c r="O468" s="126"/>
      <c r="P468" s="126"/>
    </row>
    <row r="469" spans="1:16" ht="15.5" x14ac:dyDescent="0.35">
      <c r="J469" s="126"/>
      <c r="K469" s="126"/>
      <c r="L469" s="126"/>
      <c r="M469" s="126"/>
      <c r="N469" s="126"/>
      <c r="O469" s="126"/>
      <c r="P469" s="126"/>
    </row>
    <row r="470" spans="1:16" ht="15.5" x14ac:dyDescent="0.35">
      <c r="J470" s="126"/>
      <c r="K470" s="126"/>
      <c r="L470" s="126"/>
      <c r="M470" s="126"/>
      <c r="N470" s="126"/>
      <c r="O470" s="126"/>
      <c r="P470" s="126"/>
    </row>
    <row r="471" spans="1:16" ht="15.5" x14ac:dyDescent="0.35">
      <c r="J471" s="126"/>
      <c r="K471" s="126"/>
      <c r="L471" s="126"/>
      <c r="M471" s="126"/>
      <c r="N471" s="126"/>
      <c r="O471" s="126"/>
      <c r="P471" s="126"/>
    </row>
    <row r="472" spans="1:16" s="167" customFormat="1" ht="15.5" x14ac:dyDescent="0.35">
      <c r="A472" s="161"/>
      <c r="B472"/>
      <c r="C472"/>
      <c r="D472" s="161"/>
      <c r="E472" s="161"/>
      <c r="F472" s="161"/>
      <c r="G472" s="161"/>
      <c r="J472" s="127"/>
      <c r="K472" s="127"/>
      <c r="L472" s="127"/>
      <c r="M472" s="127"/>
      <c r="N472" s="127"/>
      <c r="O472" s="127"/>
      <c r="P472" s="127"/>
    </row>
    <row r="473" spans="1:16" ht="15.5" x14ac:dyDescent="0.35">
      <c r="J473" s="126"/>
      <c r="K473" s="126"/>
      <c r="L473" s="126"/>
      <c r="M473" s="126"/>
      <c r="N473" s="126"/>
      <c r="O473" s="126"/>
      <c r="P473" s="126"/>
    </row>
    <row r="474" spans="1:16" ht="15.5" x14ac:dyDescent="0.35">
      <c r="J474" s="126"/>
      <c r="K474" s="126"/>
      <c r="L474" s="126"/>
      <c r="M474" s="126"/>
      <c r="N474" s="126"/>
      <c r="O474" s="126"/>
      <c r="P474" s="126"/>
    </row>
    <row r="475" spans="1:16" ht="15.5" x14ac:dyDescent="0.35">
      <c r="J475" s="126"/>
      <c r="K475" s="126"/>
      <c r="L475" s="126"/>
      <c r="M475" s="126"/>
      <c r="N475" s="126"/>
      <c r="O475" s="126"/>
      <c r="P475" s="126"/>
    </row>
    <row r="476" spans="1:16" ht="15.5" x14ac:dyDescent="0.35">
      <c r="J476" s="126"/>
      <c r="K476" s="126"/>
      <c r="L476" s="126"/>
      <c r="M476" s="126"/>
      <c r="N476" s="126"/>
      <c r="O476" s="126"/>
      <c r="P476" s="126"/>
    </row>
    <row r="477" spans="1:16" ht="15.5" x14ac:dyDescent="0.35">
      <c r="J477" s="126"/>
      <c r="K477" s="126"/>
      <c r="L477" s="126"/>
      <c r="M477" s="126"/>
      <c r="N477" s="126"/>
      <c r="O477" s="126"/>
      <c r="P477" s="126"/>
    </row>
    <row r="478" spans="1:16" ht="15.5" x14ac:dyDescent="0.35">
      <c r="J478" s="126"/>
      <c r="K478" s="126"/>
      <c r="L478" s="126"/>
      <c r="M478" s="126"/>
      <c r="N478" s="126"/>
      <c r="O478" s="126"/>
      <c r="P478" s="126"/>
    </row>
    <row r="479" spans="1:16" ht="15.5" x14ac:dyDescent="0.35">
      <c r="J479" s="126"/>
      <c r="K479" s="126"/>
      <c r="L479" s="126"/>
      <c r="M479" s="126"/>
      <c r="N479" s="126"/>
      <c r="O479" s="126"/>
      <c r="P479" s="126"/>
    </row>
    <row r="480" spans="1:16" ht="15.5" x14ac:dyDescent="0.35">
      <c r="J480" s="126"/>
      <c r="K480" s="126"/>
      <c r="L480" s="126"/>
      <c r="M480" s="126"/>
      <c r="N480" s="126"/>
      <c r="O480" s="126"/>
      <c r="P480" s="126"/>
    </row>
    <row r="481" spans="10:16" ht="15.5" x14ac:dyDescent="0.35">
      <c r="J481" s="126"/>
      <c r="K481" s="126"/>
      <c r="L481" s="126"/>
      <c r="M481" s="126"/>
      <c r="N481" s="126"/>
      <c r="O481" s="126"/>
      <c r="P481" s="126"/>
    </row>
    <row r="482" spans="10:16" ht="15.5" x14ac:dyDescent="0.35">
      <c r="J482" s="126"/>
      <c r="K482" s="126"/>
      <c r="L482" s="126"/>
      <c r="M482" s="126"/>
      <c r="N482" s="126"/>
      <c r="O482" s="126"/>
      <c r="P482" s="126"/>
    </row>
    <row r="483" spans="10:16" ht="15.5" x14ac:dyDescent="0.35">
      <c r="J483" s="126"/>
      <c r="K483" s="126"/>
      <c r="L483" s="126"/>
      <c r="M483" s="126"/>
      <c r="N483" s="126"/>
      <c r="O483" s="126"/>
      <c r="P483" s="126"/>
    </row>
    <row r="484" spans="10:16" ht="15.5" x14ac:dyDescent="0.35">
      <c r="J484" s="126"/>
      <c r="K484" s="126"/>
      <c r="L484" s="126"/>
      <c r="M484" s="126"/>
      <c r="N484" s="126"/>
      <c r="O484" s="126"/>
      <c r="P484" s="126"/>
    </row>
    <row r="485" spans="10:16" ht="15.5" x14ac:dyDescent="0.35">
      <c r="J485" s="126"/>
      <c r="K485" s="126"/>
      <c r="L485" s="126"/>
      <c r="M485" s="126"/>
      <c r="N485" s="126"/>
      <c r="O485" s="126"/>
      <c r="P485" s="126"/>
    </row>
    <row r="486" spans="10:16" ht="15.5" x14ac:dyDescent="0.35">
      <c r="J486" s="126"/>
      <c r="K486" s="126"/>
      <c r="L486" s="126"/>
      <c r="M486" s="126"/>
      <c r="N486" s="126"/>
      <c r="O486" s="126"/>
      <c r="P486" s="126"/>
    </row>
    <row r="487" spans="10:16" ht="15.5" x14ac:dyDescent="0.35">
      <c r="J487" s="126"/>
      <c r="K487" s="126"/>
      <c r="L487" s="126"/>
      <c r="M487" s="126"/>
      <c r="N487" s="126"/>
      <c r="O487" s="126"/>
      <c r="P487" s="126"/>
    </row>
    <row r="488" spans="10:16" ht="15.5" x14ac:dyDescent="0.35">
      <c r="J488" s="126"/>
      <c r="K488" s="126"/>
      <c r="L488" s="126"/>
      <c r="M488" s="126"/>
      <c r="N488" s="126"/>
      <c r="O488" s="126"/>
      <c r="P488" s="126"/>
    </row>
    <row r="489" spans="10:16" ht="15.5" x14ac:dyDescent="0.35">
      <c r="J489" s="126"/>
      <c r="K489" s="126"/>
      <c r="L489" s="126"/>
      <c r="M489" s="126"/>
      <c r="N489" s="126"/>
      <c r="O489" s="126"/>
      <c r="P489" s="126"/>
    </row>
    <row r="490" spans="10:16" ht="15.5" x14ac:dyDescent="0.35">
      <c r="J490" s="126"/>
      <c r="K490" s="126"/>
      <c r="L490" s="126"/>
      <c r="M490" s="126"/>
      <c r="N490" s="126"/>
      <c r="O490" s="126"/>
      <c r="P490" s="126"/>
    </row>
    <row r="491" spans="10:16" ht="15.5" x14ac:dyDescent="0.35">
      <c r="J491" s="126"/>
      <c r="K491" s="126"/>
      <c r="L491" s="126"/>
      <c r="M491" s="126"/>
      <c r="N491" s="126"/>
      <c r="O491" s="126"/>
      <c r="P491" s="126"/>
    </row>
    <row r="492" spans="10:16" ht="15.5" x14ac:dyDescent="0.35">
      <c r="J492" s="126"/>
      <c r="K492" s="126"/>
      <c r="L492" s="126"/>
      <c r="M492" s="126"/>
      <c r="N492" s="126"/>
      <c r="O492" s="126"/>
      <c r="P492" s="126"/>
    </row>
    <row r="493" spans="10:16" ht="15.5" x14ac:dyDescent="0.35">
      <c r="J493" s="126"/>
      <c r="K493" s="126"/>
      <c r="L493" s="126"/>
      <c r="M493" s="126"/>
      <c r="N493" s="126"/>
      <c r="O493" s="126"/>
      <c r="P493" s="126"/>
    </row>
    <row r="494" spans="10:16" ht="15.5" x14ac:dyDescent="0.35">
      <c r="J494" s="126"/>
      <c r="K494" s="126"/>
      <c r="L494" s="126"/>
      <c r="M494" s="126"/>
      <c r="N494" s="126"/>
      <c r="O494" s="126"/>
      <c r="P494" s="126"/>
    </row>
    <row r="495" spans="10:16" ht="15.5" x14ac:dyDescent="0.35">
      <c r="J495" s="126"/>
      <c r="K495" s="126"/>
      <c r="L495" s="126"/>
      <c r="M495" s="126"/>
      <c r="N495" s="126"/>
      <c r="O495" s="126"/>
      <c r="P495" s="126"/>
    </row>
    <row r="496" spans="10:16" ht="15.5" x14ac:dyDescent="0.35">
      <c r="J496" s="126"/>
      <c r="K496" s="126"/>
      <c r="L496" s="126"/>
      <c r="M496" s="126"/>
      <c r="N496" s="126"/>
      <c r="O496" s="126"/>
      <c r="P496" s="126"/>
    </row>
    <row r="497" spans="10:16" ht="15.5" x14ac:dyDescent="0.35">
      <c r="J497" s="126"/>
      <c r="K497" s="126"/>
      <c r="L497" s="126"/>
      <c r="M497" s="126"/>
      <c r="N497" s="126"/>
      <c r="O497" s="126"/>
      <c r="P497" s="126"/>
    </row>
    <row r="498" spans="10:16" ht="15.5" x14ac:dyDescent="0.35">
      <c r="J498" s="126"/>
      <c r="K498" s="126"/>
      <c r="L498" s="126"/>
      <c r="M498" s="126"/>
      <c r="N498" s="126"/>
      <c r="O498" s="126"/>
      <c r="P498" s="126"/>
    </row>
    <row r="499" spans="10:16" ht="15.5" x14ac:dyDescent="0.35">
      <c r="J499" s="126"/>
      <c r="K499" s="126"/>
      <c r="L499" s="126"/>
      <c r="M499" s="126"/>
      <c r="N499" s="126"/>
      <c r="O499" s="126"/>
      <c r="P499" s="126"/>
    </row>
    <row r="500" spans="10:16" ht="15.5" x14ac:dyDescent="0.35">
      <c r="J500" s="126"/>
      <c r="K500" s="126"/>
      <c r="L500" s="126"/>
      <c r="M500" s="126"/>
      <c r="N500" s="126"/>
      <c r="O500" s="126"/>
      <c r="P500" s="126"/>
    </row>
    <row r="501" spans="10:16" ht="15.5" x14ac:dyDescent="0.35">
      <c r="J501" s="126"/>
      <c r="K501" s="126"/>
      <c r="L501" s="126"/>
      <c r="M501" s="126"/>
      <c r="N501" s="126"/>
      <c r="O501" s="126"/>
      <c r="P501" s="126"/>
    </row>
    <row r="502" spans="10:16" ht="15.5" x14ac:dyDescent="0.35">
      <c r="J502" s="126"/>
      <c r="K502" s="126"/>
      <c r="L502" s="126"/>
      <c r="M502" s="126"/>
      <c r="N502" s="126"/>
      <c r="O502" s="126"/>
      <c r="P502" s="126"/>
    </row>
    <row r="503" spans="10:16" ht="15.5" x14ac:dyDescent="0.35">
      <c r="J503" s="126"/>
      <c r="K503" s="126"/>
      <c r="L503" s="126"/>
      <c r="M503" s="126"/>
      <c r="N503" s="126"/>
      <c r="O503" s="126"/>
      <c r="P503" s="126"/>
    </row>
    <row r="504" spans="10:16" ht="15.5" x14ac:dyDescent="0.35">
      <c r="J504" s="126"/>
      <c r="K504" s="126"/>
      <c r="L504" s="126"/>
      <c r="M504" s="126"/>
      <c r="N504" s="126"/>
      <c r="O504" s="126"/>
      <c r="P504" s="126"/>
    </row>
    <row r="505" spans="10:16" ht="15.5" x14ac:dyDescent="0.35">
      <c r="J505" s="126"/>
      <c r="K505" s="126"/>
      <c r="L505" s="126"/>
      <c r="M505" s="126"/>
      <c r="N505" s="126"/>
      <c r="O505" s="126"/>
      <c r="P505" s="126"/>
    </row>
    <row r="506" spans="10:16" ht="15.5" x14ac:dyDescent="0.35">
      <c r="J506" s="126"/>
      <c r="K506" s="126"/>
      <c r="L506" s="126"/>
      <c r="M506" s="126"/>
      <c r="N506" s="126"/>
      <c r="O506" s="126"/>
      <c r="P506" s="126"/>
    </row>
    <row r="507" spans="10:16" ht="15.5" x14ac:dyDescent="0.35">
      <c r="J507" s="126"/>
      <c r="K507" s="126"/>
      <c r="L507" s="126"/>
      <c r="M507" s="126"/>
      <c r="N507" s="126"/>
      <c r="O507" s="126"/>
      <c r="P507" s="126"/>
    </row>
    <row r="508" spans="10:16" ht="15.5" x14ac:dyDescent="0.35">
      <c r="J508" s="126"/>
      <c r="K508" s="126"/>
      <c r="L508" s="126"/>
      <c r="M508" s="126"/>
      <c r="N508" s="126"/>
      <c r="O508" s="126"/>
      <c r="P508" s="126"/>
    </row>
    <row r="509" spans="10:16" ht="15.5" x14ac:dyDescent="0.35">
      <c r="J509" s="126"/>
      <c r="K509" s="126"/>
      <c r="L509" s="126"/>
      <c r="M509" s="126"/>
      <c r="N509" s="126"/>
      <c r="O509" s="126"/>
      <c r="P509" s="126"/>
    </row>
    <row r="510" spans="10:16" ht="15.5" x14ac:dyDescent="0.35">
      <c r="J510" s="126"/>
      <c r="K510" s="126"/>
      <c r="L510" s="126"/>
      <c r="M510" s="126"/>
      <c r="N510" s="126"/>
      <c r="O510" s="126"/>
      <c r="P510" s="126"/>
    </row>
    <row r="511" spans="10:16" ht="15.5" x14ac:dyDescent="0.35">
      <c r="J511" s="126"/>
      <c r="K511" s="126"/>
      <c r="L511" s="126"/>
      <c r="M511" s="126"/>
      <c r="N511" s="126"/>
      <c r="O511" s="126"/>
      <c r="P511" s="126"/>
    </row>
    <row r="512" spans="10:16" ht="15.5" x14ac:dyDescent="0.35">
      <c r="J512" s="126"/>
      <c r="K512" s="126"/>
      <c r="L512" s="126"/>
      <c r="M512" s="126"/>
      <c r="N512" s="126"/>
      <c r="O512" s="126"/>
      <c r="P512" s="126"/>
    </row>
    <row r="513" spans="10:16" ht="15.5" x14ac:dyDescent="0.35">
      <c r="J513" s="126"/>
      <c r="K513" s="126"/>
      <c r="L513" s="126"/>
      <c r="M513" s="126"/>
      <c r="N513" s="126"/>
      <c r="O513" s="126"/>
      <c r="P513" s="126"/>
    </row>
    <row r="514" spans="10:16" ht="15.5" x14ac:dyDescent="0.35">
      <c r="J514" s="126"/>
      <c r="K514" s="126"/>
      <c r="L514" s="126"/>
      <c r="M514" s="126"/>
      <c r="N514" s="126"/>
      <c r="O514" s="126"/>
      <c r="P514" s="126"/>
    </row>
    <row r="515" spans="10:16" ht="15.5" x14ac:dyDescent="0.35">
      <c r="J515" s="126"/>
      <c r="K515" s="126"/>
      <c r="L515" s="126"/>
      <c r="M515" s="126"/>
      <c r="N515" s="126"/>
      <c r="O515" s="126"/>
      <c r="P515" s="126"/>
    </row>
    <row r="516" spans="10:16" ht="15.5" x14ac:dyDescent="0.35">
      <c r="J516" s="126"/>
      <c r="K516" s="126"/>
      <c r="L516" s="126"/>
      <c r="M516" s="126"/>
      <c r="N516" s="126"/>
      <c r="O516" s="126"/>
      <c r="P516" s="126"/>
    </row>
    <row r="517" spans="10:16" ht="15.5" x14ac:dyDescent="0.35">
      <c r="J517" s="126"/>
      <c r="K517" s="126"/>
      <c r="L517" s="126"/>
      <c r="M517" s="126"/>
      <c r="N517" s="126"/>
      <c r="O517" s="126"/>
      <c r="P517" s="126"/>
    </row>
    <row r="518" spans="10:16" ht="15.5" x14ac:dyDescent="0.35">
      <c r="J518" s="126"/>
      <c r="K518" s="126"/>
      <c r="L518" s="126"/>
      <c r="M518" s="126"/>
      <c r="N518" s="126"/>
      <c r="O518" s="126"/>
      <c r="P518" s="126"/>
    </row>
    <row r="519" spans="10:16" ht="15.5" x14ac:dyDescent="0.35">
      <c r="J519" s="126"/>
      <c r="K519" s="126"/>
      <c r="L519" s="126"/>
      <c r="M519" s="126"/>
      <c r="N519" s="126"/>
      <c r="O519" s="126"/>
      <c r="P519" s="126"/>
    </row>
    <row r="520" spans="10:16" ht="15.5" x14ac:dyDescent="0.35">
      <c r="J520" s="126"/>
      <c r="K520" s="126"/>
      <c r="L520" s="126"/>
      <c r="M520" s="126"/>
      <c r="N520" s="126"/>
      <c r="O520" s="126"/>
      <c r="P520" s="126"/>
    </row>
    <row r="521" spans="10:16" ht="15.5" x14ac:dyDescent="0.35">
      <c r="J521" s="126"/>
      <c r="K521" s="126"/>
      <c r="L521" s="126"/>
      <c r="M521" s="126"/>
      <c r="N521" s="126"/>
      <c r="O521" s="126"/>
      <c r="P521" s="126"/>
    </row>
    <row r="522" spans="10:16" ht="15.5" x14ac:dyDescent="0.35">
      <c r="J522" s="126"/>
      <c r="K522" s="126"/>
      <c r="L522" s="126"/>
      <c r="M522" s="126"/>
      <c r="N522" s="126"/>
      <c r="O522" s="126"/>
      <c r="P522" s="126"/>
    </row>
    <row r="523" spans="10:16" ht="15.5" x14ac:dyDescent="0.35">
      <c r="J523" s="126"/>
      <c r="K523" s="126"/>
      <c r="L523" s="126"/>
      <c r="M523" s="126"/>
      <c r="N523" s="126"/>
      <c r="O523" s="126"/>
      <c r="P523" s="126"/>
    </row>
    <row r="524" spans="10:16" ht="15.5" x14ac:dyDescent="0.35">
      <c r="J524" s="126"/>
      <c r="K524" s="126"/>
      <c r="L524" s="126"/>
      <c r="M524" s="126"/>
      <c r="N524" s="126"/>
      <c r="O524" s="126"/>
      <c r="P524" s="126"/>
    </row>
    <row r="525" spans="10:16" ht="15.5" x14ac:dyDescent="0.35">
      <c r="J525" s="126"/>
      <c r="K525" s="126"/>
      <c r="L525" s="126"/>
      <c r="M525" s="126"/>
      <c r="N525" s="126"/>
      <c r="O525" s="126"/>
      <c r="P525" s="126"/>
    </row>
    <row r="526" spans="10:16" ht="15.5" x14ac:dyDescent="0.35">
      <c r="J526" s="126"/>
      <c r="K526" s="126"/>
      <c r="L526" s="126"/>
      <c r="M526" s="126"/>
      <c r="N526" s="126"/>
      <c r="O526" s="126"/>
      <c r="P526" s="126"/>
    </row>
    <row r="527" spans="10:16" ht="15.5" x14ac:dyDescent="0.35">
      <c r="J527" s="126"/>
      <c r="K527" s="126"/>
      <c r="L527" s="126"/>
      <c r="M527" s="126"/>
      <c r="N527" s="126"/>
      <c r="O527" s="126"/>
      <c r="P527" s="126"/>
    </row>
    <row r="528" spans="10:16" ht="15.5" x14ac:dyDescent="0.35">
      <c r="J528" s="126"/>
      <c r="K528" s="126"/>
      <c r="L528" s="126"/>
      <c r="M528" s="126"/>
      <c r="N528" s="126"/>
      <c r="O528" s="126"/>
      <c r="P528" s="126"/>
    </row>
    <row r="529" spans="1:16" ht="15.5" x14ac:dyDescent="0.35">
      <c r="J529" s="126"/>
      <c r="K529" s="126"/>
      <c r="L529" s="126"/>
      <c r="M529" s="126"/>
      <c r="N529" s="126"/>
      <c r="O529" s="126"/>
      <c r="P529" s="126"/>
    </row>
    <row r="530" spans="1:16" s="167" customFormat="1" ht="15.5" x14ac:dyDescent="0.35">
      <c r="A530" s="161"/>
      <c r="B530"/>
      <c r="C530"/>
      <c r="D530" s="161"/>
      <c r="E530" s="161"/>
      <c r="F530" s="161"/>
      <c r="G530" s="161"/>
      <c r="J530" s="127"/>
      <c r="K530" s="127"/>
      <c r="L530" s="127"/>
      <c r="M530" s="127"/>
      <c r="N530" s="127"/>
      <c r="O530" s="127"/>
      <c r="P530" s="127"/>
    </row>
    <row r="531" spans="1:16" ht="15.5" x14ac:dyDescent="0.35">
      <c r="J531" s="126"/>
      <c r="K531" s="126"/>
      <c r="L531" s="126"/>
      <c r="M531" s="126"/>
      <c r="N531" s="126"/>
      <c r="O531" s="126"/>
      <c r="P531" s="126"/>
    </row>
    <row r="532" spans="1:16" ht="15.5" x14ac:dyDescent="0.35">
      <c r="J532" s="126"/>
      <c r="K532" s="126"/>
      <c r="L532" s="126"/>
      <c r="M532" s="126"/>
      <c r="N532" s="126"/>
      <c r="O532" s="126"/>
      <c r="P532" s="126"/>
    </row>
    <row r="533" spans="1:16" ht="15.5" x14ac:dyDescent="0.35">
      <c r="J533" s="126"/>
      <c r="K533" s="126"/>
      <c r="L533" s="126"/>
      <c r="M533" s="126"/>
      <c r="N533" s="126"/>
      <c r="O533" s="126"/>
      <c r="P533" s="126"/>
    </row>
    <row r="534" spans="1:16" ht="15.5" x14ac:dyDescent="0.35">
      <c r="J534" s="126"/>
      <c r="K534" s="126"/>
      <c r="L534" s="126"/>
      <c r="M534" s="126"/>
      <c r="N534" s="126"/>
      <c r="O534" s="126"/>
      <c r="P534" s="126"/>
    </row>
    <row r="535" spans="1:16" ht="15.5" x14ac:dyDescent="0.35">
      <c r="J535" s="126"/>
      <c r="K535" s="126"/>
      <c r="L535" s="126"/>
      <c r="M535" s="126"/>
      <c r="N535" s="126"/>
      <c r="O535" s="126"/>
      <c r="P535" s="126"/>
    </row>
    <row r="536" spans="1:16" ht="15.5" x14ac:dyDescent="0.35">
      <c r="J536" s="126"/>
      <c r="K536" s="126"/>
      <c r="L536" s="126"/>
      <c r="M536" s="126"/>
      <c r="N536" s="126"/>
      <c r="O536" s="126"/>
      <c r="P536" s="126"/>
    </row>
    <row r="537" spans="1:16" ht="15.5" x14ac:dyDescent="0.35">
      <c r="J537" s="126"/>
      <c r="K537" s="126"/>
      <c r="L537" s="126"/>
      <c r="M537" s="126"/>
      <c r="N537" s="126"/>
      <c r="O537" s="126"/>
      <c r="P537" s="126"/>
    </row>
    <row r="538" spans="1:16" ht="15.5" x14ac:dyDescent="0.35">
      <c r="J538" s="126"/>
      <c r="K538" s="126"/>
      <c r="L538" s="126"/>
      <c r="M538" s="126"/>
      <c r="N538" s="126"/>
      <c r="O538" s="126"/>
      <c r="P538" s="126"/>
    </row>
    <row r="539" spans="1:16" ht="15.5" x14ac:dyDescent="0.35">
      <c r="J539" s="126"/>
      <c r="K539" s="126"/>
      <c r="L539" s="126"/>
      <c r="M539" s="126"/>
      <c r="N539" s="126"/>
      <c r="O539" s="126"/>
      <c r="P539" s="126"/>
    </row>
    <row r="540" spans="1:16" ht="15.5" x14ac:dyDescent="0.35">
      <c r="J540" s="126"/>
      <c r="K540" s="126"/>
      <c r="L540" s="126"/>
      <c r="M540" s="126"/>
      <c r="N540" s="126"/>
      <c r="O540" s="126"/>
      <c r="P540" s="126"/>
    </row>
    <row r="541" spans="1:16" ht="15.5" x14ac:dyDescent="0.35">
      <c r="J541" s="126"/>
      <c r="K541" s="126"/>
      <c r="L541" s="126"/>
      <c r="M541" s="126"/>
      <c r="N541" s="126"/>
      <c r="O541" s="126"/>
      <c r="P541" s="126"/>
    </row>
    <row r="542" spans="1:16" ht="15.5" x14ac:dyDescent="0.35">
      <c r="J542" s="126"/>
      <c r="K542" s="126"/>
      <c r="L542" s="126"/>
      <c r="M542" s="126"/>
      <c r="N542" s="126"/>
      <c r="O542" s="126"/>
      <c r="P542" s="126"/>
    </row>
    <row r="543" spans="1:16" ht="15.5" x14ac:dyDescent="0.35">
      <c r="J543" s="126"/>
      <c r="K543" s="126"/>
      <c r="L543" s="126"/>
      <c r="M543" s="126"/>
      <c r="N543" s="126"/>
      <c r="O543" s="126"/>
      <c r="P543" s="126"/>
    </row>
    <row r="544" spans="1:16" ht="15.5" x14ac:dyDescent="0.35">
      <c r="J544" s="126"/>
      <c r="K544" s="126"/>
      <c r="L544" s="126"/>
      <c r="M544" s="126"/>
      <c r="N544" s="126"/>
      <c r="O544" s="126"/>
      <c r="P544" s="126"/>
    </row>
    <row r="545" spans="10:16" ht="15.5" x14ac:dyDescent="0.35">
      <c r="J545" s="126"/>
      <c r="K545" s="126"/>
      <c r="L545" s="126"/>
      <c r="M545" s="126"/>
      <c r="N545" s="126"/>
      <c r="O545" s="126"/>
      <c r="P545" s="126"/>
    </row>
    <row r="546" spans="10:16" ht="15.5" x14ac:dyDescent="0.35">
      <c r="J546" s="126"/>
      <c r="K546" s="126"/>
      <c r="L546" s="126"/>
      <c r="M546" s="126"/>
      <c r="N546" s="126"/>
      <c r="O546" s="126"/>
      <c r="P546" s="126"/>
    </row>
    <row r="547" spans="10:16" ht="15.5" x14ac:dyDescent="0.35">
      <c r="J547" s="126"/>
      <c r="K547" s="126"/>
      <c r="L547" s="126"/>
      <c r="M547" s="126"/>
      <c r="N547" s="126"/>
      <c r="O547" s="126"/>
      <c r="P547" s="126"/>
    </row>
    <row r="548" spans="10:16" ht="15.5" x14ac:dyDescent="0.35">
      <c r="J548" s="126"/>
      <c r="K548" s="126"/>
      <c r="L548" s="126"/>
      <c r="M548" s="126"/>
      <c r="N548" s="126"/>
      <c r="O548" s="126"/>
      <c r="P548" s="126"/>
    </row>
    <row r="549" spans="10:16" ht="15.5" x14ac:dyDescent="0.35">
      <c r="J549" s="126"/>
      <c r="K549" s="126"/>
      <c r="L549" s="126"/>
      <c r="M549" s="126"/>
      <c r="N549" s="126"/>
      <c r="O549" s="126"/>
      <c r="P549" s="126"/>
    </row>
    <row r="550" spans="10:16" ht="15.5" x14ac:dyDescent="0.35">
      <c r="J550" s="126"/>
      <c r="K550" s="126"/>
      <c r="L550" s="126"/>
      <c r="M550" s="126"/>
      <c r="N550" s="126"/>
      <c r="O550" s="126"/>
      <c r="P550" s="126"/>
    </row>
    <row r="551" spans="10:16" ht="15.5" x14ac:dyDescent="0.35">
      <c r="J551" s="126"/>
      <c r="K551" s="126"/>
      <c r="L551" s="126"/>
      <c r="M551" s="126"/>
      <c r="N551" s="126"/>
      <c r="O551" s="126"/>
      <c r="P551" s="126"/>
    </row>
    <row r="552" spans="10:16" ht="15.5" x14ac:dyDescent="0.35">
      <c r="J552" s="126"/>
      <c r="K552" s="126"/>
      <c r="L552" s="126"/>
      <c r="M552" s="126"/>
      <c r="N552" s="126"/>
      <c r="O552" s="126"/>
      <c r="P552" s="126"/>
    </row>
    <row r="553" spans="10:16" ht="15.5" x14ac:dyDescent="0.35">
      <c r="J553" s="126"/>
      <c r="K553" s="126"/>
      <c r="L553" s="126"/>
      <c r="M553" s="126"/>
      <c r="N553" s="126"/>
      <c r="O553" s="126"/>
      <c r="P553" s="126"/>
    </row>
    <row r="554" spans="10:16" ht="15.5" x14ac:dyDescent="0.35">
      <c r="J554" s="126"/>
      <c r="K554" s="126"/>
      <c r="L554" s="126"/>
      <c r="M554" s="126"/>
      <c r="N554" s="126"/>
      <c r="O554" s="126"/>
      <c r="P554" s="126"/>
    </row>
    <row r="555" spans="10:16" ht="15.5" x14ac:dyDescent="0.35">
      <c r="J555" s="126"/>
      <c r="K555" s="126"/>
      <c r="L555" s="126"/>
      <c r="M555" s="126"/>
      <c r="N555" s="126"/>
      <c r="O555" s="126"/>
      <c r="P555" s="126"/>
    </row>
    <row r="556" spans="10:16" ht="15.5" x14ac:dyDescent="0.35">
      <c r="J556" s="126"/>
      <c r="K556" s="126"/>
      <c r="L556" s="126"/>
      <c r="M556" s="126"/>
      <c r="N556" s="126"/>
      <c r="O556" s="126"/>
      <c r="P556" s="126"/>
    </row>
    <row r="557" spans="10:16" ht="15.5" x14ac:dyDescent="0.35">
      <c r="J557" s="126"/>
      <c r="K557" s="126"/>
      <c r="L557" s="126"/>
      <c r="M557" s="126"/>
      <c r="N557" s="126"/>
      <c r="O557" s="126"/>
      <c r="P557" s="126"/>
    </row>
    <row r="558" spans="10:16" ht="15.5" x14ac:dyDescent="0.35">
      <c r="J558" s="126"/>
      <c r="K558" s="126"/>
      <c r="L558" s="126"/>
      <c r="M558" s="126"/>
      <c r="N558" s="126"/>
      <c r="O558" s="126"/>
      <c r="P558" s="126"/>
    </row>
    <row r="559" spans="10:16" ht="15.5" x14ac:dyDescent="0.35">
      <c r="J559" s="126"/>
      <c r="K559" s="126"/>
      <c r="L559" s="126"/>
      <c r="M559" s="126"/>
      <c r="N559" s="126"/>
      <c r="O559" s="126"/>
      <c r="P559" s="126"/>
    </row>
    <row r="560" spans="10:16" ht="15.5" x14ac:dyDescent="0.35">
      <c r="J560" s="126"/>
      <c r="K560" s="126"/>
      <c r="L560" s="126"/>
      <c r="M560" s="126"/>
      <c r="N560" s="126"/>
      <c r="O560" s="126"/>
      <c r="P560" s="126"/>
    </row>
    <row r="561" spans="1:16" ht="15.5" x14ac:dyDescent="0.35">
      <c r="J561" s="126"/>
      <c r="K561" s="126"/>
      <c r="L561" s="126"/>
      <c r="M561" s="126"/>
      <c r="N561" s="126"/>
      <c r="O561" s="126"/>
      <c r="P561" s="126"/>
    </row>
    <row r="562" spans="1:16" ht="15.5" x14ac:dyDescent="0.35">
      <c r="J562" s="126"/>
      <c r="K562" s="126"/>
      <c r="L562" s="126"/>
      <c r="M562" s="126"/>
      <c r="N562" s="126"/>
      <c r="O562" s="126"/>
      <c r="P562" s="126"/>
    </row>
    <row r="563" spans="1:16" ht="15.5" x14ac:dyDescent="0.35">
      <c r="J563" s="126"/>
      <c r="K563" s="126"/>
      <c r="L563" s="126"/>
      <c r="M563" s="126"/>
      <c r="N563" s="126"/>
      <c r="O563" s="126"/>
      <c r="P563" s="126"/>
    </row>
    <row r="564" spans="1:16" ht="15.5" x14ac:dyDescent="0.35">
      <c r="J564" s="126"/>
      <c r="K564" s="126"/>
      <c r="L564" s="126"/>
      <c r="M564" s="126"/>
      <c r="N564" s="126"/>
      <c r="O564" s="126"/>
      <c r="P564" s="126"/>
    </row>
    <row r="565" spans="1:16" ht="15.5" x14ac:dyDescent="0.35">
      <c r="J565" s="126"/>
      <c r="K565" s="126"/>
      <c r="L565" s="126"/>
      <c r="M565" s="126"/>
      <c r="N565" s="126"/>
      <c r="O565" s="126"/>
      <c r="P565" s="126"/>
    </row>
    <row r="566" spans="1:16" ht="15.5" x14ac:dyDescent="0.35">
      <c r="J566" s="126"/>
      <c r="K566" s="126"/>
      <c r="L566" s="126"/>
      <c r="M566" s="126"/>
      <c r="N566" s="126"/>
      <c r="O566" s="126"/>
      <c r="P566" s="126"/>
    </row>
    <row r="567" spans="1:16" ht="15.5" x14ac:dyDescent="0.35">
      <c r="J567" s="126"/>
      <c r="K567" s="126"/>
      <c r="L567" s="126"/>
      <c r="M567" s="126"/>
      <c r="N567" s="126"/>
      <c r="O567" s="126"/>
      <c r="P567" s="126"/>
    </row>
    <row r="568" spans="1:16" ht="15.5" x14ac:dyDescent="0.35">
      <c r="J568" s="126"/>
      <c r="K568" s="126"/>
      <c r="L568" s="126"/>
      <c r="M568" s="126"/>
      <c r="N568" s="126"/>
      <c r="O568" s="126"/>
      <c r="P568" s="126"/>
    </row>
    <row r="569" spans="1:16" ht="15.5" x14ac:dyDescent="0.35">
      <c r="J569" s="126"/>
      <c r="K569" s="126"/>
      <c r="L569" s="126"/>
      <c r="M569" s="126"/>
      <c r="N569" s="126"/>
      <c r="O569" s="126"/>
      <c r="P569" s="126"/>
    </row>
    <row r="570" spans="1:16" ht="15.5" x14ac:dyDescent="0.35">
      <c r="J570" s="126"/>
      <c r="K570" s="126"/>
      <c r="L570" s="126"/>
      <c r="M570" s="126"/>
      <c r="N570" s="126"/>
      <c r="O570" s="126"/>
      <c r="P570" s="126"/>
    </row>
    <row r="571" spans="1:16" s="167" customFormat="1" ht="15.5" x14ac:dyDescent="0.35">
      <c r="A571" s="161"/>
      <c r="B571"/>
      <c r="C571"/>
      <c r="D571" s="161"/>
      <c r="E571" s="161"/>
      <c r="F571" s="161"/>
      <c r="G571" s="161"/>
      <c r="J571" s="127"/>
      <c r="K571" s="127"/>
      <c r="L571" s="127"/>
      <c r="M571" s="127"/>
      <c r="N571" s="127"/>
      <c r="O571" s="127"/>
      <c r="P571" s="127"/>
    </row>
    <row r="572" spans="1:16" ht="15.5" x14ac:dyDescent="0.35">
      <c r="J572" s="126"/>
      <c r="K572" s="126"/>
      <c r="L572" s="126"/>
      <c r="M572" s="126"/>
      <c r="N572" s="126"/>
      <c r="O572" s="126"/>
      <c r="P572" s="126"/>
    </row>
    <row r="573" spans="1:16" ht="15.5" x14ac:dyDescent="0.35">
      <c r="J573" s="126"/>
      <c r="K573" s="126"/>
      <c r="L573" s="126"/>
      <c r="M573" s="126"/>
      <c r="N573" s="126"/>
      <c r="O573" s="126"/>
      <c r="P573" s="126"/>
    </row>
    <row r="574" spans="1:16" ht="15.5" x14ac:dyDescent="0.35">
      <c r="J574" s="126"/>
      <c r="K574" s="126"/>
      <c r="L574" s="126"/>
      <c r="M574" s="126"/>
      <c r="N574" s="126"/>
      <c r="O574" s="126"/>
      <c r="P574" s="126"/>
    </row>
    <row r="575" spans="1:16" ht="15.5" x14ac:dyDescent="0.35">
      <c r="J575" s="126"/>
      <c r="K575" s="126"/>
      <c r="L575" s="126"/>
      <c r="M575" s="126"/>
      <c r="N575" s="126"/>
      <c r="O575" s="126"/>
      <c r="P575" s="126"/>
    </row>
    <row r="576" spans="1:16" ht="15.5" x14ac:dyDescent="0.35">
      <c r="J576" s="126"/>
      <c r="K576" s="126"/>
      <c r="L576" s="126"/>
      <c r="M576" s="126"/>
      <c r="N576" s="126"/>
      <c r="O576" s="126"/>
      <c r="P576" s="126"/>
    </row>
    <row r="577" spans="1:16" ht="15.5" x14ac:dyDescent="0.35">
      <c r="J577" s="126"/>
      <c r="K577" s="126"/>
      <c r="L577" s="126"/>
      <c r="M577" s="126"/>
      <c r="N577" s="126"/>
      <c r="O577" s="126"/>
      <c r="P577" s="126"/>
    </row>
    <row r="578" spans="1:16" ht="15.5" x14ac:dyDescent="0.35">
      <c r="J578" s="126"/>
      <c r="K578" s="126"/>
      <c r="L578" s="126"/>
      <c r="M578" s="126"/>
      <c r="N578" s="126"/>
      <c r="O578" s="126"/>
      <c r="P578" s="126"/>
    </row>
    <row r="579" spans="1:16" ht="15.5" x14ac:dyDescent="0.35">
      <c r="J579" s="126"/>
      <c r="K579" s="126"/>
      <c r="L579" s="126"/>
      <c r="M579" s="126"/>
      <c r="N579" s="126"/>
      <c r="O579" s="126"/>
      <c r="P579" s="126"/>
    </row>
    <row r="580" spans="1:16" ht="15.5" x14ac:dyDescent="0.35">
      <c r="J580" s="126"/>
      <c r="K580" s="126"/>
      <c r="L580" s="126"/>
      <c r="M580" s="126"/>
      <c r="N580" s="126"/>
      <c r="O580" s="126"/>
      <c r="P580" s="126"/>
    </row>
    <row r="581" spans="1:16" ht="15.5" x14ac:dyDescent="0.35">
      <c r="J581" s="126"/>
      <c r="K581" s="126"/>
      <c r="L581" s="126"/>
      <c r="M581" s="126"/>
      <c r="N581" s="126"/>
      <c r="O581" s="126"/>
      <c r="P581" s="126"/>
    </row>
    <row r="582" spans="1:16" ht="15.5" x14ac:dyDescent="0.35">
      <c r="J582" s="126"/>
      <c r="K582" s="126"/>
      <c r="L582" s="126"/>
      <c r="M582" s="126"/>
      <c r="N582" s="126"/>
      <c r="O582" s="126"/>
      <c r="P582" s="126"/>
    </row>
    <row r="583" spans="1:16" ht="15.5" x14ac:dyDescent="0.35">
      <c r="J583" s="126"/>
      <c r="K583" s="126"/>
      <c r="L583" s="126"/>
      <c r="M583" s="126"/>
      <c r="N583" s="126"/>
      <c r="O583" s="126"/>
      <c r="P583" s="126"/>
    </row>
    <row r="584" spans="1:16" ht="15.5" x14ac:dyDescent="0.35">
      <c r="J584" s="126"/>
      <c r="K584" s="126"/>
      <c r="L584" s="126"/>
      <c r="M584" s="126"/>
      <c r="N584" s="126"/>
      <c r="O584" s="126"/>
      <c r="P584" s="126"/>
    </row>
    <row r="585" spans="1:16" ht="15.5" x14ac:dyDescent="0.35">
      <c r="J585" s="126"/>
      <c r="K585" s="126"/>
      <c r="L585" s="126"/>
      <c r="M585" s="126"/>
      <c r="N585" s="126"/>
      <c r="O585" s="126"/>
      <c r="P585" s="126"/>
    </row>
    <row r="586" spans="1:16" s="167" customFormat="1" ht="15.5" x14ac:dyDescent="0.35">
      <c r="A586" s="161"/>
      <c r="B586"/>
      <c r="C586"/>
      <c r="D586" s="161"/>
      <c r="E586" s="161"/>
      <c r="F586" s="161"/>
      <c r="G586" s="161"/>
      <c r="J586" s="127"/>
      <c r="K586" s="127"/>
      <c r="L586" s="127"/>
      <c r="M586" s="127"/>
      <c r="N586" s="127"/>
      <c r="O586" s="127"/>
      <c r="P586" s="127"/>
    </row>
    <row r="587" spans="1:16" ht="15.5" x14ac:dyDescent="0.35">
      <c r="J587" s="126"/>
      <c r="K587" s="126"/>
      <c r="L587" s="126"/>
      <c r="M587" s="126"/>
      <c r="N587" s="126"/>
      <c r="O587" s="126"/>
      <c r="P587" s="126"/>
    </row>
    <row r="588" spans="1:16" ht="15.5" x14ac:dyDescent="0.35">
      <c r="J588" s="126"/>
      <c r="K588" s="126"/>
      <c r="L588" s="126"/>
      <c r="M588" s="126"/>
      <c r="N588" s="126"/>
      <c r="O588" s="126"/>
      <c r="P588" s="126"/>
    </row>
    <row r="589" spans="1:16" ht="15.5" x14ac:dyDescent="0.35">
      <c r="J589" s="126"/>
      <c r="K589" s="126"/>
      <c r="L589" s="126"/>
      <c r="M589" s="126"/>
      <c r="N589" s="126"/>
      <c r="O589" s="126"/>
      <c r="P589" s="126"/>
    </row>
    <row r="590" spans="1:16" ht="15.5" x14ac:dyDescent="0.35">
      <c r="J590" s="126"/>
      <c r="K590" s="126"/>
      <c r="L590" s="126"/>
      <c r="M590" s="126"/>
      <c r="N590" s="126"/>
      <c r="O590" s="126"/>
      <c r="P590" s="126"/>
    </row>
    <row r="591" spans="1:16" ht="15.5" x14ac:dyDescent="0.35">
      <c r="J591" s="126"/>
      <c r="K591" s="126"/>
      <c r="L591" s="126"/>
      <c r="M591" s="126"/>
      <c r="N591" s="126"/>
      <c r="O591" s="126"/>
      <c r="P591" s="126"/>
    </row>
    <row r="592" spans="1:16" ht="15.5" x14ac:dyDescent="0.35">
      <c r="J592" s="126"/>
      <c r="K592" s="126"/>
      <c r="L592" s="126"/>
      <c r="M592" s="126"/>
      <c r="N592" s="126"/>
      <c r="O592" s="126"/>
      <c r="P592" s="126"/>
    </row>
    <row r="593" spans="1:16" s="167" customFormat="1" ht="15.5" x14ac:dyDescent="0.35">
      <c r="A593" s="161"/>
      <c r="B593"/>
      <c r="C593"/>
      <c r="D593" s="161"/>
      <c r="E593" s="161"/>
      <c r="F593" s="161"/>
      <c r="G593" s="161"/>
      <c r="J593" s="127"/>
      <c r="K593" s="127"/>
      <c r="L593" s="127"/>
      <c r="M593" s="127"/>
      <c r="N593" s="127"/>
      <c r="O593" s="127"/>
      <c r="P593" s="127"/>
    </row>
    <row r="594" spans="1:16" ht="15.5" x14ac:dyDescent="0.35">
      <c r="J594" s="126"/>
      <c r="K594" s="126"/>
      <c r="L594" s="126"/>
      <c r="M594" s="126"/>
      <c r="N594" s="126"/>
      <c r="O594" s="126"/>
      <c r="P594" s="126"/>
    </row>
    <row r="595" spans="1:16" ht="15.5" x14ac:dyDescent="0.35">
      <c r="J595" s="126"/>
      <c r="K595" s="126"/>
      <c r="L595" s="126"/>
      <c r="M595" s="126"/>
      <c r="N595" s="126"/>
      <c r="O595" s="126"/>
      <c r="P595" s="126"/>
    </row>
    <row r="596" spans="1:16" ht="15.5" x14ac:dyDescent="0.35">
      <c r="J596" s="126"/>
      <c r="K596" s="126"/>
      <c r="L596" s="126"/>
      <c r="M596" s="126"/>
      <c r="N596" s="126"/>
      <c r="O596" s="126"/>
      <c r="P596" s="126"/>
    </row>
    <row r="597" spans="1:16" ht="15.5" x14ac:dyDescent="0.35">
      <c r="J597" s="126"/>
      <c r="K597" s="126"/>
      <c r="L597" s="126"/>
      <c r="M597" s="126"/>
      <c r="N597" s="126"/>
      <c r="O597" s="126"/>
      <c r="P597" s="126"/>
    </row>
    <row r="598" spans="1:16" ht="15.5" x14ac:dyDescent="0.35">
      <c r="J598" s="126"/>
      <c r="K598" s="126"/>
      <c r="L598" s="126"/>
      <c r="M598" s="126"/>
      <c r="N598" s="126"/>
      <c r="O598" s="126"/>
      <c r="P598" s="126"/>
    </row>
    <row r="599" spans="1:16" ht="15.5" x14ac:dyDescent="0.35">
      <c r="J599" s="126"/>
      <c r="K599" s="126"/>
      <c r="L599" s="126"/>
      <c r="M599" s="126"/>
      <c r="N599" s="126"/>
      <c r="O599" s="126"/>
      <c r="P599" s="126"/>
    </row>
    <row r="600" spans="1:16" s="167" customFormat="1" ht="15.5" x14ac:dyDescent="0.35">
      <c r="A600" s="161"/>
      <c r="B600"/>
      <c r="C600"/>
      <c r="D600" s="161"/>
      <c r="E600" s="161"/>
      <c r="F600" s="161"/>
      <c r="G600" s="161"/>
      <c r="J600" s="127"/>
      <c r="K600" s="127"/>
      <c r="L600" s="127"/>
      <c r="M600" s="127"/>
      <c r="N600" s="127"/>
      <c r="O600" s="127"/>
      <c r="P600" s="127"/>
    </row>
    <row r="601" spans="1:16" ht="15.5" x14ac:dyDescent="0.35">
      <c r="J601" s="126"/>
      <c r="K601" s="126"/>
      <c r="L601" s="126"/>
      <c r="M601" s="126"/>
      <c r="N601" s="126"/>
      <c r="O601" s="126"/>
      <c r="P601" s="126"/>
    </row>
    <row r="602" spans="1:16" ht="15.5" x14ac:dyDescent="0.35">
      <c r="J602" s="126"/>
      <c r="K602" s="126"/>
      <c r="L602" s="126"/>
      <c r="M602" s="126"/>
      <c r="N602" s="126"/>
      <c r="O602" s="126"/>
      <c r="P602" s="126"/>
    </row>
    <row r="603" spans="1:16" ht="15.5" x14ac:dyDescent="0.35">
      <c r="J603" s="126"/>
      <c r="K603" s="126"/>
      <c r="L603" s="126"/>
      <c r="M603" s="126"/>
      <c r="N603" s="126"/>
      <c r="O603" s="126"/>
      <c r="P603" s="126"/>
    </row>
    <row r="604" spans="1:16" ht="15.5" x14ac:dyDescent="0.35">
      <c r="J604" s="126"/>
      <c r="K604" s="126"/>
      <c r="L604" s="126"/>
      <c r="M604" s="126"/>
      <c r="N604" s="126"/>
      <c r="O604" s="126"/>
      <c r="P604" s="126"/>
    </row>
    <row r="605" spans="1:16" ht="15.5" x14ac:dyDescent="0.35">
      <c r="J605" s="126"/>
      <c r="K605" s="126"/>
      <c r="L605" s="126"/>
      <c r="M605" s="126"/>
      <c r="N605" s="126"/>
      <c r="O605" s="126"/>
      <c r="P605" s="126"/>
    </row>
    <row r="606" spans="1:16" ht="15.5" x14ac:dyDescent="0.35">
      <c r="J606" s="126"/>
      <c r="K606" s="126"/>
      <c r="L606" s="126"/>
      <c r="M606" s="126"/>
      <c r="N606" s="126"/>
      <c r="O606" s="126"/>
      <c r="P606" s="126"/>
    </row>
    <row r="607" spans="1:16" ht="15.5" x14ac:dyDescent="0.35">
      <c r="J607" s="126"/>
      <c r="K607" s="126"/>
      <c r="L607" s="126"/>
      <c r="M607" s="126"/>
      <c r="N607" s="126"/>
      <c r="O607" s="126"/>
      <c r="P607" s="126"/>
    </row>
    <row r="608" spans="1:16" ht="15.5" x14ac:dyDescent="0.35">
      <c r="J608" s="126"/>
      <c r="K608" s="126"/>
      <c r="L608" s="126"/>
      <c r="M608" s="126"/>
      <c r="N608" s="126"/>
      <c r="O608" s="126"/>
      <c r="P608" s="126"/>
    </row>
    <row r="609" spans="1:16" ht="15.5" x14ac:dyDescent="0.35">
      <c r="J609" s="126"/>
      <c r="K609" s="126"/>
      <c r="L609" s="126"/>
      <c r="M609" s="126"/>
      <c r="N609" s="126"/>
      <c r="O609" s="126"/>
      <c r="P609" s="126"/>
    </row>
    <row r="610" spans="1:16" ht="15.5" x14ac:dyDescent="0.35">
      <c r="J610" s="126"/>
      <c r="K610" s="126"/>
      <c r="L610" s="126"/>
      <c r="M610" s="126"/>
      <c r="N610" s="126"/>
      <c r="O610" s="126"/>
      <c r="P610" s="126"/>
    </row>
    <row r="611" spans="1:16" ht="15.5" x14ac:dyDescent="0.35">
      <c r="J611" s="126"/>
      <c r="K611" s="126"/>
      <c r="L611" s="126"/>
      <c r="M611" s="126"/>
      <c r="N611" s="126"/>
      <c r="O611" s="126"/>
      <c r="P611" s="126"/>
    </row>
    <row r="612" spans="1:16" ht="15.5" x14ac:dyDescent="0.35">
      <c r="J612" s="126"/>
      <c r="K612" s="126"/>
      <c r="L612" s="126"/>
      <c r="M612" s="126"/>
      <c r="N612" s="126"/>
      <c r="O612" s="126"/>
      <c r="P612" s="126"/>
    </row>
    <row r="613" spans="1:16" ht="15.5" x14ac:dyDescent="0.35">
      <c r="J613" s="126"/>
      <c r="K613" s="126"/>
      <c r="L613" s="126"/>
      <c r="M613" s="126"/>
      <c r="N613" s="126"/>
      <c r="O613" s="126"/>
      <c r="P613" s="126"/>
    </row>
    <row r="614" spans="1:16" ht="15.5" x14ac:dyDescent="0.35">
      <c r="J614" s="126"/>
      <c r="K614" s="126"/>
      <c r="L614" s="126"/>
      <c r="M614" s="126"/>
      <c r="N614" s="126"/>
      <c r="O614" s="126"/>
      <c r="P614" s="126"/>
    </row>
    <row r="615" spans="1:16" s="167" customFormat="1" ht="15.5" x14ac:dyDescent="0.35">
      <c r="A615" s="161"/>
      <c r="B615"/>
      <c r="C615"/>
      <c r="D615" s="161"/>
      <c r="E615" s="161"/>
      <c r="F615" s="161"/>
      <c r="G615" s="161"/>
      <c r="J615" s="127"/>
      <c r="K615" s="127"/>
      <c r="L615" s="127"/>
      <c r="M615" s="127"/>
      <c r="N615" s="127"/>
      <c r="O615" s="127"/>
      <c r="P615" s="127"/>
    </row>
    <row r="616" spans="1:16" ht="15.5" x14ac:dyDescent="0.35">
      <c r="J616" s="126"/>
      <c r="K616" s="126"/>
      <c r="L616" s="126"/>
      <c r="M616" s="126"/>
      <c r="N616" s="126"/>
      <c r="O616" s="126"/>
      <c r="P616" s="126"/>
    </row>
    <row r="617" spans="1:16" ht="15.5" x14ac:dyDescent="0.35">
      <c r="J617" s="126"/>
      <c r="K617" s="126"/>
      <c r="L617" s="126"/>
      <c r="M617" s="126"/>
      <c r="N617" s="126"/>
      <c r="O617" s="126"/>
      <c r="P617" s="126"/>
    </row>
    <row r="618" spans="1:16" ht="15.5" x14ac:dyDescent="0.35">
      <c r="J618" s="126"/>
      <c r="K618" s="126"/>
      <c r="L618" s="126"/>
      <c r="M618" s="126"/>
      <c r="N618" s="126"/>
      <c r="O618" s="126"/>
      <c r="P618" s="126"/>
    </row>
    <row r="619" spans="1:16" ht="15.5" x14ac:dyDescent="0.35">
      <c r="J619" s="126"/>
      <c r="K619" s="126"/>
      <c r="L619" s="126"/>
      <c r="M619" s="126"/>
      <c r="N619" s="126"/>
      <c r="O619" s="126"/>
      <c r="P619" s="126"/>
    </row>
    <row r="620" spans="1:16" ht="15.5" x14ac:dyDescent="0.35">
      <c r="J620" s="126"/>
      <c r="K620" s="126"/>
      <c r="L620" s="126"/>
      <c r="M620" s="126"/>
      <c r="N620" s="126"/>
      <c r="O620" s="126"/>
      <c r="P620" s="126"/>
    </row>
    <row r="621" spans="1:16" ht="15.5" x14ac:dyDescent="0.35">
      <c r="J621" s="126"/>
      <c r="K621" s="126"/>
      <c r="L621" s="126"/>
      <c r="M621" s="126"/>
      <c r="N621" s="126"/>
      <c r="O621" s="126"/>
      <c r="P621" s="126"/>
    </row>
    <row r="622" spans="1:16" ht="15.5" x14ac:dyDescent="0.35">
      <c r="J622" s="126"/>
      <c r="K622" s="126"/>
      <c r="L622" s="126"/>
      <c r="M622" s="126"/>
      <c r="N622" s="126"/>
      <c r="O622" s="126"/>
      <c r="P622" s="126"/>
    </row>
    <row r="623" spans="1:16" ht="15.5" x14ac:dyDescent="0.35">
      <c r="J623" s="126"/>
      <c r="K623" s="126"/>
      <c r="L623" s="126"/>
      <c r="M623" s="126"/>
      <c r="N623" s="126"/>
      <c r="O623" s="126"/>
      <c r="P623" s="126"/>
    </row>
    <row r="624" spans="1:16" ht="15.5" x14ac:dyDescent="0.35">
      <c r="J624" s="126"/>
      <c r="K624" s="126"/>
      <c r="L624" s="126"/>
      <c r="M624" s="126"/>
      <c r="N624" s="126"/>
      <c r="O624" s="126"/>
      <c r="P624" s="126"/>
    </row>
    <row r="625" spans="1:16" ht="15.5" x14ac:dyDescent="0.35">
      <c r="J625" s="126"/>
      <c r="K625" s="126"/>
      <c r="L625" s="126"/>
      <c r="M625" s="126"/>
      <c r="N625" s="126"/>
      <c r="O625" s="126"/>
      <c r="P625" s="126"/>
    </row>
    <row r="626" spans="1:16" ht="15.5" x14ac:dyDescent="0.35">
      <c r="J626" s="126"/>
      <c r="K626" s="126"/>
      <c r="L626" s="126"/>
      <c r="M626" s="126"/>
      <c r="N626" s="126"/>
      <c r="O626" s="126"/>
      <c r="P626" s="126"/>
    </row>
    <row r="627" spans="1:16" ht="15.5" x14ac:dyDescent="0.35">
      <c r="J627" s="126"/>
      <c r="K627" s="126"/>
      <c r="L627" s="126"/>
      <c r="M627" s="126"/>
      <c r="N627" s="126"/>
      <c r="O627" s="126"/>
      <c r="P627" s="126"/>
    </row>
    <row r="628" spans="1:16" ht="15.5" x14ac:dyDescent="0.35">
      <c r="J628" s="126"/>
      <c r="K628" s="126"/>
      <c r="L628" s="126"/>
      <c r="M628" s="126"/>
      <c r="N628" s="126"/>
      <c r="O628" s="126"/>
      <c r="P628" s="126"/>
    </row>
    <row r="629" spans="1:16" ht="15.5" x14ac:dyDescent="0.35">
      <c r="J629" s="126"/>
      <c r="K629" s="126"/>
      <c r="L629" s="126"/>
      <c r="M629" s="126"/>
      <c r="N629" s="126"/>
      <c r="O629" s="126"/>
      <c r="P629" s="126"/>
    </row>
    <row r="630" spans="1:16" ht="15.5" x14ac:dyDescent="0.35">
      <c r="J630" s="126"/>
      <c r="K630" s="126"/>
      <c r="L630" s="126"/>
      <c r="M630" s="126"/>
      <c r="N630" s="126"/>
      <c r="O630" s="126"/>
      <c r="P630" s="126"/>
    </row>
    <row r="631" spans="1:16" ht="15.5" x14ac:dyDescent="0.35">
      <c r="J631" s="126"/>
      <c r="K631" s="126"/>
      <c r="L631" s="126"/>
      <c r="M631" s="126"/>
      <c r="N631" s="126"/>
      <c r="O631" s="126"/>
      <c r="P631" s="126"/>
    </row>
    <row r="632" spans="1:16" ht="15.5" x14ac:dyDescent="0.35">
      <c r="J632" s="126"/>
      <c r="K632" s="126"/>
      <c r="L632" s="126"/>
      <c r="M632" s="126"/>
      <c r="N632" s="126"/>
      <c r="O632" s="126"/>
      <c r="P632" s="126"/>
    </row>
    <row r="633" spans="1:16" ht="15.5" x14ac:dyDescent="0.35">
      <c r="J633" s="126"/>
      <c r="K633" s="126"/>
      <c r="L633" s="126"/>
      <c r="M633" s="126"/>
      <c r="N633" s="126"/>
      <c r="O633" s="126"/>
      <c r="P633" s="126"/>
    </row>
    <row r="634" spans="1:16" ht="15.5" x14ac:dyDescent="0.35">
      <c r="J634" s="126"/>
      <c r="K634" s="126"/>
      <c r="L634" s="126"/>
      <c r="M634" s="126"/>
      <c r="N634" s="126"/>
      <c r="O634" s="126"/>
      <c r="P634" s="126"/>
    </row>
    <row r="635" spans="1:16" ht="15.5" x14ac:dyDescent="0.35">
      <c r="J635" s="126"/>
      <c r="K635" s="126"/>
      <c r="L635" s="126"/>
      <c r="M635" s="126"/>
      <c r="N635" s="126"/>
      <c r="O635" s="126"/>
      <c r="P635" s="126"/>
    </row>
    <row r="636" spans="1:16" ht="15.5" x14ac:dyDescent="0.35">
      <c r="J636" s="126"/>
      <c r="K636" s="126"/>
      <c r="L636" s="126"/>
      <c r="M636" s="126"/>
      <c r="N636" s="126"/>
      <c r="O636" s="126"/>
      <c r="P636" s="126"/>
    </row>
    <row r="637" spans="1:16" ht="15.5" x14ac:dyDescent="0.35">
      <c r="J637" s="126"/>
      <c r="K637" s="126"/>
      <c r="L637" s="126"/>
      <c r="M637" s="126"/>
      <c r="N637" s="126"/>
      <c r="O637" s="126"/>
      <c r="P637" s="126"/>
    </row>
    <row r="638" spans="1:16" ht="15.5" x14ac:dyDescent="0.35">
      <c r="J638" s="126"/>
      <c r="K638" s="126"/>
      <c r="L638" s="126"/>
      <c r="M638" s="126"/>
      <c r="N638" s="126"/>
      <c r="O638" s="126"/>
      <c r="P638" s="126"/>
    </row>
    <row r="639" spans="1:16" s="167" customFormat="1" ht="15.5" x14ac:dyDescent="0.35">
      <c r="A639" s="161"/>
      <c r="B639"/>
      <c r="C639"/>
      <c r="D639" s="161"/>
      <c r="E639" s="161"/>
      <c r="F639" s="161"/>
      <c r="G639" s="161"/>
      <c r="J639" s="127"/>
      <c r="K639" s="127"/>
      <c r="L639" s="127"/>
      <c r="M639" s="127"/>
      <c r="N639" s="127"/>
      <c r="O639" s="127"/>
      <c r="P639" s="127"/>
    </row>
    <row r="640" spans="1:16" ht="15.5" x14ac:dyDescent="0.35">
      <c r="J640" s="126"/>
      <c r="K640" s="126"/>
      <c r="L640" s="126"/>
      <c r="M640" s="126"/>
      <c r="N640" s="126"/>
      <c r="O640" s="126"/>
      <c r="P640" s="126"/>
    </row>
    <row r="641" spans="1:16" ht="15.5" x14ac:dyDescent="0.35">
      <c r="J641" s="126"/>
      <c r="K641" s="126"/>
      <c r="L641" s="126"/>
      <c r="M641" s="126"/>
      <c r="N641" s="126"/>
      <c r="O641" s="126"/>
      <c r="P641" s="126"/>
    </row>
    <row r="642" spans="1:16" ht="15.5" x14ac:dyDescent="0.35">
      <c r="J642" s="126"/>
      <c r="K642" s="126"/>
      <c r="L642" s="126"/>
      <c r="M642" s="126"/>
      <c r="N642" s="126"/>
      <c r="O642" s="126"/>
      <c r="P642" s="126"/>
    </row>
    <row r="643" spans="1:16" ht="15.5" x14ac:dyDescent="0.35">
      <c r="J643" s="126"/>
      <c r="K643" s="126"/>
      <c r="L643" s="126"/>
      <c r="M643" s="126"/>
      <c r="N643" s="126"/>
      <c r="O643" s="126"/>
      <c r="P643" s="126"/>
    </row>
    <row r="644" spans="1:16" ht="15.5" x14ac:dyDescent="0.35">
      <c r="J644" s="126"/>
      <c r="K644" s="126"/>
      <c r="L644" s="126"/>
      <c r="M644" s="126"/>
      <c r="N644" s="126"/>
      <c r="O644" s="126"/>
      <c r="P644" s="126"/>
    </row>
    <row r="645" spans="1:16" ht="15.5" x14ac:dyDescent="0.35">
      <c r="J645" s="126"/>
      <c r="K645" s="126"/>
      <c r="L645" s="126"/>
      <c r="M645" s="126"/>
      <c r="N645" s="126"/>
      <c r="O645" s="126"/>
      <c r="P645" s="126"/>
    </row>
    <row r="646" spans="1:16" ht="15.5" x14ac:dyDescent="0.35">
      <c r="J646" s="126"/>
      <c r="K646" s="126"/>
      <c r="L646" s="126"/>
      <c r="M646" s="126"/>
      <c r="N646" s="126"/>
      <c r="O646" s="126"/>
      <c r="P646" s="126"/>
    </row>
    <row r="647" spans="1:16" s="167" customFormat="1" ht="15.5" x14ac:dyDescent="0.35">
      <c r="A647" s="161"/>
      <c r="B647"/>
      <c r="C647"/>
      <c r="D647" s="161"/>
      <c r="E647" s="161"/>
      <c r="F647" s="161"/>
      <c r="G647" s="161"/>
      <c r="J647" s="127"/>
      <c r="K647" s="127"/>
      <c r="L647" s="127"/>
      <c r="M647" s="127"/>
      <c r="N647" s="127"/>
      <c r="O647" s="127"/>
      <c r="P647" s="127"/>
    </row>
    <row r="648" spans="1:16" ht="15.5" x14ac:dyDescent="0.35">
      <c r="J648" s="126"/>
      <c r="K648" s="126"/>
      <c r="L648" s="126"/>
      <c r="M648" s="126"/>
      <c r="N648" s="126"/>
      <c r="O648" s="126"/>
      <c r="P648" s="126"/>
    </row>
    <row r="649" spans="1:16" ht="15.5" x14ac:dyDescent="0.35">
      <c r="J649" s="126"/>
      <c r="K649" s="126"/>
      <c r="L649" s="126"/>
      <c r="M649" s="126"/>
      <c r="N649" s="126"/>
      <c r="O649" s="126"/>
      <c r="P649" s="126"/>
    </row>
    <row r="650" spans="1:16" ht="15.5" x14ac:dyDescent="0.35">
      <c r="J650" s="126"/>
      <c r="K650" s="126"/>
      <c r="L650" s="126"/>
      <c r="M650" s="126"/>
      <c r="N650" s="126"/>
      <c r="O650" s="126"/>
      <c r="P650" s="126"/>
    </row>
    <row r="651" spans="1:16" ht="15.5" x14ac:dyDescent="0.35">
      <c r="J651" s="126"/>
      <c r="K651" s="126"/>
      <c r="L651" s="126"/>
      <c r="M651" s="126"/>
      <c r="N651" s="126"/>
      <c r="O651" s="126"/>
      <c r="P651" s="126"/>
    </row>
    <row r="652" spans="1:16" ht="15.5" x14ac:dyDescent="0.35">
      <c r="J652" s="126"/>
      <c r="K652" s="126"/>
      <c r="L652" s="126"/>
      <c r="M652" s="126"/>
      <c r="N652" s="126"/>
      <c r="O652" s="126"/>
      <c r="P652" s="126"/>
    </row>
    <row r="653" spans="1:16" ht="15.5" x14ac:dyDescent="0.35">
      <c r="J653" s="126"/>
      <c r="K653" s="126"/>
      <c r="L653" s="126"/>
      <c r="M653" s="126"/>
      <c r="N653" s="126"/>
      <c r="O653" s="126"/>
      <c r="P653" s="126"/>
    </row>
    <row r="654" spans="1:16" ht="15.5" x14ac:dyDescent="0.35">
      <c r="J654" s="126"/>
      <c r="K654" s="126"/>
      <c r="L654" s="126"/>
      <c r="M654" s="126"/>
      <c r="N654" s="126"/>
      <c r="O654" s="126"/>
      <c r="P654" s="126"/>
    </row>
    <row r="655" spans="1:16" ht="15.5" x14ac:dyDescent="0.35">
      <c r="J655" s="126"/>
      <c r="K655" s="126"/>
      <c r="L655" s="126"/>
      <c r="M655" s="126"/>
      <c r="N655" s="126"/>
      <c r="O655" s="126"/>
      <c r="P655" s="126"/>
    </row>
    <row r="656" spans="1:16" ht="15.5" x14ac:dyDescent="0.35">
      <c r="J656" s="126"/>
      <c r="K656" s="126"/>
      <c r="L656" s="126"/>
      <c r="M656" s="126"/>
      <c r="N656" s="126"/>
      <c r="O656" s="126"/>
      <c r="P656" s="126"/>
    </row>
    <row r="657" spans="10:16" ht="15.5" x14ac:dyDescent="0.35">
      <c r="J657" s="126"/>
      <c r="K657" s="126"/>
      <c r="L657" s="126"/>
      <c r="M657" s="126"/>
      <c r="N657" s="126"/>
      <c r="O657" s="126"/>
      <c r="P657" s="126"/>
    </row>
    <row r="658" spans="10:16" ht="15.5" x14ac:dyDescent="0.35">
      <c r="J658" s="126"/>
      <c r="K658" s="126"/>
      <c r="L658" s="126"/>
      <c r="M658" s="126"/>
      <c r="N658" s="126"/>
      <c r="O658" s="126"/>
      <c r="P658" s="126"/>
    </row>
    <row r="659" spans="10:16" ht="15.5" x14ac:dyDescent="0.35">
      <c r="J659" s="126"/>
      <c r="K659" s="126"/>
      <c r="L659" s="126"/>
      <c r="M659" s="126"/>
      <c r="N659" s="126"/>
      <c r="O659" s="126"/>
      <c r="P659" s="126"/>
    </row>
    <row r="660" spans="10:16" ht="15.5" x14ac:dyDescent="0.35">
      <c r="J660" s="126"/>
      <c r="K660" s="126"/>
      <c r="L660" s="126"/>
      <c r="M660" s="126"/>
      <c r="N660" s="126"/>
      <c r="O660" s="126"/>
      <c r="P660" s="126"/>
    </row>
    <row r="661" spans="10:16" ht="15.5" x14ac:dyDescent="0.35">
      <c r="J661" s="126"/>
      <c r="K661" s="126"/>
      <c r="L661" s="126"/>
      <c r="M661" s="126"/>
      <c r="N661" s="126"/>
      <c r="O661" s="126"/>
      <c r="P661" s="126"/>
    </row>
    <row r="662" spans="10:16" ht="15.5" x14ac:dyDescent="0.35">
      <c r="J662" s="126"/>
      <c r="K662" s="126"/>
      <c r="L662" s="126"/>
      <c r="M662" s="126"/>
      <c r="N662" s="126"/>
      <c r="O662" s="126"/>
      <c r="P662" s="126"/>
    </row>
    <row r="663" spans="10:16" ht="15.5" x14ac:dyDescent="0.35">
      <c r="J663" s="126"/>
      <c r="K663" s="126"/>
      <c r="L663" s="126"/>
      <c r="M663" s="126"/>
      <c r="N663" s="126"/>
      <c r="O663" s="126"/>
      <c r="P663" s="126"/>
    </row>
    <row r="664" spans="10:16" ht="15.5" x14ac:dyDescent="0.35">
      <c r="J664" s="126"/>
      <c r="K664" s="126"/>
      <c r="L664" s="126"/>
      <c r="M664" s="126"/>
      <c r="N664" s="126"/>
      <c r="O664" s="126"/>
      <c r="P664" s="126"/>
    </row>
    <row r="665" spans="10:16" ht="15.5" x14ac:dyDescent="0.35">
      <c r="J665" s="126"/>
      <c r="K665" s="126"/>
      <c r="L665" s="126"/>
      <c r="M665" s="126"/>
      <c r="N665" s="126"/>
      <c r="O665" s="126"/>
      <c r="P665" s="126"/>
    </row>
    <row r="666" spans="10:16" ht="15.5" x14ac:dyDescent="0.35">
      <c r="J666" s="126"/>
      <c r="K666" s="126"/>
      <c r="L666" s="126"/>
      <c r="M666" s="126"/>
      <c r="N666" s="126"/>
      <c r="O666" s="126"/>
      <c r="P666" s="126"/>
    </row>
    <row r="667" spans="10:16" ht="15.5" x14ac:dyDescent="0.35">
      <c r="J667" s="126"/>
      <c r="K667" s="126"/>
      <c r="L667" s="126"/>
      <c r="M667" s="126"/>
      <c r="N667" s="126"/>
      <c r="O667" s="126"/>
      <c r="P667" s="126"/>
    </row>
    <row r="668" spans="10:16" ht="15.5" x14ac:dyDescent="0.35">
      <c r="J668" s="126"/>
      <c r="K668" s="126"/>
      <c r="L668" s="126"/>
      <c r="M668" s="126"/>
      <c r="N668" s="126"/>
      <c r="O668" s="126"/>
      <c r="P668" s="126"/>
    </row>
    <row r="669" spans="10:16" ht="15.5" x14ac:dyDescent="0.35">
      <c r="J669" s="126"/>
      <c r="K669" s="126"/>
      <c r="L669" s="126"/>
      <c r="M669" s="126"/>
      <c r="N669" s="126"/>
      <c r="O669" s="126"/>
      <c r="P669" s="126"/>
    </row>
    <row r="670" spans="10:16" ht="15.5" x14ac:dyDescent="0.35">
      <c r="J670" s="126"/>
      <c r="K670" s="126"/>
      <c r="L670" s="126"/>
      <c r="M670" s="126"/>
      <c r="N670" s="126"/>
      <c r="O670" s="126"/>
      <c r="P670" s="126"/>
    </row>
    <row r="671" spans="10:16" ht="15.5" x14ac:dyDescent="0.35">
      <c r="J671" s="126"/>
      <c r="K671" s="126"/>
      <c r="L671" s="126"/>
      <c r="M671" s="126"/>
      <c r="N671" s="126"/>
      <c r="O671" s="126"/>
      <c r="P671" s="126"/>
    </row>
    <row r="672" spans="10:16" ht="15.5" x14ac:dyDescent="0.35">
      <c r="J672" s="126"/>
      <c r="K672" s="126"/>
      <c r="L672" s="126"/>
      <c r="M672" s="126"/>
      <c r="N672" s="126"/>
      <c r="O672" s="126"/>
      <c r="P672" s="126"/>
    </row>
    <row r="673" spans="10:16" ht="15.5" x14ac:dyDescent="0.35">
      <c r="J673" s="126"/>
      <c r="K673" s="126"/>
      <c r="L673" s="126"/>
      <c r="M673" s="126"/>
      <c r="N673" s="126"/>
      <c r="O673" s="126"/>
      <c r="P673" s="126"/>
    </row>
    <row r="674" spans="10:16" ht="15.5" x14ac:dyDescent="0.35">
      <c r="J674" s="126"/>
      <c r="K674" s="126"/>
      <c r="L674" s="126"/>
      <c r="M674" s="126"/>
      <c r="N674" s="126"/>
      <c r="O674" s="126"/>
      <c r="P674" s="126"/>
    </row>
    <row r="675" spans="10:16" ht="15.5" x14ac:dyDescent="0.35">
      <c r="J675" s="126"/>
      <c r="K675" s="126"/>
      <c r="L675" s="126"/>
      <c r="M675" s="126"/>
      <c r="N675" s="126"/>
      <c r="O675" s="126"/>
      <c r="P675" s="126"/>
    </row>
    <row r="676" spans="10:16" ht="15.5" x14ac:dyDescent="0.35">
      <c r="J676" s="126"/>
      <c r="K676" s="126"/>
      <c r="L676" s="126"/>
      <c r="M676" s="126"/>
      <c r="N676" s="126"/>
      <c r="O676" s="126"/>
      <c r="P676" s="126"/>
    </row>
    <row r="677" spans="10:16" ht="15.5" x14ac:dyDescent="0.35">
      <c r="J677" s="126"/>
      <c r="K677" s="126"/>
      <c r="L677" s="126"/>
      <c r="M677" s="126"/>
      <c r="N677" s="126"/>
      <c r="O677" s="126"/>
      <c r="P677" s="126"/>
    </row>
    <row r="678" spans="10:16" ht="15.5" x14ac:dyDescent="0.35">
      <c r="J678" s="126"/>
      <c r="K678" s="126"/>
      <c r="L678" s="126"/>
      <c r="M678" s="126"/>
      <c r="N678" s="126"/>
      <c r="O678" s="126"/>
      <c r="P678" s="126"/>
    </row>
    <row r="679" spans="10:16" ht="15.5" x14ac:dyDescent="0.35">
      <c r="J679" s="126"/>
      <c r="K679" s="126"/>
      <c r="L679" s="126"/>
      <c r="M679" s="126"/>
      <c r="N679" s="126"/>
      <c r="O679" s="126"/>
      <c r="P679" s="126"/>
    </row>
    <row r="680" spans="10:16" ht="15.5" x14ac:dyDescent="0.35">
      <c r="J680" s="126"/>
      <c r="K680" s="126"/>
      <c r="L680" s="126"/>
      <c r="M680" s="126"/>
      <c r="N680" s="126"/>
      <c r="O680" s="126"/>
      <c r="P680" s="126"/>
    </row>
    <row r="681" spans="10:16" ht="15.5" x14ac:dyDescent="0.35">
      <c r="J681" s="126"/>
      <c r="K681" s="126"/>
      <c r="L681" s="126"/>
      <c r="M681" s="126"/>
      <c r="N681" s="126"/>
      <c r="O681" s="126"/>
      <c r="P681" s="126"/>
    </row>
    <row r="682" spans="10:16" ht="15.5" x14ac:dyDescent="0.35">
      <c r="J682" s="126"/>
      <c r="K682" s="126"/>
      <c r="L682" s="126"/>
      <c r="M682" s="126"/>
      <c r="N682" s="126"/>
      <c r="O682" s="126"/>
      <c r="P682" s="126"/>
    </row>
    <row r="683" spans="10:16" ht="15.5" x14ac:dyDescent="0.35">
      <c r="J683" s="126"/>
      <c r="K683" s="126"/>
      <c r="L683" s="126"/>
      <c r="M683" s="126"/>
      <c r="N683" s="126"/>
      <c r="O683" s="126"/>
      <c r="P683" s="126"/>
    </row>
    <row r="684" spans="10:16" ht="15.5" x14ac:dyDescent="0.35">
      <c r="J684" s="126"/>
      <c r="K684" s="126"/>
      <c r="L684" s="126"/>
      <c r="M684" s="126"/>
      <c r="N684" s="126"/>
      <c r="O684" s="126"/>
      <c r="P684" s="126"/>
    </row>
    <row r="685" spans="10:16" ht="15.5" x14ac:dyDescent="0.35">
      <c r="J685" s="126"/>
      <c r="K685" s="126"/>
      <c r="L685" s="126"/>
      <c r="M685" s="126"/>
      <c r="N685" s="126"/>
      <c r="O685" s="126"/>
      <c r="P685" s="126"/>
    </row>
    <row r="686" spans="10:16" ht="15.5" x14ac:dyDescent="0.35">
      <c r="J686" s="126"/>
      <c r="K686" s="126"/>
      <c r="L686" s="126"/>
      <c r="M686" s="126"/>
      <c r="N686" s="126"/>
      <c r="O686" s="126"/>
      <c r="P686" s="126"/>
    </row>
    <row r="687" spans="10:16" ht="15.5" x14ac:dyDescent="0.35">
      <c r="J687" s="126"/>
      <c r="K687" s="126"/>
      <c r="L687" s="126"/>
      <c r="M687" s="126"/>
      <c r="N687" s="126"/>
      <c r="O687" s="126"/>
      <c r="P687" s="126"/>
    </row>
    <row r="688" spans="10:16" ht="15.5" x14ac:dyDescent="0.35">
      <c r="J688" s="126"/>
      <c r="K688" s="126"/>
      <c r="L688" s="126"/>
      <c r="M688" s="126"/>
      <c r="N688" s="126"/>
      <c r="O688" s="126"/>
      <c r="P688" s="126"/>
    </row>
    <row r="689" spans="10:16" ht="15.5" x14ac:dyDescent="0.35">
      <c r="J689" s="126"/>
      <c r="K689" s="126"/>
      <c r="L689" s="126"/>
      <c r="M689" s="126"/>
      <c r="N689" s="126"/>
      <c r="O689" s="126"/>
      <c r="P689" s="126"/>
    </row>
    <row r="690" spans="10:16" ht="15.5" x14ac:dyDescent="0.35">
      <c r="J690" s="126"/>
      <c r="K690" s="126"/>
      <c r="L690" s="126"/>
      <c r="M690" s="126"/>
      <c r="N690" s="126"/>
      <c r="O690" s="126"/>
      <c r="P690" s="126"/>
    </row>
    <row r="691" spans="10:16" ht="15.5" x14ac:dyDescent="0.35">
      <c r="J691" s="126"/>
      <c r="K691" s="126"/>
      <c r="L691" s="126"/>
      <c r="M691" s="126"/>
      <c r="N691" s="126"/>
      <c r="O691" s="126"/>
      <c r="P691" s="126"/>
    </row>
    <row r="692" spans="10:16" ht="15.5" x14ac:dyDescent="0.35">
      <c r="J692" s="126"/>
      <c r="K692" s="126"/>
      <c r="L692" s="126"/>
      <c r="M692" s="126"/>
      <c r="N692" s="126"/>
      <c r="O692" s="126"/>
      <c r="P692" s="126"/>
    </row>
    <row r="693" spans="10:16" ht="15.5" x14ac:dyDescent="0.35">
      <c r="J693" s="126"/>
      <c r="K693" s="126"/>
      <c r="L693" s="126"/>
      <c r="M693" s="126"/>
      <c r="N693" s="126"/>
      <c r="O693" s="126"/>
      <c r="P693" s="126"/>
    </row>
    <row r="694" spans="10:16" ht="15.5" x14ac:dyDescent="0.35">
      <c r="J694" s="126"/>
      <c r="K694" s="126"/>
      <c r="L694" s="126"/>
      <c r="M694" s="126"/>
      <c r="N694" s="126"/>
      <c r="O694" s="126"/>
      <c r="P694" s="126"/>
    </row>
    <row r="695" spans="10:16" ht="15.5" x14ac:dyDescent="0.35">
      <c r="J695" s="126"/>
      <c r="K695" s="126"/>
      <c r="L695" s="126"/>
      <c r="M695" s="126"/>
      <c r="N695" s="126"/>
      <c r="O695" s="126"/>
      <c r="P695" s="126"/>
    </row>
    <row r="696" spans="10:16" ht="15.5" x14ac:dyDescent="0.35">
      <c r="J696" s="126"/>
      <c r="K696" s="126"/>
      <c r="L696" s="126"/>
      <c r="M696" s="126"/>
      <c r="N696" s="126"/>
      <c r="O696" s="126"/>
      <c r="P696" s="126"/>
    </row>
    <row r="697" spans="10:16" ht="15.5" x14ac:dyDescent="0.35">
      <c r="J697" s="126"/>
      <c r="K697" s="126"/>
      <c r="L697" s="126"/>
      <c r="M697" s="126"/>
      <c r="N697" s="126"/>
      <c r="O697" s="126"/>
      <c r="P697" s="126"/>
    </row>
    <row r="698" spans="10:16" ht="15.5" x14ac:dyDescent="0.35">
      <c r="J698" s="126"/>
      <c r="K698" s="126"/>
      <c r="L698" s="126"/>
      <c r="M698" s="126"/>
      <c r="N698" s="126"/>
      <c r="O698" s="126"/>
      <c r="P698" s="126"/>
    </row>
    <row r="699" spans="10:16" ht="15.5" x14ac:dyDescent="0.35">
      <c r="J699" s="126"/>
      <c r="K699" s="126"/>
      <c r="L699" s="126"/>
      <c r="M699" s="126"/>
      <c r="N699" s="126"/>
      <c r="O699" s="126"/>
      <c r="P699" s="126"/>
    </row>
    <row r="700" spans="10:16" ht="15.5" x14ac:dyDescent="0.35">
      <c r="J700" s="126"/>
      <c r="K700" s="126"/>
      <c r="L700" s="126"/>
      <c r="M700" s="126"/>
      <c r="N700" s="126"/>
      <c r="O700" s="126"/>
      <c r="P700" s="126"/>
    </row>
    <row r="701" spans="10:16" ht="15.5" x14ac:dyDescent="0.35">
      <c r="J701" s="126"/>
      <c r="K701" s="126"/>
      <c r="L701" s="126"/>
      <c r="M701" s="126"/>
      <c r="N701" s="126"/>
      <c r="O701" s="126"/>
      <c r="P701" s="126"/>
    </row>
    <row r="702" spans="10:16" ht="15.5" x14ac:dyDescent="0.35">
      <c r="J702" s="126"/>
      <c r="K702" s="126"/>
      <c r="L702" s="126"/>
      <c r="M702" s="126"/>
      <c r="N702" s="126"/>
      <c r="O702" s="126"/>
      <c r="P702" s="126"/>
    </row>
    <row r="703" spans="10:16" ht="15.5" x14ac:dyDescent="0.35">
      <c r="J703" s="126"/>
      <c r="K703" s="126"/>
      <c r="L703" s="126"/>
      <c r="M703" s="126"/>
      <c r="N703" s="126"/>
      <c r="O703" s="126"/>
      <c r="P703" s="126"/>
    </row>
    <row r="704" spans="10:16" ht="15.5" x14ac:dyDescent="0.35">
      <c r="J704" s="126"/>
      <c r="K704" s="126"/>
      <c r="L704" s="126"/>
      <c r="M704" s="126"/>
      <c r="N704" s="126"/>
      <c r="O704" s="126"/>
      <c r="P704" s="126"/>
    </row>
    <row r="705" spans="10:16" ht="15.5" x14ac:dyDescent="0.35">
      <c r="J705" s="126"/>
      <c r="K705" s="126"/>
      <c r="L705" s="126"/>
      <c r="M705" s="126"/>
      <c r="N705" s="126"/>
      <c r="O705" s="126"/>
      <c r="P705" s="126"/>
    </row>
    <row r="706" spans="10:16" ht="15.5" x14ac:dyDescent="0.35">
      <c r="J706" s="126"/>
      <c r="K706" s="126"/>
      <c r="L706" s="126"/>
      <c r="M706" s="126"/>
      <c r="N706" s="126"/>
      <c r="O706" s="126"/>
      <c r="P706" s="126"/>
    </row>
    <row r="707" spans="10:16" ht="15.5" x14ac:dyDescent="0.35">
      <c r="J707" s="126"/>
      <c r="K707" s="126"/>
      <c r="L707" s="126"/>
      <c r="M707" s="126"/>
      <c r="N707" s="126"/>
      <c r="O707" s="126"/>
      <c r="P707" s="126"/>
    </row>
    <row r="708" spans="10:16" ht="15.5" x14ac:dyDescent="0.35">
      <c r="J708" s="126"/>
      <c r="K708" s="126"/>
      <c r="L708" s="126"/>
      <c r="M708" s="126"/>
      <c r="N708" s="126"/>
      <c r="O708" s="126"/>
      <c r="P708" s="126"/>
    </row>
    <row r="709" spans="10:16" ht="15.5" x14ac:dyDescent="0.35">
      <c r="J709" s="126"/>
      <c r="K709" s="126"/>
      <c r="L709" s="126"/>
      <c r="M709" s="126"/>
      <c r="N709" s="126"/>
      <c r="O709" s="126"/>
      <c r="P709" s="126"/>
    </row>
    <row r="710" spans="10:16" ht="15.5" x14ac:dyDescent="0.35">
      <c r="J710" s="126"/>
      <c r="K710" s="126"/>
      <c r="L710" s="126"/>
      <c r="M710" s="126"/>
      <c r="N710" s="126"/>
      <c r="O710" s="126"/>
      <c r="P710" s="126"/>
    </row>
    <row r="711" spans="10:16" ht="15.5" x14ac:dyDescent="0.35">
      <c r="J711" s="126"/>
      <c r="K711" s="126"/>
      <c r="L711" s="126"/>
      <c r="M711" s="126"/>
      <c r="N711" s="126"/>
      <c r="O711" s="126"/>
      <c r="P711" s="126"/>
    </row>
    <row r="712" spans="10:16" ht="15.5" x14ac:dyDescent="0.35">
      <c r="J712" s="126"/>
      <c r="K712" s="126"/>
      <c r="L712" s="126"/>
      <c r="M712" s="126"/>
      <c r="N712" s="126"/>
      <c r="O712" s="126"/>
      <c r="P712" s="126"/>
    </row>
    <row r="713" spans="10:16" ht="15.5" x14ac:dyDescent="0.35">
      <c r="J713" s="126"/>
      <c r="K713" s="126"/>
      <c r="L713" s="126"/>
      <c r="M713" s="126"/>
      <c r="N713" s="126"/>
      <c r="O713" s="126"/>
      <c r="P713" s="126"/>
    </row>
    <row r="714" spans="10:16" ht="15.5" x14ac:dyDescent="0.35">
      <c r="J714" s="126"/>
      <c r="K714" s="126"/>
      <c r="L714" s="126"/>
      <c r="M714" s="126"/>
      <c r="N714" s="126"/>
      <c r="O714" s="126"/>
      <c r="P714" s="126"/>
    </row>
    <row r="715" spans="10:16" ht="15.5" x14ac:dyDescent="0.35">
      <c r="J715" s="126"/>
      <c r="K715" s="126"/>
      <c r="L715" s="126"/>
      <c r="M715" s="126"/>
      <c r="N715" s="126"/>
      <c r="O715" s="126"/>
      <c r="P715" s="126"/>
    </row>
    <row r="716" spans="10:16" ht="15.5" x14ac:dyDescent="0.35">
      <c r="J716" s="126"/>
      <c r="K716" s="126"/>
      <c r="L716" s="126"/>
      <c r="M716" s="126"/>
      <c r="N716" s="126"/>
      <c r="O716" s="126"/>
      <c r="P716" s="126"/>
    </row>
    <row r="717" spans="10:16" ht="15.5" x14ac:dyDescent="0.35">
      <c r="J717" s="126"/>
      <c r="K717" s="126"/>
      <c r="L717" s="126"/>
      <c r="M717" s="126"/>
      <c r="N717" s="126"/>
      <c r="O717" s="126"/>
      <c r="P717" s="126"/>
    </row>
    <row r="718" spans="10:16" ht="15.5" x14ac:dyDescent="0.35">
      <c r="J718" s="126"/>
      <c r="K718" s="126"/>
      <c r="L718" s="126"/>
      <c r="M718" s="126"/>
      <c r="N718" s="126"/>
      <c r="O718" s="126"/>
      <c r="P718" s="126"/>
    </row>
    <row r="719" spans="10:16" ht="15.5" x14ac:dyDescent="0.35">
      <c r="J719" s="126"/>
      <c r="K719" s="126"/>
      <c r="L719" s="126"/>
      <c r="M719" s="126"/>
      <c r="N719" s="126"/>
      <c r="O719" s="126"/>
      <c r="P719" s="126"/>
    </row>
    <row r="720" spans="10:16" ht="15.5" x14ac:dyDescent="0.35">
      <c r="J720" s="126"/>
      <c r="K720" s="126"/>
      <c r="L720" s="126"/>
      <c r="M720" s="126"/>
      <c r="N720" s="126"/>
      <c r="O720" s="126"/>
      <c r="P720" s="126"/>
    </row>
    <row r="721" spans="1:16" ht="15.5" x14ac:dyDescent="0.35">
      <c r="J721" s="126"/>
      <c r="K721" s="126"/>
      <c r="L721" s="126"/>
      <c r="M721" s="126"/>
      <c r="N721" s="126"/>
      <c r="O721" s="126"/>
      <c r="P721" s="126"/>
    </row>
    <row r="722" spans="1:16" ht="15.5" x14ac:dyDescent="0.35">
      <c r="J722" s="126"/>
      <c r="K722" s="126"/>
      <c r="L722" s="126"/>
      <c r="M722" s="126"/>
      <c r="N722" s="126"/>
      <c r="O722" s="126"/>
      <c r="P722" s="126"/>
    </row>
    <row r="723" spans="1:16" ht="15.5" x14ac:dyDescent="0.35">
      <c r="J723" s="126"/>
      <c r="K723" s="126"/>
      <c r="L723" s="126"/>
      <c r="M723" s="126"/>
      <c r="N723" s="126"/>
      <c r="O723" s="126"/>
      <c r="P723" s="126"/>
    </row>
    <row r="724" spans="1:16" ht="15.5" x14ac:dyDescent="0.35">
      <c r="J724" s="126"/>
      <c r="K724" s="126"/>
      <c r="L724" s="126"/>
      <c r="M724" s="126"/>
      <c r="N724" s="126"/>
      <c r="O724" s="126"/>
      <c r="P724" s="126"/>
    </row>
    <row r="725" spans="1:16" ht="15.5" x14ac:dyDescent="0.35">
      <c r="J725" s="126"/>
      <c r="K725" s="126"/>
      <c r="L725" s="126"/>
      <c r="M725" s="126"/>
      <c r="N725" s="126"/>
      <c r="O725" s="126"/>
      <c r="P725" s="126"/>
    </row>
    <row r="726" spans="1:16" ht="15.5" x14ac:dyDescent="0.35">
      <c r="J726" s="126"/>
      <c r="K726" s="126"/>
      <c r="L726" s="126"/>
      <c r="M726" s="126"/>
      <c r="N726" s="126"/>
      <c r="O726" s="126"/>
      <c r="P726" s="126"/>
    </row>
    <row r="727" spans="1:16" ht="15.5" x14ac:dyDescent="0.35">
      <c r="J727" s="126"/>
      <c r="K727" s="126"/>
      <c r="L727" s="126"/>
      <c r="M727" s="126"/>
      <c r="N727" s="126"/>
      <c r="O727" s="126"/>
      <c r="P727" s="126"/>
    </row>
    <row r="728" spans="1:16" ht="15.5" x14ac:dyDescent="0.35">
      <c r="J728" s="126"/>
      <c r="K728" s="126"/>
      <c r="L728" s="126"/>
      <c r="M728" s="126"/>
      <c r="N728" s="126"/>
      <c r="O728" s="126"/>
      <c r="P728" s="126"/>
    </row>
    <row r="729" spans="1:16" ht="15.5" x14ac:dyDescent="0.35">
      <c r="J729" s="126"/>
      <c r="K729" s="126"/>
      <c r="L729" s="126"/>
      <c r="M729" s="126"/>
      <c r="N729" s="126"/>
      <c r="O729" s="126"/>
      <c r="P729" s="126"/>
    </row>
    <row r="730" spans="1:16" ht="15.5" x14ac:dyDescent="0.35">
      <c r="J730" s="126"/>
      <c r="K730" s="126"/>
      <c r="L730" s="126"/>
      <c r="M730" s="126"/>
      <c r="N730" s="126"/>
      <c r="O730" s="126"/>
      <c r="P730" s="126"/>
    </row>
    <row r="731" spans="1:16" ht="15.5" x14ac:dyDescent="0.35">
      <c r="J731" s="126"/>
      <c r="K731" s="126"/>
      <c r="L731" s="126"/>
      <c r="M731" s="126"/>
      <c r="N731" s="126"/>
      <c r="O731" s="126"/>
      <c r="P731" s="126"/>
    </row>
    <row r="732" spans="1:16" ht="15.5" x14ac:dyDescent="0.35">
      <c r="J732" s="126"/>
      <c r="K732" s="126"/>
      <c r="L732" s="126"/>
      <c r="M732" s="126"/>
      <c r="N732" s="126"/>
      <c r="O732" s="126"/>
      <c r="P732" s="126"/>
    </row>
    <row r="733" spans="1:16" ht="15.5" x14ac:dyDescent="0.35">
      <c r="J733" s="126"/>
      <c r="K733" s="126"/>
      <c r="L733" s="126"/>
      <c r="M733" s="126"/>
      <c r="N733" s="126"/>
      <c r="O733" s="126"/>
      <c r="P733" s="126"/>
    </row>
    <row r="734" spans="1:16" s="167" customFormat="1" ht="15.5" x14ac:dyDescent="0.35">
      <c r="A734" s="161"/>
      <c r="B734"/>
      <c r="C734"/>
      <c r="D734" s="161"/>
      <c r="E734" s="161"/>
      <c r="F734" s="161"/>
      <c r="G734" s="161"/>
      <c r="J734" s="127"/>
      <c r="K734" s="127"/>
      <c r="L734" s="127"/>
      <c r="M734" s="127"/>
      <c r="N734" s="127"/>
      <c r="O734" s="127"/>
      <c r="P734" s="127"/>
    </row>
    <row r="735" spans="1:16" ht="15.5" x14ac:dyDescent="0.35">
      <c r="J735" s="126"/>
      <c r="K735" s="126"/>
      <c r="L735" s="126"/>
      <c r="M735" s="126"/>
      <c r="N735" s="126"/>
      <c r="O735" s="126"/>
      <c r="P735" s="126"/>
    </row>
    <row r="736" spans="1:16" ht="15.5" x14ac:dyDescent="0.35">
      <c r="J736" s="126"/>
      <c r="K736" s="126"/>
      <c r="L736" s="126"/>
      <c r="M736" s="126"/>
      <c r="N736" s="126"/>
      <c r="O736" s="126"/>
      <c r="P736" s="126"/>
    </row>
    <row r="737" spans="10:16" ht="15.5" x14ac:dyDescent="0.35">
      <c r="J737" s="126"/>
      <c r="K737" s="126"/>
      <c r="L737" s="126"/>
      <c r="M737" s="126"/>
      <c r="N737" s="126"/>
      <c r="O737" s="126"/>
      <c r="P737" s="126"/>
    </row>
    <row r="738" spans="10:16" ht="15.5" x14ac:dyDescent="0.35">
      <c r="J738" s="126"/>
      <c r="K738" s="126"/>
      <c r="L738" s="126"/>
      <c r="M738" s="126"/>
      <c r="N738" s="126"/>
      <c r="O738" s="126"/>
      <c r="P738" s="126"/>
    </row>
    <row r="739" spans="10:16" ht="15.5" x14ac:dyDescent="0.35">
      <c r="J739" s="126"/>
      <c r="K739" s="126"/>
      <c r="L739" s="126"/>
      <c r="M739" s="126"/>
      <c r="N739" s="126"/>
      <c r="O739" s="126"/>
      <c r="P739" s="126"/>
    </row>
    <row r="740" spans="10:16" ht="15.5" x14ac:dyDescent="0.35">
      <c r="J740" s="126"/>
      <c r="K740" s="126"/>
      <c r="L740" s="126"/>
      <c r="M740" s="126"/>
      <c r="N740" s="126"/>
      <c r="O740" s="126"/>
      <c r="P740" s="126"/>
    </row>
    <row r="741" spans="10:16" ht="15.5" x14ac:dyDescent="0.35">
      <c r="J741" s="126"/>
      <c r="K741" s="126"/>
      <c r="L741" s="126"/>
      <c r="M741" s="126"/>
      <c r="N741" s="126"/>
      <c r="O741" s="126"/>
      <c r="P741" s="126"/>
    </row>
    <row r="742" spans="10:16" ht="15.5" x14ac:dyDescent="0.35">
      <c r="J742" s="126"/>
      <c r="K742" s="126"/>
      <c r="L742" s="126"/>
      <c r="M742" s="126"/>
      <c r="N742" s="126"/>
      <c r="O742" s="126"/>
      <c r="P742" s="126"/>
    </row>
    <row r="743" spans="10:16" ht="15.5" x14ac:dyDescent="0.35">
      <c r="J743" s="126"/>
      <c r="K743" s="126"/>
      <c r="L743" s="126"/>
      <c r="M743" s="126"/>
      <c r="N743" s="126"/>
      <c r="O743" s="126"/>
      <c r="P743" s="126"/>
    </row>
    <row r="744" spans="10:16" ht="15.5" x14ac:dyDescent="0.35">
      <c r="J744" s="126"/>
      <c r="K744" s="126"/>
      <c r="L744" s="126"/>
      <c r="M744" s="126"/>
      <c r="N744" s="126"/>
      <c r="O744" s="126"/>
      <c r="P744" s="126"/>
    </row>
    <row r="745" spans="10:16" ht="15.5" x14ac:dyDescent="0.35">
      <c r="J745" s="126"/>
      <c r="K745" s="126"/>
      <c r="L745" s="126"/>
      <c r="M745" s="126"/>
      <c r="N745" s="126"/>
      <c r="O745" s="126"/>
      <c r="P745" s="126"/>
    </row>
    <row r="746" spans="10:16" ht="15.5" x14ac:dyDescent="0.35">
      <c r="J746" s="126"/>
      <c r="K746" s="126"/>
      <c r="L746" s="126"/>
      <c r="M746" s="126"/>
      <c r="N746" s="126"/>
      <c r="O746" s="126"/>
      <c r="P746" s="126"/>
    </row>
    <row r="747" spans="10:16" ht="15.5" x14ac:dyDescent="0.35">
      <c r="J747" s="126"/>
      <c r="K747" s="126"/>
      <c r="L747" s="126"/>
      <c r="M747" s="126"/>
      <c r="N747" s="126"/>
      <c r="O747" s="126"/>
      <c r="P747" s="126"/>
    </row>
    <row r="748" spans="10:16" ht="15.5" x14ac:dyDescent="0.35">
      <c r="J748" s="126"/>
      <c r="K748" s="126"/>
      <c r="L748" s="126"/>
      <c r="M748" s="126"/>
      <c r="N748" s="126"/>
      <c r="O748" s="126"/>
      <c r="P748" s="126"/>
    </row>
    <row r="749" spans="10:16" ht="15.5" x14ac:dyDescent="0.35">
      <c r="J749" s="126"/>
      <c r="K749" s="126"/>
      <c r="L749" s="126"/>
      <c r="M749" s="126"/>
      <c r="N749" s="126"/>
      <c r="O749" s="126"/>
      <c r="P749" s="126"/>
    </row>
    <row r="750" spans="10:16" ht="15.5" x14ac:dyDescent="0.35">
      <c r="J750" s="126"/>
      <c r="K750" s="126"/>
      <c r="L750" s="126"/>
      <c r="M750" s="126"/>
      <c r="N750" s="126"/>
      <c r="O750" s="126"/>
      <c r="P750" s="126"/>
    </row>
    <row r="751" spans="10:16" ht="15.5" x14ac:dyDescent="0.35">
      <c r="J751" s="126"/>
      <c r="K751" s="126"/>
      <c r="L751" s="126"/>
      <c r="M751" s="126"/>
      <c r="N751" s="126"/>
      <c r="O751" s="126"/>
      <c r="P751" s="126"/>
    </row>
    <row r="752" spans="10:16" ht="15.5" x14ac:dyDescent="0.35">
      <c r="J752" s="126"/>
      <c r="K752" s="126"/>
      <c r="L752" s="126"/>
      <c r="M752" s="126"/>
      <c r="N752" s="126"/>
      <c r="O752" s="126"/>
      <c r="P752" s="126"/>
    </row>
    <row r="753" spans="1:16" ht="15.5" x14ac:dyDescent="0.35">
      <c r="J753" s="126"/>
      <c r="K753" s="126"/>
      <c r="L753" s="126"/>
      <c r="M753" s="126"/>
      <c r="N753" s="126"/>
      <c r="O753" s="126"/>
      <c r="P753" s="126"/>
    </row>
    <row r="754" spans="1:16" ht="15.5" x14ac:dyDescent="0.35">
      <c r="J754" s="126"/>
      <c r="K754" s="126"/>
      <c r="L754" s="126"/>
      <c r="M754" s="126"/>
      <c r="N754" s="126"/>
      <c r="O754" s="126"/>
      <c r="P754" s="126"/>
    </row>
    <row r="755" spans="1:16" ht="15.5" x14ac:dyDescent="0.35">
      <c r="J755" s="126"/>
      <c r="K755" s="126"/>
      <c r="L755" s="126"/>
      <c r="M755" s="126"/>
      <c r="N755" s="126"/>
      <c r="O755" s="126"/>
      <c r="P755" s="126"/>
    </row>
    <row r="756" spans="1:16" ht="15.5" x14ac:dyDescent="0.35">
      <c r="J756" s="126"/>
      <c r="K756" s="126"/>
      <c r="L756" s="126"/>
      <c r="M756" s="126"/>
      <c r="N756" s="126"/>
      <c r="O756" s="126"/>
      <c r="P756" s="126"/>
    </row>
    <row r="757" spans="1:16" ht="15.5" x14ac:dyDescent="0.35">
      <c r="J757" s="126"/>
      <c r="K757" s="126"/>
      <c r="L757" s="126"/>
      <c r="M757" s="126"/>
      <c r="N757" s="126"/>
      <c r="O757" s="126"/>
      <c r="P757" s="126"/>
    </row>
    <row r="758" spans="1:16" s="167" customFormat="1" ht="15.5" x14ac:dyDescent="0.35">
      <c r="A758" s="161"/>
      <c r="B758"/>
      <c r="C758"/>
      <c r="D758" s="161"/>
      <c r="E758" s="161"/>
      <c r="F758" s="161"/>
      <c r="G758" s="161"/>
      <c r="J758" s="127"/>
      <c r="K758" s="127"/>
      <c r="L758" s="127"/>
      <c r="M758" s="127"/>
      <c r="N758" s="127"/>
      <c r="O758" s="127"/>
      <c r="P758" s="127"/>
    </row>
    <row r="759" spans="1:16" ht="15.5" x14ac:dyDescent="0.35">
      <c r="J759" s="126"/>
      <c r="K759" s="126"/>
      <c r="L759" s="126"/>
      <c r="M759" s="126"/>
      <c r="N759" s="126"/>
      <c r="O759" s="126"/>
      <c r="P759" s="126"/>
    </row>
    <row r="760" spans="1:16" ht="15.5" x14ac:dyDescent="0.35">
      <c r="J760" s="126"/>
      <c r="K760" s="126"/>
      <c r="L760" s="126"/>
      <c r="M760" s="126"/>
      <c r="N760" s="126"/>
      <c r="O760" s="126"/>
      <c r="P760" s="126"/>
    </row>
    <row r="761" spans="1:16" s="167" customFormat="1" ht="15.5" x14ac:dyDescent="0.35">
      <c r="A761" s="161"/>
      <c r="B761"/>
      <c r="C761"/>
      <c r="D761" s="161"/>
      <c r="E761" s="161"/>
      <c r="F761" s="161"/>
      <c r="G761" s="161"/>
      <c r="J761" s="127"/>
      <c r="K761" s="127"/>
      <c r="L761" s="127"/>
      <c r="M761" s="127"/>
      <c r="N761" s="127"/>
      <c r="O761" s="127"/>
      <c r="P761" s="127"/>
    </row>
    <row r="762" spans="1:16" ht="15.5" x14ac:dyDescent="0.35">
      <c r="J762" s="126"/>
      <c r="K762" s="126"/>
      <c r="L762" s="126"/>
      <c r="M762" s="126"/>
      <c r="N762" s="126"/>
      <c r="O762" s="126"/>
      <c r="P762" s="126"/>
    </row>
    <row r="763" spans="1:16" ht="15.5" x14ac:dyDescent="0.35">
      <c r="J763" s="126"/>
      <c r="K763" s="126"/>
      <c r="L763" s="126"/>
      <c r="M763" s="126"/>
      <c r="N763" s="126"/>
      <c r="O763" s="126"/>
      <c r="P763" s="126"/>
    </row>
    <row r="764" spans="1:16" ht="15.5" x14ac:dyDescent="0.35">
      <c r="J764" s="126"/>
      <c r="K764" s="126"/>
      <c r="L764" s="126"/>
      <c r="M764" s="126"/>
      <c r="N764" s="126"/>
      <c r="O764" s="126"/>
      <c r="P764" s="126"/>
    </row>
    <row r="765" spans="1:16" ht="15.5" x14ac:dyDescent="0.35">
      <c r="J765" s="126"/>
      <c r="K765" s="126"/>
      <c r="L765" s="126"/>
      <c r="M765" s="126"/>
      <c r="N765" s="126"/>
      <c r="O765" s="126"/>
      <c r="P765" s="126"/>
    </row>
    <row r="766" spans="1:16" ht="15.5" x14ac:dyDescent="0.35">
      <c r="J766" s="126"/>
      <c r="K766" s="126"/>
      <c r="L766" s="126"/>
      <c r="M766" s="126"/>
      <c r="N766" s="126"/>
      <c r="O766" s="126"/>
      <c r="P766" s="126"/>
    </row>
    <row r="767" spans="1:16" ht="15.5" x14ac:dyDescent="0.35">
      <c r="J767" s="126"/>
      <c r="K767" s="126"/>
      <c r="L767" s="126"/>
      <c r="M767" s="126"/>
      <c r="N767" s="126"/>
      <c r="O767" s="126"/>
      <c r="P767" s="126"/>
    </row>
    <row r="768" spans="1:16" ht="15.5" x14ac:dyDescent="0.35">
      <c r="J768" s="126"/>
      <c r="K768" s="126"/>
      <c r="L768" s="126"/>
      <c r="M768" s="126"/>
      <c r="N768" s="126"/>
      <c r="O768" s="126"/>
      <c r="P768" s="126"/>
    </row>
    <row r="769" spans="1:16" ht="15.5" x14ac:dyDescent="0.35">
      <c r="J769" s="126"/>
      <c r="K769" s="126"/>
      <c r="L769" s="126"/>
      <c r="M769" s="126"/>
      <c r="N769" s="126"/>
      <c r="O769" s="126"/>
      <c r="P769" s="126"/>
    </row>
    <row r="770" spans="1:16" ht="15.5" x14ac:dyDescent="0.35">
      <c r="J770" s="126"/>
      <c r="K770" s="126"/>
      <c r="L770" s="126"/>
      <c r="M770" s="126"/>
      <c r="N770" s="126"/>
      <c r="O770" s="126"/>
      <c r="P770" s="126"/>
    </row>
    <row r="771" spans="1:16" ht="15.5" x14ac:dyDescent="0.35">
      <c r="J771" s="126"/>
      <c r="K771" s="126"/>
      <c r="L771" s="126"/>
      <c r="M771" s="126"/>
      <c r="N771" s="126"/>
      <c r="O771" s="126"/>
      <c r="P771" s="126"/>
    </row>
    <row r="772" spans="1:16" ht="15.5" x14ac:dyDescent="0.35">
      <c r="J772" s="126"/>
      <c r="K772" s="126"/>
      <c r="L772" s="126"/>
      <c r="M772" s="126"/>
      <c r="N772" s="126"/>
      <c r="O772" s="126"/>
      <c r="P772" s="126"/>
    </row>
    <row r="773" spans="1:16" ht="15.5" x14ac:dyDescent="0.35">
      <c r="J773" s="126"/>
      <c r="K773" s="126"/>
      <c r="L773" s="126"/>
      <c r="M773" s="126"/>
      <c r="N773" s="126"/>
      <c r="O773" s="126"/>
      <c r="P773" s="126"/>
    </row>
    <row r="774" spans="1:16" ht="15.5" x14ac:dyDescent="0.35">
      <c r="J774" s="126"/>
      <c r="K774" s="126"/>
      <c r="L774" s="126"/>
      <c r="M774" s="126"/>
      <c r="N774" s="126"/>
      <c r="O774" s="126"/>
      <c r="P774" s="126"/>
    </row>
    <row r="775" spans="1:16" ht="15.5" x14ac:dyDescent="0.35">
      <c r="J775" s="126"/>
      <c r="K775" s="126"/>
      <c r="L775" s="126"/>
      <c r="M775" s="126"/>
      <c r="N775" s="126"/>
      <c r="O775" s="126"/>
      <c r="P775" s="126"/>
    </row>
    <row r="776" spans="1:16" ht="15.5" x14ac:dyDescent="0.35">
      <c r="J776" s="126"/>
      <c r="K776" s="126"/>
      <c r="L776" s="126"/>
      <c r="M776" s="126"/>
      <c r="N776" s="126"/>
      <c r="O776" s="126"/>
      <c r="P776" s="126"/>
    </row>
    <row r="777" spans="1:16" ht="15.5" x14ac:dyDescent="0.35">
      <c r="J777" s="126"/>
      <c r="K777" s="126"/>
      <c r="L777" s="126"/>
      <c r="M777" s="126"/>
      <c r="N777" s="126"/>
      <c r="O777" s="126"/>
      <c r="P777" s="126"/>
    </row>
    <row r="778" spans="1:16" s="167" customFormat="1" ht="15.5" x14ac:dyDescent="0.35">
      <c r="A778" s="161"/>
      <c r="B778"/>
      <c r="C778"/>
      <c r="D778" s="161"/>
      <c r="E778" s="161"/>
      <c r="F778" s="161"/>
      <c r="G778" s="161"/>
      <c r="J778" s="127"/>
      <c r="K778" s="127"/>
      <c r="L778" s="127"/>
      <c r="M778" s="127"/>
      <c r="N778" s="127"/>
      <c r="O778" s="127"/>
      <c r="P778" s="127"/>
    </row>
    <row r="779" spans="1:16" ht="15.5" x14ac:dyDescent="0.35">
      <c r="J779" s="126"/>
      <c r="K779" s="126"/>
      <c r="L779" s="126"/>
      <c r="M779" s="126"/>
      <c r="N779" s="126"/>
      <c r="O779" s="126"/>
      <c r="P779" s="126"/>
    </row>
    <row r="780" spans="1:16" ht="15.5" x14ac:dyDescent="0.35">
      <c r="J780" s="126"/>
      <c r="K780" s="126"/>
      <c r="L780" s="126"/>
      <c r="M780" s="126"/>
      <c r="N780" s="126"/>
      <c r="O780" s="126"/>
      <c r="P780" s="126"/>
    </row>
    <row r="781" spans="1:16" ht="15.5" x14ac:dyDescent="0.35">
      <c r="J781" s="126"/>
      <c r="K781" s="126"/>
      <c r="L781" s="126"/>
      <c r="M781" s="126"/>
      <c r="N781" s="126"/>
      <c r="O781" s="126"/>
      <c r="P781" s="126"/>
    </row>
    <row r="782" spans="1:16" ht="15.5" x14ac:dyDescent="0.35">
      <c r="J782" s="126"/>
      <c r="K782" s="126"/>
      <c r="L782" s="126"/>
      <c r="M782" s="126"/>
      <c r="N782" s="126"/>
      <c r="O782" s="126"/>
      <c r="P782" s="126"/>
    </row>
    <row r="783" spans="1:16" ht="15.5" x14ac:dyDescent="0.35">
      <c r="J783" s="126"/>
      <c r="K783" s="126"/>
      <c r="L783" s="126"/>
      <c r="M783" s="126"/>
      <c r="N783" s="126"/>
      <c r="O783" s="126"/>
      <c r="P783" s="126"/>
    </row>
    <row r="784" spans="1:16" ht="15.5" x14ac:dyDescent="0.35">
      <c r="J784" s="126"/>
      <c r="K784" s="126"/>
      <c r="L784" s="126"/>
      <c r="M784" s="126"/>
      <c r="N784" s="126"/>
      <c r="O784" s="126"/>
      <c r="P784" s="126"/>
    </row>
    <row r="785" spans="10:16" ht="15.5" x14ac:dyDescent="0.35">
      <c r="J785" s="126"/>
      <c r="K785" s="126"/>
      <c r="L785" s="126"/>
      <c r="M785" s="126"/>
      <c r="N785" s="126"/>
      <c r="O785" s="126"/>
      <c r="P785" s="126"/>
    </row>
    <row r="786" spans="10:16" ht="15.5" x14ac:dyDescent="0.35">
      <c r="J786" s="126"/>
      <c r="K786" s="126"/>
      <c r="L786" s="126"/>
      <c r="M786" s="126"/>
      <c r="N786" s="126"/>
      <c r="O786" s="126"/>
      <c r="P786" s="126"/>
    </row>
    <row r="787" spans="10:16" ht="15.5" x14ac:dyDescent="0.35">
      <c r="J787" s="126"/>
      <c r="K787" s="126"/>
      <c r="L787" s="126"/>
      <c r="M787" s="126"/>
      <c r="N787" s="126"/>
      <c r="O787" s="126"/>
      <c r="P787" s="126"/>
    </row>
    <row r="788" spans="10:16" ht="15.5" x14ac:dyDescent="0.35">
      <c r="J788" s="126"/>
      <c r="K788" s="126"/>
      <c r="L788" s="126"/>
      <c r="M788" s="126"/>
      <c r="N788" s="126"/>
      <c r="O788" s="126"/>
      <c r="P788" s="126"/>
    </row>
    <row r="789" spans="10:16" ht="15.5" x14ac:dyDescent="0.35">
      <c r="J789" s="126"/>
      <c r="K789" s="126"/>
      <c r="L789" s="126"/>
      <c r="M789" s="126"/>
      <c r="N789" s="126"/>
      <c r="O789" s="126"/>
      <c r="P789" s="126"/>
    </row>
    <row r="790" spans="10:16" ht="15.5" x14ac:dyDescent="0.35">
      <c r="J790" s="126"/>
      <c r="K790" s="126"/>
      <c r="L790" s="126"/>
      <c r="M790" s="126"/>
      <c r="N790" s="126"/>
      <c r="O790" s="126"/>
      <c r="P790" s="126"/>
    </row>
    <row r="791" spans="10:16" ht="15.5" x14ac:dyDescent="0.35">
      <c r="J791" s="126"/>
      <c r="K791" s="126"/>
      <c r="L791" s="126"/>
      <c r="M791" s="126"/>
      <c r="N791" s="126"/>
      <c r="O791" s="126"/>
      <c r="P791" s="126"/>
    </row>
    <row r="792" spans="10:16" ht="15.5" x14ac:dyDescent="0.35">
      <c r="J792" s="126"/>
      <c r="K792" s="126"/>
      <c r="L792" s="126"/>
      <c r="M792" s="126"/>
      <c r="N792" s="126"/>
      <c r="O792" s="126"/>
      <c r="P792" s="126"/>
    </row>
    <row r="793" spans="10:16" ht="15.5" x14ac:dyDescent="0.35">
      <c r="J793" s="126"/>
      <c r="K793" s="126"/>
      <c r="L793" s="126"/>
      <c r="M793" s="126"/>
      <c r="N793" s="126"/>
      <c r="O793" s="126"/>
      <c r="P793" s="126"/>
    </row>
    <row r="794" spans="10:16" ht="15.5" x14ac:dyDescent="0.35">
      <c r="J794" s="126"/>
      <c r="K794" s="126"/>
      <c r="L794" s="126"/>
      <c r="M794" s="126"/>
      <c r="N794" s="126"/>
      <c r="O794" s="126"/>
      <c r="P794" s="126"/>
    </row>
    <row r="795" spans="10:16" ht="15.5" x14ac:dyDescent="0.35">
      <c r="J795" s="126"/>
      <c r="K795" s="126"/>
      <c r="L795" s="126"/>
      <c r="M795" s="126"/>
      <c r="N795" s="126"/>
      <c r="O795" s="126"/>
      <c r="P795" s="126"/>
    </row>
    <row r="796" spans="10:16" ht="15.5" x14ac:dyDescent="0.35">
      <c r="J796" s="126"/>
      <c r="K796" s="126"/>
      <c r="L796" s="126"/>
      <c r="M796" s="126"/>
      <c r="N796" s="126"/>
      <c r="O796" s="126"/>
      <c r="P796" s="126"/>
    </row>
    <row r="797" spans="10:16" ht="15.5" x14ac:dyDescent="0.35">
      <c r="J797" s="126"/>
      <c r="K797" s="126"/>
      <c r="L797" s="126"/>
      <c r="M797" s="126"/>
      <c r="N797" s="126"/>
      <c r="O797" s="126"/>
      <c r="P797" s="126"/>
    </row>
    <row r="798" spans="10:16" ht="15.5" x14ac:dyDescent="0.35">
      <c r="J798" s="126"/>
      <c r="K798" s="126"/>
      <c r="L798" s="126"/>
      <c r="M798" s="126"/>
      <c r="N798" s="126"/>
      <c r="O798" s="126"/>
      <c r="P798" s="126"/>
    </row>
    <row r="799" spans="10:16" ht="15.5" x14ac:dyDescent="0.35">
      <c r="J799" s="126"/>
      <c r="K799" s="126"/>
      <c r="L799" s="126"/>
      <c r="M799" s="126"/>
      <c r="N799" s="126"/>
      <c r="O799" s="126"/>
      <c r="P799" s="126"/>
    </row>
    <row r="800" spans="10:16" ht="15.5" x14ac:dyDescent="0.35">
      <c r="J800" s="126"/>
      <c r="K800" s="126"/>
      <c r="L800" s="126"/>
      <c r="M800" s="126"/>
      <c r="N800" s="126"/>
      <c r="O800" s="126"/>
      <c r="P800" s="126"/>
    </row>
    <row r="801" spans="1:16" ht="15.5" x14ac:dyDescent="0.35">
      <c r="J801" s="126"/>
      <c r="K801" s="126"/>
      <c r="L801" s="126"/>
      <c r="M801" s="126"/>
      <c r="N801" s="126"/>
      <c r="O801" s="126"/>
      <c r="P801" s="126"/>
    </row>
    <row r="802" spans="1:16" ht="15.5" x14ac:dyDescent="0.35">
      <c r="J802" s="126"/>
      <c r="K802" s="126"/>
      <c r="L802" s="126"/>
      <c r="M802" s="126"/>
      <c r="N802" s="126"/>
      <c r="O802" s="126"/>
      <c r="P802" s="126"/>
    </row>
    <row r="803" spans="1:16" ht="15.5" x14ac:dyDescent="0.35">
      <c r="J803" s="126"/>
      <c r="K803" s="126"/>
      <c r="L803" s="126"/>
      <c r="M803" s="126"/>
      <c r="N803" s="126"/>
      <c r="O803" s="126"/>
      <c r="P803" s="126"/>
    </row>
    <row r="804" spans="1:16" ht="15.5" x14ac:dyDescent="0.35">
      <c r="J804" s="126"/>
      <c r="K804" s="126"/>
      <c r="L804" s="126"/>
      <c r="M804" s="126"/>
      <c r="N804" s="126"/>
      <c r="O804" s="126"/>
      <c r="P804" s="126"/>
    </row>
    <row r="805" spans="1:16" s="167" customFormat="1" ht="15.5" x14ac:dyDescent="0.35">
      <c r="A805" s="161"/>
      <c r="B805"/>
      <c r="C805"/>
      <c r="D805" s="161"/>
      <c r="E805" s="161"/>
      <c r="F805" s="161"/>
      <c r="G805" s="161"/>
      <c r="J805" s="127"/>
      <c r="K805" s="127"/>
      <c r="L805" s="127"/>
      <c r="M805" s="127"/>
      <c r="N805" s="127"/>
      <c r="O805" s="127"/>
      <c r="P805" s="127"/>
    </row>
    <row r="806" spans="1:16" ht="15.5" x14ac:dyDescent="0.35">
      <c r="J806" s="126"/>
      <c r="K806" s="126"/>
      <c r="L806" s="126"/>
      <c r="M806" s="126"/>
      <c r="N806" s="126"/>
      <c r="O806" s="126"/>
      <c r="P806" s="126"/>
    </row>
    <row r="807" spans="1:16" ht="15.5" x14ac:dyDescent="0.35">
      <c r="J807" s="126"/>
      <c r="K807" s="126"/>
      <c r="L807" s="126"/>
      <c r="M807" s="126"/>
      <c r="N807" s="126"/>
      <c r="O807" s="126"/>
      <c r="P807" s="126"/>
    </row>
    <row r="808" spans="1:16" ht="15.5" x14ac:dyDescent="0.35">
      <c r="J808" s="126"/>
      <c r="K808" s="126"/>
      <c r="L808" s="126"/>
      <c r="M808" s="126"/>
      <c r="N808" s="126"/>
      <c r="O808" s="126"/>
      <c r="P808" s="126"/>
    </row>
    <row r="809" spans="1:16" ht="15.5" x14ac:dyDescent="0.35">
      <c r="J809" s="126"/>
      <c r="K809" s="126"/>
      <c r="L809" s="126"/>
      <c r="M809" s="126"/>
      <c r="N809" s="126"/>
      <c r="O809" s="126"/>
      <c r="P809" s="126"/>
    </row>
    <row r="810" spans="1:16" ht="15.5" x14ac:dyDescent="0.35">
      <c r="J810" s="126"/>
      <c r="K810" s="126"/>
      <c r="L810" s="126"/>
      <c r="M810" s="126"/>
      <c r="N810" s="126"/>
      <c r="O810" s="126"/>
      <c r="P810" s="126"/>
    </row>
    <row r="811" spans="1:16" ht="15.5" x14ac:dyDescent="0.35">
      <c r="J811" s="126"/>
      <c r="K811" s="126"/>
      <c r="L811" s="126"/>
      <c r="M811" s="126"/>
      <c r="N811" s="126"/>
      <c r="O811" s="126"/>
      <c r="P811" s="126"/>
    </row>
    <row r="812" spans="1:16" ht="15.5" x14ac:dyDescent="0.35">
      <c r="J812" s="126"/>
      <c r="K812" s="126"/>
      <c r="L812" s="126"/>
      <c r="M812" s="126"/>
      <c r="N812" s="126"/>
      <c r="O812" s="126"/>
      <c r="P812" s="126"/>
    </row>
    <row r="813" spans="1:16" ht="15.5" x14ac:dyDescent="0.35">
      <c r="J813" s="126"/>
      <c r="K813" s="126"/>
      <c r="L813" s="126"/>
      <c r="M813" s="126"/>
      <c r="N813" s="126"/>
      <c r="O813" s="126"/>
      <c r="P813" s="126"/>
    </row>
    <row r="814" spans="1:16" ht="15.5" x14ac:dyDescent="0.35">
      <c r="J814" s="126"/>
      <c r="K814" s="126"/>
      <c r="L814" s="126"/>
      <c r="M814" s="126"/>
      <c r="N814" s="126"/>
      <c r="O814" s="126"/>
      <c r="P814" s="126"/>
    </row>
    <row r="815" spans="1:16" ht="15.5" x14ac:dyDescent="0.35">
      <c r="J815" s="126"/>
      <c r="K815" s="126"/>
      <c r="L815" s="126"/>
      <c r="M815" s="126"/>
      <c r="N815" s="126"/>
      <c r="O815" s="126"/>
      <c r="P815" s="126"/>
    </row>
    <row r="816" spans="1:16" ht="15.5" x14ac:dyDescent="0.35">
      <c r="J816" s="126"/>
      <c r="K816" s="126"/>
      <c r="L816" s="126"/>
      <c r="M816" s="126"/>
      <c r="N816" s="126"/>
      <c r="O816" s="126"/>
      <c r="P816" s="126"/>
    </row>
    <row r="817" spans="10:16" ht="15.5" x14ac:dyDescent="0.35">
      <c r="J817" s="126"/>
      <c r="K817" s="126"/>
      <c r="L817" s="126"/>
      <c r="M817" s="126"/>
      <c r="N817" s="126"/>
      <c r="O817" s="126"/>
      <c r="P817" s="126"/>
    </row>
    <row r="818" spans="10:16" ht="15.5" x14ac:dyDescent="0.35">
      <c r="J818" s="126"/>
      <c r="K818" s="126"/>
      <c r="L818" s="126"/>
      <c r="M818" s="126"/>
      <c r="N818" s="126"/>
      <c r="O818" s="126"/>
      <c r="P818" s="126"/>
    </row>
    <row r="819" spans="10:16" ht="15.5" x14ac:dyDescent="0.35">
      <c r="J819" s="126"/>
      <c r="K819" s="126"/>
      <c r="L819" s="126"/>
      <c r="M819" s="126"/>
      <c r="N819" s="126"/>
      <c r="O819" s="126"/>
      <c r="P819" s="126"/>
    </row>
    <row r="820" spans="10:16" ht="15.5" x14ac:dyDescent="0.35">
      <c r="J820" s="126"/>
      <c r="K820" s="126"/>
      <c r="L820" s="126"/>
      <c r="M820" s="126"/>
      <c r="N820" s="126"/>
      <c r="O820" s="126"/>
      <c r="P820" s="126"/>
    </row>
    <row r="821" spans="10:16" ht="15.5" x14ac:dyDescent="0.35">
      <c r="J821" s="126"/>
      <c r="K821" s="126"/>
      <c r="L821" s="126"/>
      <c r="M821" s="126"/>
      <c r="N821" s="126"/>
      <c r="O821" s="126"/>
      <c r="P821" s="126"/>
    </row>
    <row r="822" spans="10:16" ht="15.5" x14ac:dyDescent="0.35">
      <c r="J822" s="126"/>
      <c r="K822" s="126"/>
      <c r="L822" s="126"/>
      <c r="M822" s="126"/>
      <c r="N822" s="126"/>
      <c r="O822" s="126"/>
      <c r="P822" s="126"/>
    </row>
    <row r="823" spans="10:16" ht="15.5" x14ac:dyDescent="0.35">
      <c r="J823" s="126"/>
      <c r="K823" s="126"/>
      <c r="L823" s="126"/>
      <c r="M823" s="126"/>
      <c r="N823" s="126"/>
      <c r="O823" s="126"/>
      <c r="P823" s="126"/>
    </row>
    <row r="824" spans="10:16" ht="15.5" x14ac:dyDescent="0.35">
      <c r="J824" s="126"/>
      <c r="K824" s="126"/>
      <c r="L824" s="126"/>
      <c r="M824" s="126"/>
      <c r="N824" s="126"/>
      <c r="O824" s="126"/>
      <c r="P824" s="126"/>
    </row>
    <row r="825" spans="10:16" ht="15.5" x14ac:dyDescent="0.35">
      <c r="J825" s="126"/>
      <c r="K825" s="126"/>
      <c r="L825" s="126"/>
      <c r="M825" s="126"/>
      <c r="N825" s="126"/>
      <c r="O825" s="126"/>
      <c r="P825" s="126"/>
    </row>
    <row r="826" spans="10:16" ht="15.5" x14ac:dyDescent="0.35">
      <c r="J826" s="126"/>
      <c r="K826" s="126"/>
      <c r="L826" s="126"/>
      <c r="M826" s="126"/>
      <c r="N826" s="126"/>
      <c r="O826" s="126"/>
      <c r="P826" s="126"/>
    </row>
    <row r="827" spans="10:16" ht="15.5" x14ac:dyDescent="0.35">
      <c r="J827" s="126"/>
      <c r="K827" s="126"/>
      <c r="L827" s="126"/>
      <c r="M827" s="126"/>
      <c r="N827" s="126"/>
      <c r="O827" s="126"/>
      <c r="P827" s="126"/>
    </row>
    <row r="828" spans="10:16" ht="15.5" x14ac:dyDescent="0.35">
      <c r="J828" s="126"/>
      <c r="K828" s="126"/>
      <c r="L828" s="126"/>
      <c r="M828" s="126"/>
      <c r="N828" s="126"/>
      <c r="O828" s="126"/>
      <c r="P828" s="126"/>
    </row>
    <row r="829" spans="10:16" ht="15.5" x14ac:dyDescent="0.35">
      <c r="J829" s="126"/>
      <c r="K829" s="126"/>
      <c r="L829" s="126"/>
      <c r="M829" s="126"/>
      <c r="N829" s="126"/>
      <c r="O829" s="126"/>
      <c r="P829" s="126"/>
    </row>
    <row r="830" spans="10:16" ht="15.5" x14ac:dyDescent="0.35">
      <c r="J830" s="126"/>
      <c r="K830" s="126"/>
      <c r="L830" s="126"/>
      <c r="M830" s="126"/>
      <c r="N830" s="126"/>
      <c r="O830" s="126"/>
      <c r="P830" s="126"/>
    </row>
    <row r="831" spans="10:16" ht="15.5" x14ac:dyDescent="0.35">
      <c r="J831" s="126"/>
      <c r="K831" s="126"/>
      <c r="L831" s="126"/>
      <c r="M831" s="126"/>
      <c r="N831" s="126"/>
      <c r="O831" s="126"/>
      <c r="P831" s="126"/>
    </row>
    <row r="832" spans="10:16" ht="15.5" x14ac:dyDescent="0.35">
      <c r="J832" s="126"/>
      <c r="K832" s="126"/>
      <c r="L832" s="126"/>
      <c r="M832" s="126"/>
      <c r="N832" s="126"/>
      <c r="O832" s="126"/>
      <c r="P832" s="126"/>
    </row>
    <row r="833" spans="10:16" ht="15.5" x14ac:dyDescent="0.35">
      <c r="J833" s="126"/>
      <c r="K833" s="126"/>
      <c r="L833" s="126"/>
      <c r="M833" s="126"/>
      <c r="N833" s="126"/>
      <c r="O833" s="126"/>
      <c r="P833" s="126"/>
    </row>
    <row r="834" spans="10:16" ht="15.5" x14ac:dyDescent="0.35">
      <c r="J834" s="126"/>
      <c r="K834" s="126"/>
      <c r="L834" s="126"/>
      <c r="M834" s="126"/>
      <c r="N834" s="126"/>
      <c r="O834" s="126"/>
      <c r="P834" s="126"/>
    </row>
    <row r="835" spans="10:16" ht="15.5" x14ac:dyDescent="0.35">
      <c r="J835" s="126"/>
      <c r="K835" s="126"/>
      <c r="L835" s="126"/>
      <c r="M835" s="126"/>
      <c r="N835" s="126"/>
      <c r="O835" s="126"/>
      <c r="P835" s="126"/>
    </row>
    <row r="836" spans="10:16" ht="15.5" x14ac:dyDescent="0.35">
      <c r="J836" s="126"/>
      <c r="K836" s="126"/>
      <c r="L836" s="126"/>
      <c r="M836" s="126"/>
      <c r="N836" s="126"/>
      <c r="O836" s="126"/>
      <c r="P836" s="126"/>
    </row>
    <row r="837" spans="10:16" ht="15.5" x14ac:dyDescent="0.35">
      <c r="J837" s="126"/>
      <c r="K837" s="126"/>
      <c r="L837" s="126"/>
      <c r="M837" s="126"/>
      <c r="N837" s="126"/>
      <c r="O837" s="126"/>
      <c r="P837" s="126"/>
    </row>
    <row r="838" spans="10:16" ht="15.5" x14ac:dyDescent="0.35">
      <c r="J838" s="126"/>
      <c r="K838" s="126"/>
      <c r="L838" s="126"/>
      <c r="M838" s="126"/>
      <c r="N838" s="126"/>
      <c r="O838" s="126"/>
      <c r="P838" s="126"/>
    </row>
    <row r="839" spans="10:16" ht="15.5" x14ac:dyDescent="0.35">
      <c r="J839" s="126"/>
      <c r="K839" s="126"/>
      <c r="L839" s="126"/>
      <c r="M839" s="126"/>
      <c r="N839" s="126"/>
      <c r="O839" s="126"/>
      <c r="P839" s="126"/>
    </row>
    <row r="840" spans="10:16" ht="15.5" x14ac:dyDescent="0.35">
      <c r="J840" s="126"/>
      <c r="K840" s="126"/>
      <c r="L840" s="126"/>
      <c r="M840" s="126"/>
      <c r="N840" s="126"/>
      <c r="O840" s="126"/>
      <c r="P840" s="126"/>
    </row>
    <row r="841" spans="10:16" ht="15.5" x14ac:dyDescent="0.35">
      <c r="J841" s="126"/>
      <c r="K841" s="126"/>
      <c r="L841" s="126"/>
      <c r="M841" s="126"/>
      <c r="N841" s="126"/>
      <c r="O841" s="126"/>
      <c r="P841" s="126"/>
    </row>
    <row r="842" spans="10:16" ht="15.5" x14ac:dyDescent="0.35">
      <c r="J842" s="126"/>
      <c r="K842" s="126"/>
      <c r="L842" s="126"/>
      <c r="M842" s="126"/>
      <c r="N842" s="126"/>
      <c r="O842" s="126"/>
      <c r="P842" s="126"/>
    </row>
    <row r="843" spans="10:16" ht="15.5" x14ac:dyDescent="0.35">
      <c r="J843" s="126"/>
      <c r="K843" s="126"/>
      <c r="L843" s="126"/>
      <c r="M843" s="126"/>
      <c r="N843" s="126"/>
      <c r="O843" s="126"/>
      <c r="P843" s="126"/>
    </row>
    <row r="844" spans="10:16" ht="15.5" x14ac:dyDescent="0.35">
      <c r="J844" s="126"/>
      <c r="K844" s="126"/>
      <c r="L844" s="126"/>
      <c r="M844" s="126"/>
      <c r="N844" s="126"/>
      <c r="O844" s="126"/>
      <c r="P844" s="126"/>
    </row>
    <row r="845" spans="10:16" ht="15.5" x14ac:dyDescent="0.35">
      <c r="J845" s="126"/>
      <c r="K845" s="126"/>
      <c r="L845" s="126"/>
      <c r="M845" s="126"/>
      <c r="N845" s="126"/>
      <c r="O845" s="126"/>
      <c r="P845" s="126"/>
    </row>
    <row r="846" spans="10:16" ht="15.5" x14ac:dyDescent="0.35">
      <c r="J846" s="126"/>
      <c r="K846" s="126"/>
      <c r="L846" s="126"/>
      <c r="M846" s="126"/>
      <c r="N846" s="126"/>
      <c r="O846" s="126"/>
      <c r="P846" s="126"/>
    </row>
    <row r="847" spans="10:16" ht="15.5" x14ac:dyDescent="0.35">
      <c r="J847" s="126"/>
      <c r="K847" s="126"/>
      <c r="L847" s="126"/>
      <c r="M847" s="126"/>
      <c r="N847" s="126"/>
      <c r="O847" s="126"/>
      <c r="P847" s="126"/>
    </row>
    <row r="848" spans="10:16" ht="15.5" x14ac:dyDescent="0.35">
      <c r="J848" s="126"/>
      <c r="K848" s="126"/>
      <c r="L848" s="126"/>
      <c r="M848" s="126"/>
      <c r="N848" s="126"/>
      <c r="O848" s="126"/>
      <c r="P848" s="126"/>
    </row>
    <row r="849" spans="10:16" ht="15.5" x14ac:dyDescent="0.35">
      <c r="J849" s="126"/>
      <c r="K849" s="126"/>
      <c r="L849" s="126"/>
      <c r="M849" s="126"/>
      <c r="N849" s="126"/>
      <c r="O849" s="126"/>
      <c r="P849" s="126"/>
    </row>
    <row r="850" spans="10:16" ht="15.5" x14ac:dyDescent="0.35">
      <c r="J850" s="126"/>
      <c r="K850" s="126"/>
      <c r="L850" s="126"/>
      <c r="M850" s="126"/>
      <c r="N850" s="126"/>
      <c r="O850" s="126"/>
      <c r="P850" s="126"/>
    </row>
    <row r="851" spans="10:16" ht="15.5" x14ac:dyDescent="0.35">
      <c r="J851" s="126"/>
      <c r="K851" s="126"/>
      <c r="L851" s="126"/>
      <c r="M851" s="126"/>
      <c r="N851" s="126"/>
      <c r="O851" s="126"/>
      <c r="P851" s="126"/>
    </row>
    <row r="852" spans="10:16" ht="15.5" x14ac:dyDescent="0.35">
      <c r="J852" s="126"/>
      <c r="K852" s="126"/>
      <c r="L852" s="126"/>
      <c r="M852" s="126"/>
      <c r="N852" s="126"/>
      <c r="O852" s="126"/>
      <c r="P852" s="126"/>
    </row>
    <row r="853" spans="10:16" ht="15.5" x14ac:dyDescent="0.35">
      <c r="J853" s="126"/>
      <c r="K853" s="126"/>
      <c r="L853" s="126"/>
      <c r="M853" s="126"/>
      <c r="N853" s="126"/>
      <c r="O853" s="126"/>
      <c r="P853" s="126"/>
    </row>
    <row r="854" spans="10:16" ht="15.5" x14ac:dyDescent="0.35">
      <c r="J854" s="126"/>
      <c r="K854" s="126"/>
      <c r="L854" s="126"/>
      <c r="M854" s="126"/>
      <c r="N854" s="126"/>
      <c r="O854" s="126"/>
      <c r="P854" s="126"/>
    </row>
    <row r="855" spans="10:16" ht="15.5" x14ac:dyDescent="0.35">
      <c r="J855" s="126"/>
      <c r="K855" s="126"/>
      <c r="L855" s="126"/>
      <c r="M855" s="126"/>
      <c r="N855" s="126"/>
      <c r="O855" s="126"/>
      <c r="P855" s="126"/>
    </row>
    <row r="856" spans="10:16" ht="15.5" x14ac:dyDescent="0.35">
      <c r="J856" s="126"/>
      <c r="K856" s="126"/>
      <c r="L856" s="126"/>
      <c r="M856" s="126"/>
      <c r="N856" s="126"/>
      <c r="O856" s="126"/>
      <c r="P856" s="126"/>
    </row>
    <row r="857" spans="10:16" ht="15.5" x14ac:dyDescent="0.35">
      <c r="J857" s="126"/>
      <c r="K857" s="126"/>
      <c r="L857" s="126"/>
      <c r="M857" s="126"/>
      <c r="N857" s="126"/>
      <c r="O857" s="126"/>
      <c r="P857" s="126"/>
    </row>
    <row r="858" spans="10:16" ht="15.5" x14ac:dyDescent="0.35">
      <c r="J858" s="126"/>
      <c r="K858" s="126"/>
      <c r="L858" s="126"/>
      <c r="M858" s="126"/>
      <c r="N858" s="126"/>
      <c r="O858" s="126"/>
      <c r="P858" s="126"/>
    </row>
    <row r="859" spans="10:16" ht="15.5" x14ac:dyDescent="0.35">
      <c r="J859" s="126"/>
      <c r="K859" s="126"/>
      <c r="L859" s="126"/>
      <c r="M859" s="126"/>
      <c r="N859" s="126"/>
      <c r="O859" s="126"/>
      <c r="P859" s="126"/>
    </row>
    <row r="860" spans="10:16" ht="15.5" x14ac:dyDescent="0.35">
      <c r="J860" s="126"/>
      <c r="K860" s="126"/>
      <c r="L860" s="126"/>
      <c r="M860" s="126"/>
      <c r="N860" s="126"/>
      <c r="O860" s="126"/>
      <c r="P860" s="126"/>
    </row>
    <row r="861" spans="10:16" ht="15.5" x14ac:dyDescent="0.35">
      <c r="J861" s="126"/>
      <c r="K861" s="126"/>
      <c r="L861" s="126"/>
      <c r="M861" s="126"/>
      <c r="N861" s="126"/>
      <c r="O861" s="126"/>
      <c r="P861" s="126"/>
    </row>
    <row r="862" spans="10:16" ht="15.5" x14ac:dyDescent="0.35">
      <c r="J862" s="126"/>
      <c r="K862" s="126"/>
      <c r="L862" s="126"/>
      <c r="M862" s="126"/>
      <c r="N862" s="126"/>
      <c r="O862" s="126"/>
      <c r="P862" s="126"/>
    </row>
    <row r="863" spans="10:16" ht="15.5" x14ac:dyDescent="0.35">
      <c r="J863" s="126"/>
      <c r="K863" s="126"/>
      <c r="L863" s="126"/>
      <c r="M863" s="126"/>
      <c r="N863" s="126"/>
      <c r="O863" s="126"/>
      <c r="P863" s="126"/>
    </row>
    <row r="864" spans="10:16" ht="15.5" x14ac:dyDescent="0.35">
      <c r="J864" s="126"/>
      <c r="K864" s="126"/>
      <c r="L864" s="126"/>
      <c r="M864" s="126"/>
      <c r="N864" s="126"/>
      <c r="O864" s="126"/>
      <c r="P864" s="126"/>
    </row>
    <row r="865" spans="10:16" ht="15.5" x14ac:dyDescent="0.35">
      <c r="J865" s="126"/>
      <c r="K865" s="126"/>
      <c r="L865" s="126"/>
      <c r="M865" s="126"/>
      <c r="N865" s="126"/>
      <c r="O865" s="126"/>
      <c r="P865" s="126"/>
    </row>
    <row r="866" spans="10:16" ht="15.5" x14ac:dyDescent="0.35">
      <c r="J866" s="126"/>
      <c r="K866" s="126"/>
      <c r="L866" s="126"/>
      <c r="M866" s="126"/>
      <c r="N866" s="126"/>
      <c r="O866" s="126"/>
      <c r="P866" s="126"/>
    </row>
    <row r="867" spans="10:16" ht="15.5" x14ac:dyDescent="0.35">
      <c r="J867" s="126"/>
      <c r="K867" s="126"/>
      <c r="L867" s="126"/>
      <c r="M867" s="126"/>
      <c r="N867" s="126"/>
      <c r="O867" s="126"/>
      <c r="P867" s="126"/>
    </row>
    <row r="868" spans="10:16" ht="15.5" x14ac:dyDescent="0.35">
      <c r="J868" s="126"/>
      <c r="K868" s="126"/>
      <c r="L868" s="126"/>
      <c r="M868" s="126"/>
      <c r="N868" s="126"/>
      <c r="O868" s="126"/>
      <c r="P868" s="126"/>
    </row>
    <row r="869" spans="10:16" ht="15.5" x14ac:dyDescent="0.35">
      <c r="J869" s="126"/>
      <c r="K869" s="126"/>
      <c r="L869" s="126"/>
      <c r="M869" s="126"/>
      <c r="N869" s="126"/>
      <c r="O869" s="126"/>
      <c r="P869" s="126"/>
    </row>
    <row r="870" spans="10:16" ht="15.5" x14ac:dyDescent="0.35">
      <c r="J870" s="126"/>
      <c r="K870" s="126"/>
      <c r="L870" s="126"/>
      <c r="M870" s="126"/>
      <c r="N870" s="126"/>
      <c r="O870" s="126"/>
      <c r="P870" s="126"/>
    </row>
    <row r="871" spans="10:16" ht="15.5" x14ac:dyDescent="0.35">
      <c r="J871" s="126"/>
      <c r="K871" s="126"/>
      <c r="L871" s="126"/>
      <c r="M871" s="126"/>
      <c r="N871" s="126"/>
      <c r="O871" s="126"/>
      <c r="P871" s="126"/>
    </row>
    <row r="872" spans="10:16" ht="15.5" x14ac:dyDescent="0.35">
      <c r="J872" s="126"/>
      <c r="K872" s="126"/>
      <c r="L872" s="126"/>
      <c r="M872" s="126"/>
      <c r="N872" s="126"/>
      <c r="O872" s="126"/>
      <c r="P872" s="126"/>
    </row>
    <row r="873" spans="10:16" ht="15.5" x14ac:dyDescent="0.35">
      <c r="J873" s="126"/>
      <c r="K873" s="126"/>
      <c r="L873" s="126"/>
      <c r="M873" s="126"/>
      <c r="N873" s="126"/>
      <c r="O873" s="126"/>
      <c r="P873" s="126"/>
    </row>
    <row r="874" spans="10:16" ht="15.5" x14ac:dyDescent="0.35">
      <c r="J874" s="126"/>
      <c r="K874" s="126"/>
      <c r="L874" s="126"/>
      <c r="M874" s="126"/>
      <c r="N874" s="126"/>
      <c r="O874" s="126"/>
      <c r="P874" s="126"/>
    </row>
    <row r="875" spans="10:16" ht="15.5" x14ac:dyDescent="0.35">
      <c r="J875" s="126"/>
      <c r="K875" s="126"/>
      <c r="L875" s="126"/>
      <c r="M875" s="126"/>
      <c r="N875" s="126"/>
      <c r="O875" s="126"/>
      <c r="P875" s="126"/>
    </row>
    <row r="876" spans="10:16" ht="15.5" x14ac:dyDescent="0.35">
      <c r="J876" s="126"/>
      <c r="K876" s="126"/>
      <c r="L876" s="126"/>
      <c r="M876" s="126"/>
      <c r="N876" s="126"/>
      <c r="O876" s="126"/>
      <c r="P876" s="126"/>
    </row>
    <row r="877" spans="10:16" ht="15.5" x14ac:dyDescent="0.35">
      <c r="J877" s="126"/>
      <c r="K877" s="126"/>
      <c r="L877" s="126"/>
      <c r="M877" s="126"/>
      <c r="N877" s="126"/>
      <c r="O877" s="126"/>
      <c r="P877" s="126"/>
    </row>
    <row r="878" spans="10:16" ht="15.5" x14ac:dyDescent="0.35">
      <c r="J878" s="126"/>
      <c r="K878" s="126"/>
      <c r="L878" s="126"/>
      <c r="M878" s="126"/>
      <c r="N878" s="126"/>
      <c r="O878" s="126"/>
      <c r="P878" s="126"/>
    </row>
    <row r="879" spans="10:16" ht="15.5" x14ac:dyDescent="0.35">
      <c r="J879" s="126"/>
      <c r="K879" s="126"/>
      <c r="L879" s="126"/>
      <c r="M879" s="126"/>
      <c r="N879" s="126"/>
      <c r="O879" s="126"/>
      <c r="P879" s="126"/>
    </row>
    <row r="880" spans="10:16" ht="15.5" x14ac:dyDescent="0.35">
      <c r="J880" s="126"/>
      <c r="K880" s="126"/>
      <c r="L880" s="126"/>
      <c r="M880" s="126"/>
      <c r="N880" s="126"/>
      <c r="O880" s="126"/>
      <c r="P880" s="126"/>
    </row>
    <row r="881" spans="10:16" ht="15.5" x14ac:dyDescent="0.35">
      <c r="J881" s="126"/>
      <c r="K881" s="126"/>
      <c r="L881" s="126"/>
      <c r="M881" s="126"/>
      <c r="N881" s="126"/>
      <c r="O881" s="126"/>
      <c r="P881" s="126"/>
    </row>
    <row r="882" spans="10:16" ht="34" customHeight="1" x14ac:dyDescent="0.35">
      <c r="J882" s="126"/>
      <c r="K882" s="126"/>
      <c r="L882" s="126"/>
      <c r="M882" s="126"/>
      <c r="N882" s="126"/>
      <c r="O882" s="126"/>
      <c r="P882" s="126"/>
    </row>
    <row r="883" spans="10:16" ht="34" customHeight="1" x14ac:dyDescent="0.35">
      <c r="J883" s="126"/>
      <c r="K883" s="126"/>
      <c r="L883" s="126"/>
      <c r="M883" s="126"/>
      <c r="N883" s="126"/>
      <c r="O883" s="126"/>
      <c r="P883" s="126"/>
    </row>
  </sheetData>
  <autoFilter ref="A1:I293" xr:uid="{D5430313-E926-4D3A-B61F-64A97575AF35}"/>
  <conditionalFormatting sqref="J2:J883">
    <cfRule type="expression" dxfId="2" priority="7">
      <formula>J2&lt;&gt;R2</formula>
    </cfRule>
  </conditionalFormatting>
  <conditionalFormatting sqref="M2:N883">
    <cfRule type="expression" dxfId="1" priority="6">
      <formula>M2&lt;&gt;U2</formula>
    </cfRule>
  </conditionalFormatting>
  <conditionalFormatting sqref="Q2:Q883">
    <cfRule type="expression" dxfId="0" priority="8">
      <formula>Q2&lt;&gt;TRUE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 tổng</vt:lpstr>
      <vt:lpstr>check thong tin ho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Đức Việt Nguyễn</dc:creator>
  <cp:keywords/>
  <dc:description/>
  <cp:lastModifiedBy>Đức Việt Nguyễn</cp:lastModifiedBy>
  <cp:revision/>
  <dcterms:created xsi:type="dcterms:W3CDTF">2015-06-05T18:17:20Z</dcterms:created>
  <dcterms:modified xsi:type="dcterms:W3CDTF">2026-10-23T12:06:03Z</dcterms:modified>
  <cp:category/>
  <cp:contentStatus/>
</cp:coreProperties>
</file>