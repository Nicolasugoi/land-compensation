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admin\Downloads\ubnd\"/>
    </mc:Choice>
  </mc:AlternateContent>
  <xr:revisionPtr revIDLastSave="0" documentId="13_ncr:1_{7A10B057-A38B-482C-A171-D5A50AEEE4EC}" xr6:coauthVersionLast="47" xr6:coauthVersionMax="47" xr10:uidLastSave="{00000000-0000-0000-0000-000000000000}"/>
  <bookViews>
    <workbookView xWindow="-110" yWindow="-110" windowWidth="25820" windowHeight="14620" tabRatio="668" xr2:uid="{00000000-000D-0000-FFFF-FFFF00000000}"/>
  </bookViews>
  <sheets>
    <sheet name="Thôn V" sheetId="15" r:id="rId1"/>
    <sheet name="DL. Cây  (2)" sheetId="16" r:id="rId2"/>
    <sheet name="DL. Cây " sheetId="10" state="hidden" r:id="rId3"/>
    <sheet name="DL. VKT " sheetId="9" state="hidden" r:id="rId4"/>
  </sheets>
  <externalReferences>
    <externalReference r:id="rId5"/>
    <externalReference r:id="rId6"/>
    <externalReference r:id="rId7"/>
  </externalReferences>
  <definedNames>
    <definedName name="_a1" localSheetId="2" hidden="1">{"'Sheet1'!$L$16"}</definedName>
    <definedName name="_a1" localSheetId="1" hidden="1">{"'Sheet1'!$L$16"}</definedName>
    <definedName name="_a1" localSheetId="3" hidden="1">{"'Sheet1'!$L$16"}</definedName>
    <definedName name="_a1" hidden="1">{"'Sheet1'!$L$16"}</definedName>
    <definedName name="_Fill" hidden="1">#REF!</definedName>
    <definedName name="_xlnm._FilterDatabase" localSheetId="2" hidden="1">'DL. Cây '!$C$1:$C$1161</definedName>
    <definedName name="_xlnm._FilterDatabase" localSheetId="1" hidden="1">'DL. Cây  (2)'!$C$1:$C$1161</definedName>
    <definedName name="_xlnm._FilterDatabase" localSheetId="3" hidden="1">'DL. VKT '!$C$1:$C$537</definedName>
    <definedName name="_xlnm._FilterDatabase" localSheetId="0" hidden="1">'Thôn V'!$A$1:$AE$32</definedName>
    <definedName name="_Order1" hidden="1">255</definedName>
    <definedName name="_Order2" hidden="1">255</definedName>
    <definedName name="_Sort" localSheetId="2" hidden="1">#REF!</definedName>
    <definedName name="_Sort" localSheetId="1" hidden="1">#REF!</definedName>
    <definedName name="_Sort" hidden="1">#REF!</definedName>
    <definedName name="BDL.CÂY" localSheetId="2">'DL. Cây '!$B$4:$Z$1562</definedName>
    <definedName name="BDL.CÂY" localSheetId="1">'DL. Cây  (2)'!$B$4:$Z$1562</definedName>
    <definedName name="BDL.CÂY" localSheetId="3">'[1] DL cây 2025'!$B$4:$Z$1553</definedName>
    <definedName name="BDL.CÂY">'[2]DL. Cây'!$B$4:$Z$1512</definedName>
    <definedName name="BDL.VKT" localSheetId="2">'[1]DL. VKT 2025'!$B$2:$AB$892</definedName>
    <definedName name="BDL.VKT" localSheetId="1">'[3]DL. VKT 2025'!$B$2:$AB$892</definedName>
    <definedName name="BDL.VKT" localSheetId="3">'DL. VKT '!$B$2:$AB$892</definedName>
    <definedName name="BDL.VKT">'[2]DL. VKT'!$B$2:$AB$925</definedName>
    <definedName name="Cot.DT.TH" localSheetId="2">#REF!</definedName>
    <definedName name="Cot.DT.TH" localSheetId="1">#REF!</definedName>
    <definedName name="Cot.DT.TH" localSheetId="3">#REF!</definedName>
    <definedName name="Cot.DT.TH">#REF!</definedName>
    <definedName name="Cot.HoTenChuHo" localSheetId="2">#REF!</definedName>
    <definedName name="Cot.HoTenChuHo" localSheetId="1">#REF!</definedName>
    <definedName name="Cot.HoTenChuHo" localSheetId="3">#REF!</definedName>
    <definedName name="Cot.HoTenChuHo">#REF!</definedName>
    <definedName name="Cot.SNK" localSheetId="2">#REF!</definedName>
    <definedName name="Cot.SNK" localSheetId="1">#REF!</definedName>
    <definedName name="Cot.SNK" localSheetId="3">#REF!</definedName>
    <definedName name="Cot.SNK">#REF!</definedName>
    <definedName name="Cot.Sothua" localSheetId="3">#REF!</definedName>
    <definedName name="Cot.Sothua">#REF!</definedName>
    <definedName name="Cot.STT.ho" localSheetId="3">#REF!</definedName>
    <definedName name="Cot.STT.ho">#REF!</definedName>
    <definedName name="Cot.TDT.ĐSD" localSheetId="3">#REF!</definedName>
    <definedName name="Cot.TDT.ĐSD">#REF!</definedName>
    <definedName name="Cot.TLTH" localSheetId="3">#REF!</definedName>
    <definedName name="Cot.TLTH">#REF!</definedName>
    <definedName name="DL.Tong" localSheetId="3">#REF!</definedName>
    <definedName name="DL.Tong">#REF!</definedName>
    <definedName name="erge" localSheetId="2" hidden="1">{"'Sheet1'!$L$16"}</definedName>
    <definedName name="erge" localSheetId="1" hidden="1">{"'Sheet1'!$L$16"}</definedName>
    <definedName name="erge" localSheetId="3" hidden="1">{"'Sheet1'!$L$16"}</definedName>
    <definedName name="erge" hidden="1">{"'Sheet1'!$L$16"}</definedName>
    <definedName name="HTML_CodePage" hidden="1">950</definedName>
    <definedName name="HTML_Control" localSheetId="2" hidden="1">{"'Sheet1'!$L$16"}</definedName>
    <definedName name="HTML_Control" localSheetId="1" hidden="1">{"'Sheet1'!$L$16"}</definedName>
    <definedName name="HTML_Control" localSheetId="3"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2" hidden="1">{"'Sheet1'!$L$16"}</definedName>
    <definedName name="huy" localSheetId="1" hidden="1">{"'Sheet1'!$L$16"}</definedName>
    <definedName name="huy" localSheetId="3" hidden="1">{"'Sheet1'!$L$16"}</definedName>
    <definedName name="huy" hidden="1">{"'Sheet1'!$L$16"}</definedName>
    <definedName name="kl" localSheetId="2" hidden="1">{"'Sheet1'!$L$16"}</definedName>
    <definedName name="kl" localSheetId="1" hidden="1">{"'Sheet1'!$L$16"}</definedName>
    <definedName name="kl" localSheetId="3" hidden="1">{"'Sheet1'!$L$16"}</definedName>
    <definedName name="kl" hidden="1">{"'Sheet1'!$L$16"}</definedName>
    <definedName name="thklcongd" localSheetId="2" hidden="1">{"'Sheet1'!$L$16"}</definedName>
    <definedName name="thklcongd" localSheetId="1" hidden="1">{"'Sheet1'!$L$16"}</definedName>
    <definedName name="thklcongd" localSheetId="3" hidden="1">{"'Sheet1'!$L$16"}</definedName>
    <definedName name="thklcongd" hidden="1">{"'Sheet1'!$L$16"}</definedName>
    <definedName name="THTKS" localSheetId="2" hidden="1">{"'Sheet1'!$L$16"}</definedName>
    <definedName name="THTKS" localSheetId="1" hidden="1">{"'Sheet1'!$L$16"}</definedName>
    <definedName name="THTKS" localSheetId="3" hidden="1">{"'Sheet1'!$L$16"}</definedName>
    <definedName name="THTKS" hidden="1">{"'Sheet1'!$L$16"}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5" l="1"/>
  <c r="Y2" i="15" s="1"/>
  <c r="Z2" i="15" s="1"/>
  <c r="J2" i="15"/>
  <c r="U2" i="15"/>
  <c r="AA2" i="15"/>
  <c r="AB2" i="15"/>
  <c r="AD2" i="15"/>
  <c r="H4" i="15"/>
  <c r="Y4" i="15" s="1"/>
  <c r="Z4" i="15" s="1"/>
  <c r="J4" i="15"/>
  <c r="AA4" i="15"/>
  <c r="AB4" i="15"/>
  <c r="AD4" i="15"/>
  <c r="E6" i="15"/>
  <c r="N9" i="15"/>
  <c r="T9" i="15" s="1"/>
  <c r="Z9" i="15"/>
  <c r="T10" i="15"/>
  <c r="Z10" i="15"/>
  <c r="N11" i="15"/>
  <c r="T11" i="15"/>
  <c r="Z11" i="15"/>
  <c r="P13" i="15"/>
  <c r="T13" i="15"/>
  <c r="Z13" i="15"/>
  <c r="P14" i="15"/>
  <c r="T14" i="15"/>
  <c r="P15" i="15"/>
  <c r="T15" i="15"/>
  <c r="Z15" i="15"/>
  <c r="T16" i="15"/>
  <c r="Z16" i="15"/>
  <c r="T12" i="15" l="1"/>
  <c r="Z8" i="15"/>
  <c r="AA6" i="15" s="1"/>
  <c r="Z12" i="15"/>
  <c r="T8" i="15"/>
  <c r="V4" i="15"/>
  <c r="T27" i="15"/>
  <c r="T26" i="15"/>
  <c r="T25" i="15"/>
  <c r="P30" i="15"/>
  <c r="P31" i="15"/>
  <c r="AB6" i="15" l="1"/>
  <c r="AC6" i="15" s="1"/>
  <c r="Z7" i="15"/>
  <c r="T7" i="15"/>
  <c r="V2" i="15" s="1"/>
  <c r="W2" i="15" s="1"/>
  <c r="AC2" i="15" s="1"/>
  <c r="AE2" i="15" s="1"/>
  <c r="U4" i="15"/>
  <c r="W4" i="15" s="1"/>
  <c r="AC4" i="15" s="1"/>
  <c r="AE4" i="15" s="1"/>
  <c r="P32" i="15"/>
  <c r="T31" i="15" l="1"/>
  <c r="T24" i="15" l="1"/>
  <c r="T30" i="15"/>
  <c r="T32" i="15" l="1"/>
  <c r="T29" i="15" s="1"/>
  <c r="N28" i="15"/>
  <c r="T28" i="15" s="1"/>
  <c r="T23" i="15" l="1"/>
  <c r="T22" i="15" s="1"/>
  <c r="AD19" i="15" l="1"/>
  <c r="AB19" i="15"/>
  <c r="AA19" i="15"/>
  <c r="V19" i="15"/>
  <c r="U19" i="15"/>
  <c r="J19" i="15"/>
  <c r="H19" i="15"/>
  <c r="Y19" i="15" s="1"/>
  <c r="Z19" i="15" s="1"/>
  <c r="AD17" i="15"/>
  <c r="AB17" i="15"/>
  <c r="AA17" i="15"/>
  <c r="V17" i="15"/>
  <c r="U17" i="15"/>
  <c r="J17" i="15"/>
  <c r="H17" i="15"/>
  <c r="Y17" i="15" s="1"/>
  <c r="Z17" i="15" s="1"/>
  <c r="W17" i="15" l="1"/>
  <c r="AC17" i="15" s="1"/>
  <c r="AE17" i="15" s="1"/>
  <c r="AB21" i="15"/>
  <c r="W19" i="15"/>
  <c r="AC19" i="15" s="1"/>
  <c r="AE19" i="15" s="1"/>
  <c r="Z23" i="15" l="1"/>
  <c r="Z22" i="15" s="1"/>
  <c r="AA21" i="15" l="1"/>
  <c r="AC21" i="15" s="1"/>
  <c r="E1037" i="16" l="1"/>
  <c r="E957" i="16"/>
  <c r="E956" i="16"/>
  <c r="E955" i="16"/>
  <c r="E954" i="16"/>
  <c r="E953" i="16"/>
  <c r="E952" i="16"/>
  <c r="E950" i="16"/>
  <c r="E949" i="16"/>
  <c r="E948" i="16"/>
  <c r="E947" i="16"/>
  <c r="E946" i="16"/>
  <c r="E945" i="16"/>
  <c r="E942" i="16"/>
  <c r="E941" i="16"/>
  <c r="E940" i="16"/>
  <c r="E939" i="16"/>
  <c r="E938" i="16"/>
  <c r="E937" i="16"/>
  <c r="E936" i="16"/>
  <c r="E933" i="16"/>
  <c r="E932" i="16"/>
  <c r="E926" i="16"/>
  <c r="E925" i="16"/>
  <c r="E918" i="16"/>
  <c r="E917" i="16"/>
  <c r="E911" i="16"/>
  <c r="E910" i="16"/>
  <c r="E903" i="16"/>
  <c r="E902" i="16"/>
  <c r="E896" i="16"/>
  <c r="E895" i="16"/>
  <c r="E888" i="16"/>
  <c r="E887" i="16"/>
  <c r="E886" i="16"/>
  <c r="E885" i="16"/>
  <c r="E867" i="16"/>
  <c r="E866" i="16"/>
  <c r="E865" i="16"/>
  <c r="E864" i="16"/>
  <c r="E863" i="16"/>
  <c r="E862" i="16"/>
  <c r="E861" i="16"/>
  <c r="E859" i="16"/>
  <c r="E858" i="16"/>
  <c r="E857" i="16"/>
  <c r="E856" i="16"/>
  <c r="E855" i="16"/>
  <c r="E854" i="16"/>
  <c r="E851" i="16"/>
  <c r="E850" i="16"/>
  <c r="E849" i="16"/>
  <c r="E848" i="16"/>
  <c r="E847" i="16"/>
  <c r="E846" i="16"/>
  <c r="E845" i="16"/>
  <c r="E843" i="16"/>
  <c r="E842" i="16"/>
  <c r="E841" i="16"/>
  <c r="E840" i="16"/>
  <c r="E839" i="16"/>
  <c r="E838" i="16"/>
  <c r="E621" i="16"/>
  <c r="E607" i="16"/>
  <c r="E606" i="16"/>
  <c r="E605" i="16"/>
  <c r="E604" i="16"/>
  <c r="E603" i="16"/>
  <c r="E601" i="16"/>
  <c r="E600" i="16"/>
  <c r="E599" i="16"/>
  <c r="E598" i="16"/>
  <c r="E597" i="16"/>
  <c r="E593" i="16"/>
  <c r="E592" i="16"/>
  <c r="E591" i="16"/>
  <c r="E590" i="16"/>
  <c r="E589" i="16"/>
  <c r="E588" i="16"/>
  <c r="E586" i="16"/>
  <c r="E585" i="16"/>
  <c r="E584" i="16"/>
  <c r="E583" i="16"/>
  <c r="E582" i="16"/>
  <c r="E580" i="16"/>
  <c r="E425" i="16"/>
  <c r="I425" i="16" s="1"/>
  <c r="E424" i="16"/>
  <c r="I424" i="16" s="1"/>
  <c r="E423" i="16"/>
  <c r="I423" i="16" s="1"/>
  <c r="E422" i="16"/>
  <c r="I422" i="16" s="1"/>
  <c r="E421" i="16"/>
  <c r="I421" i="16" s="1"/>
  <c r="I420" i="16"/>
  <c r="I419" i="16"/>
  <c r="E419" i="16"/>
  <c r="E418" i="16"/>
  <c r="I418" i="16" s="1"/>
  <c r="E417" i="16"/>
  <c r="I417" i="16" s="1"/>
  <c r="E416" i="16"/>
  <c r="I416" i="16" s="1"/>
  <c r="E415" i="16"/>
  <c r="I415" i="16" s="1"/>
  <c r="I414" i="16"/>
  <c r="E412" i="16"/>
  <c r="I412" i="16" s="1"/>
  <c r="E411" i="16"/>
  <c r="I411" i="16" s="1"/>
  <c r="E410" i="16"/>
  <c r="I410" i="16" s="1"/>
  <c r="E409" i="16"/>
  <c r="I409" i="16" s="1"/>
  <c r="E408" i="16"/>
  <c r="I408" i="16" s="1"/>
  <c r="E407" i="16"/>
  <c r="I407" i="16" s="1"/>
  <c r="E406" i="16"/>
  <c r="I406" i="16" s="1"/>
  <c r="E405" i="16"/>
  <c r="I405" i="16" s="1"/>
  <c r="E404" i="16"/>
  <c r="I404" i="16" s="1"/>
  <c r="E403" i="16"/>
  <c r="I403" i="16" s="1"/>
  <c r="I402" i="16"/>
  <c r="I400" i="16"/>
  <c r="I399" i="16"/>
  <c r="I398" i="16"/>
  <c r="I397" i="16"/>
  <c r="I396" i="16"/>
  <c r="I395" i="16"/>
  <c r="I394" i="16"/>
  <c r="I393" i="16"/>
  <c r="I392" i="16"/>
  <c r="I391" i="16"/>
  <c r="I390" i="16"/>
  <c r="I389" i="16"/>
  <c r="I388" i="16"/>
  <c r="I387" i="16"/>
  <c r="I386" i="16"/>
  <c r="I385" i="16"/>
  <c r="I384" i="16"/>
  <c r="I383" i="16"/>
  <c r="I381" i="16"/>
  <c r="I380" i="16"/>
  <c r="I379" i="16"/>
  <c r="I378" i="16"/>
  <c r="I377" i="16"/>
  <c r="I376" i="16"/>
  <c r="I375" i="16"/>
  <c r="I374" i="16"/>
  <c r="I373" i="16"/>
  <c r="I372" i="16"/>
  <c r="I371" i="16"/>
  <c r="I370" i="16"/>
  <c r="I369" i="16"/>
  <c r="I368" i="16"/>
  <c r="I367" i="16"/>
  <c r="I366" i="16"/>
  <c r="I365" i="16"/>
  <c r="I363" i="16"/>
  <c r="I362" i="16"/>
  <c r="I361" i="16"/>
  <c r="I360" i="16"/>
  <c r="I359" i="16"/>
  <c r="I357" i="16"/>
  <c r="I356" i="16"/>
  <c r="I355" i="16"/>
  <c r="I354" i="16"/>
  <c r="I353" i="16"/>
  <c r="I350" i="16"/>
  <c r="I349" i="16"/>
  <c r="I348" i="16"/>
  <c r="I347" i="16"/>
  <c r="I346" i="16"/>
  <c r="I344" i="16"/>
  <c r="I343" i="16"/>
  <c r="I342" i="16"/>
  <c r="I341" i="16"/>
  <c r="I340" i="16"/>
  <c r="I336" i="16"/>
  <c r="I335" i="16"/>
  <c r="I334" i="16"/>
  <c r="I332" i="16"/>
  <c r="I331" i="16"/>
  <c r="I330" i="16"/>
  <c r="I329" i="16"/>
  <c r="I328" i="16"/>
  <c r="I327" i="16"/>
  <c r="I326" i="16"/>
  <c r="I325" i="16"/>
  <c r="I324" i="16"/>
  <c r="I323" i="16"/>
  <c r="I322" i="16"/>
  <c r="I321" i="16"/>
  <c r="I320" i="16"/>
  <c r="I319" i="16"/>
  <c r="I318" i="16"/>
  <c r="I317" i="16"/>
  <c r="I316" i="16"/>
  <c r="I315" i="16"/>
  <c r="E313" i="16"/>
  <c r="I313" i="16" s="1"/>
  <c r="E312" i="16"/>
  <c r="I312" i="16" s="1"/>
  <c r="E311" i="16"/>
  <c r="I311" i="16" s="1"/>
  <c r="E310" i="16"/>
  <c r="I310" i="16" s="1"/>
  <c r="E309" i="16"/>
  <c r="I309" i="16" s="1"/>
  <c r="E308" i="16"/>
  <c r="I308" i="16" s="1"/>
  <c r="E307" i="16"/>
  <c r="I307" i="16" s="1"/>
  <c r="E306" i="16"/>
  <c r="I306" i="16" s="1"/>
  <c r="I305" i="16"/>
  <c r="E305" i="16"/>
  <c r="E304" i="16"/>
  <c r="I304" i="16" s="1"/>
  <c r="E303" i="16"/>
  <c r="I303" i="16" s="1"/>
  <c r="E302" i="16"/>
  <c r="I302" i="16" s="1"/>
  <c r="E301" i="16"/>
  <c r="I301" i="16" s="1"/>
  <c r="E300" i="16"/>
  <c r="I300" i="16" s="1"/>
  <c r="E299" i="16"/>
  <c r="I299" i="16" s="1"/>
  <c r="E298" i="16"/>
  <c r="I298" i="16" s="1"/>
  <c r="E297" i="16"/>
  <c r="I297" i="16" s="1"/>
  <c r="I296" i="16"/>
  <c r="E295" i="16"/>
  <c r="E294" i="16"/>
  <c r="I294" i="16" s="1"/>
  <c r="E293" i="16"/>
  <c r="I293" i="16" s="1"/>
  <c r="E292" i="16"/>
  <c r="E291" i="16"/>
  <c r="I291" i="16" s="1"/>
  <c r="E290" i="16"/>
  <c r="I290" i="16" s="1"/>
  <c r="I289" i="16"/>
  <c r="E288" i="16"/>
  <c r="I288" i="16" s="1"/>
  <c r="E287" i="16"/>
  <c r="I287" i="16" s="1"/>
  <c r="E286" i="16"/>
  <c r="I286" i="16" s="1"/>
  <c r="E285" i="16"/>
  <c r="I285" i="16" s="1"/>
  <c r="E284" i="16"/>
  <c r="I284" i="16" s="1"/>
  <c r="I283" i="16"/>
  <c r="E281" i="16"/>
  <c r="I281" i="16" s="1"/>
  <c r="E280" i="16"/>
  <c r="I280" i="16" s="1"/>
  <c r="E279" i="16"/>
  <c r="I279" i="16" s="1"/>
  <c r="E278" i="16"/>
  <c r="I278" i="16" s="1"/>
  <c r="E277" i="16"/>
  <c r="I277" i="16" s="1"/>
  <c r="E276" i="16"/>
  <c r="I276" i="16" s="1"/>
  <c r="I275" i="16"/>
  <c r="E275" i="16"/>
  <c r="I274" i="16"/>
  <c r="E274" i="16"/>
  <c r="E273" i="16"/>
  <c r="I273" i="16" s="1"/>
  <c r="E272" i="16"/>
  <c r="I272" i="16" s="1"/>
  <c r="E271" i="16"/>
  <c r="I271" i="16" s="1"/>
  <c r="E270" i="16"/>
  <c r="I270" i="16" s="1"/>
  <c r="I269" i="16"/>
  <c r="E269" i="16"/>
  <c r="E268" i="16"/>
  <c r="E267" i="16"/>
  <c r="I267" i="16" s="1"/>
  <c r="E266" i="16"/>
  <c r="I266" i="16" s="1"/>
  <c r="E265" i="16"/>
  <c r="I265" i="16" s="1"/>
  <c r="E264" i="16"/>
  <c r="I264" i="16" s="1"/>
  <c r="E263" i="16"/>
  <c r="I263" i="16" s="1"/>
  <c r="I262" i="16"/>
  <c r="I261" i="16"/>
  <c r="I260" i="16"/>
  <c r="I259" i="16"/>
  <c r="I258" i="16"/>
  <c r="I257" i="16"/>
  <c r="I256" i="16"/>
  <c r="E255" i="16"/>
  <c r="E254" i="16"/>
  <c r="I254" i="16" s="1"/>
  <c r="E253" i="16"/>
  <c r="I253" i="16" s="1"/>
  <c r="E252" i="16"/>
  <c r="E251" i="16"/>
  <c r="I251" i="16" s="1"/>
  <c r="E250" i="16"/>
  <c r="I250" i="16" s="1"/>
  <c r="I249" i="16"/>
  <c r="E247" i="16"/>
  <c r="I247" i="16" s="1"/>
  <c r="E246" i="16"/>
  <c r="I246" i="16" s="1"/>
  <c r="E245" i="16"/>
  <c r="E244" i="16"/>
  <c r="I244" i="16" s="1"/>
  <c r="E243" i="16"/>
  <c r="I243" i="16" s="1"/>
  <c r="I242" i="16"/>
  <c r="E240" i="16"/>
  <c r="I240" i="16" s="1"/>
  <c r="E239" i="16"/>
  <c r="I239" i="16" s="1"/>
  <c r="E238" i="16"/>
  <c r="I238" i="16" s="1"/>
  <c r="E237" i="16"/>
  <c r="I237" i="16" s="1"/>
  <c r="E236" i="16"/>
  <c r="I236" i="16" s="1"/>
  <c r="I235" i="16"/>
  <c r="I234" i="16"/>
  <c r="I233" i="16"/>
  <c r="I232" i="16"/>
  <c r="I231" i="16"/>
  <c r="I230" i="16"/>
  <c r="I229" i="16"/>
  <c r="E228" i="16"/>
  <c r="E227" i="16"/>
  <c r="I227" i="16" s="1"/>
  <c r="E226" i="16"/>
  <c r="I226" i="16" s="1"/>
  <c r="E225" i="16"/>
  <c r="I225" i="16" s="1"/>
  <c r="E224" i="16"/>
  <c r="I224" i="16" s="1"/>
  <c r="E223" i="16"/>
  <c r="I223" i="16" s="1"/>
  <c r="I222" i="16"/>
  <c r="E222" i="16"/>
  <c r="E221" i="16"/>
  <c r="I221" i="16" s="1"/>
  <c r="E220" i="16"/>
  <c r="I220" i="16" s="1"/>
  <c r="E219" i="16"/>
  <c r="I219" i="16" s="1"/>
  <c r="E218" i="16"/>
  <c r="I218" i="16" s="1"/>
  <c r="E217" i="16"/>
  <c r="I217" i="16" s="1"/>
  <c r="I216" i="16"/>
  <c r="E215" i="16"/>
  <c r="E214" i="16"/>
  <c r="I214" i="16" s="1"/>
  <c r="E213" i="16"/>
  <c r="I213" i="16" s="1"/>
  <c r="E212" i="16"/>
  <c r="I212" i="16" s="1"/>
  <c r="E211" i="16"/>
  <c r="I211" i="16" s="1"/>
  <c r="E210" i="16"/>
  <c r="I210" i="16" s="1"/>
  <c r="E209" i="16"/>
  <c r="I208" i="16"/>
  <c r="E208" i="16"/>
  <c r="E207" i="16"/>
  <c r="I207" i="16" s="1"/>
  <c r="E206" i="16"/>
  <c r="I206" i="16" s="1"/>
  <c r="E205" i="16"/>
  <c r="I205" i="16" s="1"/>
  <c r="E204" i="16"/>
  <c r="I204" i="16" s="1"/>
  <c r="E203" i="16"/>
  <c r="I203" i="16" s="1"/>
  <c r="E202" i="16"/>
  <c r="I201" i="16"/>
  <c r="E201" i="16"/>
  <c r="E200" i="16"/>
  <c r="E199" i="16"/>
  <c r="E198" i="16"/>
  <c r="E197" i="16"/>
  <c r="E196" i="16"/>
  <c r="E195" i="16"/>
  <c r="E194" i="16"/>
  <c r="I193" i="16"/>
  <c r="E193" i="16"/>
  <c r="E192" i="16"/>
  <c r="I192" i="16" s="1"/>
  <c r="E191" i="16"/>
  <c r="I191" i="16" s="1"/>
  <c r="E190" i="16"/>
  <c r="E189" i="16"/>
  <c r="E188" i="16"/>
  <c r="E187" i="16"/>
  <c r="I187" i="16" s="1"/>
  <c r="E186" i="16"/>
  <c r="I186" i="16" s="1"/>
  <c r="E185" i="16"/>
  <c r="I185" i="16" s="1"/>
  <c r="E184" i="16"/>
  <c r="E183" i="16"/>
  <c r="E182" i="16"/>
  <c r="E181" i="16"/>
  <c r="E180" i="16"/>
  <c r="I180" i="16" s="1"/>
  <c r="E179" i="16"/>
  <c r="I179" i="16" s="1"/>
  <c r="E178" i="16"/>
  <c r="E177" i="16"/>
  <c r="E176" i="16"/>
  <c r="E175" i="16"/>
  <c r="I175" i="16" s="1"/>
  <c r="E174" i="16"/>
  <c r="I174" i="16" s="1"/>
  <c r="E173" i="16"/>
  <c r="I173" i="16" s="1"/>
  <c r="E172" i="16"/>
  <c r="I172" i="16" s="1"/>
  <c r="E171" i="16"/>
  <c r="I171" i="16" s="1"/>
  <c r="E170" i="16"/>
  <c r="I170" i="16" s="1"/>
  <c r="E169" i="16"/>
  <c r="I169" i="16" s="1"/>
  <c r="E168" i="16"/>
  <c r="I168" i="16" s="1"/>
  <c r="E167" i="16"/>
  <c r="I167" i="16" s="1"/>
  <c r="E166" i="16"/>
  <c r="I166" i="16" s="1"/>
  <c r="E165" i="16"/>
  <c r="I165" i="16" s="1"/>
  <c r="E164" i="16"/>
  <c r="I164" i="16" s="1"/>
  <c r="G163" i="16"/>
  <c r="I163" i="16" s="1"/>
  <c r="E163" i="16"/>
  <c r="E162" i="16"/>
  <c r="I162" i="16" s="1"/>
  <c r="E161" i="16"/>
  <c r="I161" i="16" s="1"/>
  <c r="E160" i="16"/>
  <c r="I160" i="16" s="1"/>
  <c r="E159" i="16"/>
  <c r="I159" i="16" s="1"/>
  <c r="E158" i="16"/>
  <c r="I158" i="16" s="1"/>
  <c r="E157" i="16"/>
  <c r="I157" i="16" s="1"/>
  <c r="I156" i="16"/>
  <c r="E156" i="16"/>
  <c r="E155" i="16"/>
  <c r="E154" i="16"/>
  <c r="I154" i="16" s="1"/>
  <c r="E153" i="16"/>
  <c r="I153" i="16" s="1"/>
  <c r="E152" i="16"/>
  <c r="I152" i="16" s="1"/>
  <c r="E151" i="16"/>
  <c r="I151" i="16" s="1"/>
  <c r="E150" i="16"/>
  <c r="I150" i="16" s="1"/>
  <c r="E149" i="16"/>
  <c r="I149" i="16" s="1"/>
  <c r="E148" i="16"/>
  <c r="I147" i="16"/>
  <c r="I146" i="16"/>
  <c r="I145" i="16"/>
  <c r="I144" i="16"/>
  <c r="I143" i="16"/>
  <c r="I142" i="16"/>
  <c r="I141" i="16"/>
  <c r="E140" i="16"/>
  <c r="I139" i="16"/>
  <c r="I138" i="16"/>
  <c r="I137" i="16"/>
  <c r="I136" i="16"/>
  <c r="I135" i="16"/>
  <c r="I133" i="16"/>
  <c r="I132" i="16"/>
  <c r="I131" i="16"/>
  <c r="I130" i="16"/>
  <c r="I129" i="16"/>
  <c r="E127" i="16"/>
  <c r="I127" i="16" s="1"/>
  <c r="E126" i="16"/>
  <c r="I126" i="16" s="1"/>
  <c r="E125" i="16"/>
  <c r="I125" i="16" s="1"/>
  <c r="E124" i="16"/>
  <c r="I124" i="16" s="1"/>
  <c r="I123" i="16"/>
  <c r="I122" i="16"/>
  <c r="I121" i="16"/>
  <c r="I120" i="16"/>
  <c r="I119" i="16"/>
  <c r="I118" i="16"/>
  <c r="I117" i="16"/>
  <c r="I116" i="16"/>
  <c r="I115" i="16"/>
  <c r="I114" i="16"/>
  <c r="I113" i="16"/>
  <c r="E111" i="16"/>
  <c r="I111" i="16" s="1"/>
  <c r="E110" i="16"/>
  <c r="I110" i="16" s="1"/>
  <c r="E109" i="16"/>
  <c r="I109" i="16" s="1"/>
  <c r="E108" i="16"/>
  <c r="I108" i="16" s="1"/>
  <c r="I107" i="16"/>
  <c r="E106" i="16"/>
  <c r="I106" i="16" s="1"/>
  <c r="E105" i="16"/>
  <c r="I105" i="16" s="1"/>
  <c r="E104" i="16"/>
  <c r="I104" i="16" s="1"/>
  <c r="E103" i="16"/>
  <c r="I103" i="16" s="1"/>
  <c r="I102" i="16"/>
  <c r="I100" i="16"/>
  <c r="I99" i="16"/>
  <c r="I98" i="16"/>
  <c r="I97" i="16"/>
  <c r="I96" i="16"/>
  <c r="I95" i="16"/>
  <c r="I94" i="16"/>
  <c r="I93" i="16"/>
  <c r="I92" i="16"/>
  <c r="I91" i="16"/>
  <c r="I90" i="16"/>
  <c r="I89" i="16"/>
  <c r="I84" i="16"/>
  <c r="I83" i="16"/>
  <c r="I82" i="16"/>
  <c r="I81" i="16"/>
  <c r="I80" i="16"/>
  <c r="I79" i="16"/>
  <c r="I78" i="16"/>
  <c r="I77" i="16"/>
  <c r="I76" i="16"/>
  <c r="I75" i="16"/>
  <c r="I74" i="16"/>
  <c r="I73" i="16"/>
  <c r="I72" i="16"/>
  <c r="F71" i="16"/>
  <c r="E70" i="16"/>
  <c r="I70" i="16" s="1"/>
  <c r="E69" i="16"/>
  <c r="I69" i="16" s="1"/>
  <c r="E68" i="16"/>
  <c r="I68" i="16" s="1"/>
  <c r="E67" i="16"/>
  <c r="I67" i="16" s="1"/>
  <c r="I66" i="16"/>
  <c r="E65" i="16"/>
  <c r="I65" i="16" s="1"/>
  <c r="E64" i="16"/>
  <c r="I64" i="16" s="1"/>
  <c r="E63" i="16"/>
  <c r="I63" i="16" s="1"/>
  <c r="E62" i="16"/>
  <c r="I62" i="16" s="1"/>
  <c r="I61" i="16"/>
  <c r="I59" i="16"/>
  <c r="I58" i="16"/>
  <c r="I57" i="16"/>
  <c r="I56" i="16"/>
  <c r="I55" i="16"/>
  <c r="I54" i="16"/>
  <c r="I53" i="16"/>
  <c r="I52" i="16"/>
  <c r="I51" i="16"/>
  <c r="I50" i="16"/>
  <c r="I49" i="16"/>
  <c r="I48" i="16"/>
  <c r="I47" i="16"/>
  <c r="I46" i="16"/>
  <c r="I45" i="16"/>
  <c r="I44" i="16"/>
  <c r="I39" i="16"/>
  <c r="I38" i="16"/>
  <c r="I37" i="16"/>
  <c r="I36" i="16"/>
  <c r="I35" i="16"/>
  <c r="I34" i="16"/>
  <c r="I33" i="16"/>
  <c r="I32" i="16"/>
  <c r="G31" i="16"/>
  <c r="I31" i="16" s="1"/>
  <c r="I25" i="16"/>
  <c r="I24" i="16"/>
  <c r="I23" i="16"/>
  <c r="I22" i="16"/>
  <c r="I21" i="16"/>
  <c r="I19" i="16"/>
  <c r="I18" i="16"/>
  <c r="I17" i="16"/>
  <c r="I16" i="16"/>
  <c r="I15" i="16"/>
  <c r="I14" i="16"/>
  <c r="I13" i="16"/>
  <c r="I12" i="16"/>
  <c r="I11" i="16"/>
  <c r="I10" i="16"/>
  <c r="I9" i="16"/>
  <c r="I8" i="16"/>
  <c r="I7" i="16"/>
  <c r="I6" i="16"/>
  <c r="I5" i="16"/>
  <c r="F454" i="9" l="1"/>
  <c r="F453" i="9"/>
  <c r="F452" i="9"/>
  <c r="F451" i="9"/>
  <c r="F450" i="9"/>
  <c r="F449" i="9"/>
  <c r="F448" i="9"/>
  <c r="F446" i="9"/>
  <c r="F445" i="9"/>
  <c r="F444" i="9"/>
  <c r="F433" i="9"/>
  <c r="F432" i="9"/>
  <c r="F431" i="9"/>
  <c r="F430" i="9"/>
  <c r="F428" i="9"/>
  <c r="I427" i="9"/>
  <c r="F427" i="9"/>
  <c r="I426" i="9"/>
  <c r="F426" i="9"/>
  <c r="F425" i="9"/>
  <c r="F424" i="9"/>
  <c r="F423" i="9"/>
  <c r="J422" i="9"/>
  <c r="F422" i="9"/>
  <c r="J421" i="9"/>
  <c r="F421" i="9"/>
  <c r="F420" i="9"/>
  <c r="F418" i="9"/>
  <c r="F417" i="9"/>
  <c r="F406" i="9"/>
  <c r="F405" i="9"/>
  <c r="F402" i="9"/>
  <c r="F400" i="9"/>
  <c r="F399" i="9"/>
  <c r="F398" i="9"/>
  <c r="F396" i="9"/>
  <c r="F394" i="9"/>
  <c r="F393" i="9"/>
  <c r="F392" i="9"/>
  <c r="F391" i="9"/>
  <c r="F389" i="9"/>
  <c r="F388" i="9"/>
  <c r="F387" i="9"/>
  <c r="F386" i="9"/>
  <c r="F384" i="9"/>
  <c r="F383" i="9"/>
  <c r="F382" i="9"/>
  <c r="F381" i="9"/>
  <c r="F380" i="9"/>
  <c r="F379" i="9"/>
  <c r="F376" i="9"/>
  <c r="F375" i="9"/>
  <c r="F374" i="9"/>
  <c r="F373" i="9"/>
  <c r="F372" i="9"/>
  <c r="F371" i="9"/>
  <c r="F369" i="9"/>
  <c r="F368" i="9"/>
  <c r="F367" i="9"/>
  <c r="F366" i="9"/>
  <c r="F365" i="9"/>
  <c r="F364" i="9"/>
  <c r="F363" i="9"/>
  <c r="F362" i="9"/>
  <c r="F361" i="9"/>
  <c r="F360" i="9"/>
  <c r="F359" i="9"/>
  <c r="F357" i="9"/>
  <c r="F356" i="9"/>
  <c r="F355" i="9"/>
  <c r="F353" i="9"/>
  <c r="F352" i="9"/>
  <c r="F351" i="9"/>
  <c r="F350" i="9"/>
  <c r="F348" i="9"/>
  <c r="F347" i="9"/>
  <c r="F346" i="9"/>
  <c r="F344" i="9"/>
  <c r="F343" i="9"/>
  <c r="F342" i="9"/>
  <c r="F340" i="9"/>
  <c r="F339" i="9"/>
  <c r="F338" i="9"/>
  <c r="F337" i="9"/>
  <c r="F335" i="9"/>
  <c r="F334" i="9"/>
  <c r="F333" i="9"/>
  <c r="F332" i="9"/>
  <c r="F331" i="9"/>
  <c r="F330" i="9"/>
  <c r="F328" i="9"/>
  <c r="F327" i="9"/>
  <c r="F326" i="9"/>
  <c r="F325" i="9"/>
  <c r="F323" i="9"/>
  <c r="F322" i="9"/>
  <c r="F321" i="9"/>
  <c r="F320" i="9"/>
  <c r="F319" i="9"/>
  <c r="F318" i="9"/>
  <c r="F317" i="9"/>
  <c r="F316" i="9"/>
  <c r="F315" i="9"/>
  <c r="F313" i="9"/>
  <c r="F312" i="9"/>
  <c r="F311" i="9"/>
  <c r="F310" i="9"/>
  <c r="F308" i="9"/>
  <c r="F307" i="9"/>
  <c r="F306" i="9"/>
  <c r="F304" i="9"/>
  <c r="F303" i="9"/>
  <c r="F302" i="9"/>
  <c r="F301" i="9"/>
  <c r="F300" i="9"/>
  <c r="F298" i="9"/>
  <c r="F297" i="9"/>
  <c r="F296" i="9"/>
  <c r="F295" i="9"/>
  <c r="F294" i="9"/>
  <c r="F293" i="9"/>
  <c r="F292" i="9"/>
  <c r="F291" i="9"/>
  <c r="F290" i="9"/>
  <c r="F289" i="9"/>
  <c r="F288" i="9"/>
  <c r="F287" i="9"/>
  <c r="F285" i="9"/>
  <c r="F284" i="9"/>
  <c r="F283" i="9"/>
  <c r="F282" i="9"/>
  <c r="F280" i="9"/>
  <c r="F279" i="9"/>
  <c r="F278" i="9"/>
  <c r="F276" i="9"/>
  <c r="F275" i="9"/>
  <c r="F274" i="9"/>
  <c r="F273" i="9"/>
  <c r="F272" i="9"/>
  <c r="F271" i="9"/>
  <c r="F270" i="9"/>
  <c r="F266" i="9"/>
  <c r="F265" i="9"/>
  <c r="F264" i="9"/>
  <c r="F263" i="9"/>
  <c r="F262" i="9"/>
  <c r="F261" i="9"/>
  <c r="F260" i="9"/>
  <c r="F259" i="9"/>
  <c r="F256" i="9"/>
  <c r="F255" i="9"/>
  <c r="F254" i="9"/>
  <c r="F253" i="9"/>
  <c r="F252" i="9"/>
  <c r="F249" i="9"/>
  <c r="F248" i="9"/>
  <c r="F247" i="9"/>
  <c r="F246" i="9"/>
  <c r="F245" i="9"/>
  <c r="F244" i="9"/>
  <c r="F243" i="9"/>
  <c r="F242" i="9"/>
  <c r="F241" i="9"/>
  <c r="F240" i="9"/>
  <c r="F239" i="9"/>
  <c r="F238" i="9"/>
  <c r="F237" i="9"/>
  <c r="F236" i="9"/>
  <c r="F235" i="9"/>
  <c r="F231" i="9"/>
  <c r="F230" i="9"/>
  <c r="F229" i="9"/>
  <c r="F228" i="9"/>
  <c r="F227" i="9"/>
  <c r="F226" i="9"/>
  <c r="F225" i="9"/>
  <c r="F224" i="9"/>
  <c r="F223" i="9"/>
  <c r="F222" i="9"/>
  <c r="F221" i="9"/>
  <c r="F220" i="9"/>
  <c r="F219" i="9"/>
  <c r="F218" i="9"/>
  <c r="F217" i="9"/>
  <c r="F213" i="9"/>
  <c r="F212" i="9"/>
  <c r="F211" i="9"/>
  <c r="F210" i="9"/>
  <c r="F209" i="9"/>
  <c r="F208" i="9"/>
  <c r="F207" i="9"/>
  <c r="F206" i="9"/>
  <c r="F205" i="9"/>
  <c r="F204" i="9"/>
  <c r="F203" i="9"/>
  <c r="F202" i="9"/>
  <c r="F201" i="9"/>
  <c r="F200" i="9"/>
  <c r="F199" i="9"/>
  <c r="F195" i="9"/>
  <c r="F194" i="9"/>
  <c r="F193" i="9"/>
  <c r="F192" i="9"/>
  <c r="F191" i="9"/>
  <c r="F190" i="9"/>
  <c r="F189" i="9"/>
  <c r="F188" i="9"/>
  <c r="F187" i="9"/>
  <c r="F186" i="9"/>
  <c r="F185" i="9"/>
  <c r="F184" i="9"/>
  <c r="F183" i="9"/>
  <c r="F182" i="9"/>
  <c r="F181" i="9"/>
  <c r="F178" i="9"/>
  <c r="F175" i="9"/>
  <c r="D175" i="9"/>
  <c r="F174" i="9"/>
  <c r="F171" i="9"/>
  <c r="D171" i="9"/>
  <c r="F166" i="9"/>
  <c r="D166" i="9"/>
  <c r="F165" i="9"/>
  <c r="F162" i="9"/>
  <c r="D162" i="9"/>
  <c r="F160" i="9"/>
  <c r="F157" i="9"/>
  <c r="D157" i="9"/>
  <c r="F156" i="9"/>
  <c r="F153" i="9"/>
  <c r="D153" i="9"/>
  <c r="F152" i="9"/>
  <c r="F149" i="9"/>
  <c r="D149" i="9"/>
  <c r="F147" i="9"/>
  <c r="F144" i="9"/>
  <c r="D144" i="9"/>
  <c r="F143" i="9"/>
  <c r="F140" i="9"/>
  <c r="D140" i="9"/>
  <c r="F139" i="9"/>
  <c r="F136" i="9"/>
  <c r="D136" i="9"/>
  <c r="F134" i="9"/>
  <c r="F131" i="9"/>
  <c r="D131" i="9"/>
  <c r="F130" i="9"/>
  <c r="F127" i="9"/>
  <c r="D127" i="9"/>
  <c r="F126" i="9"/>
  <c r="F123" i="9"/>
  <c r="D123" i="9"/>
  <c r="F121" i="9"/>
  <c r="F120" i="9"/>
  <c r="F119" i="9"/>
  <c r="F118" i="9"/>
  <c r="F116" i="9"/>
  <c r="F115" i="9"/>
  <c r="F114" i="9"/>
  <c r="F113" i="9"/>
  <c r="F112" i="9"/>
  <c r="F111" i="9"/>
  <c r="F110" i="9"/>
  <c r="F109" i="9"/>
  <c r="F108" i="9"/>
  <c r="F107" i="9"/>
  <c r="F106" i="9"/>
  <c r="F103" i="9"/>
  <c r="F102" i="9"/>
  <c r="F101" i="9"/>
  <c r="F100" i="9"/>
  <c r="F99" i="9"/>
  <c r="F98" i="9"/>
  <c r="F97" i="9"/>
  <c r="F96" i="9"/>
  <c r="F95" i="9"/>
  <c r="F94" i="9"/>
  <c r="F93" i="9"/>
  <c r="F90" i="9"/>
  <c r="F89" i="9"/>
  <c r="F88" i="9"/>
  <c r="F87" i="9"/>
  <c r="F86" i="9"/>
  <c r="F85" i="9"/>
  <c r="F84" i="9"/>
  <c r="F83" i="9"/>
  <c r="F82" i="9"/>
  <c r="F81" i="9"/>
  <c r="F80" i="9"/>
  <c r="F77" i="9"/>
  <c r="F76" i="9"/>
  <c r="F75" i="9"/>
  <c r="F74" i="9"/>
  <c r="F73" i="9"/>
  <c r="F72" i="9"/>
  <c r="F71" i="9"/>
  <c r="F70" i="9"/>
  <c r="F69" i="9"/>
  <c r="F68" i="9"/>
  <c r="F67" i="9"/>
  <c r="F64" i="9"/>
  <c r="F63" i="9"/>
  <c r="F62" i="9"/>
  <c r="F61" i="9"/>
  <c r="F60" i="9"/>
  <c r="F59" i="9"/>
  <c r="F58" i="9"/>
  <c r="F57" i="9"/>
  <c r="F56" i="9"/>
  <c r="F55" i="9"/>
  <c r="F54" i="9"/>
  <c r="F51" i="9"/>
  <c r="F50" i="9"/>
  <c r="F49" i="9"/>
  <c r="F48" i="9"/>
  <c r="F47" i="9"/>
  <c r="F46" i="9"/>
  <c r="F45" i="9"/>
  <c r="F44" i="9"/>
  <c r="F43" i="9"/>
  <c r="F42" i="9"/>
  <c r="F41" i="9"/>
  <c r="F37" i="9"/>
  <c r="F36" i="9"/>
  <c r="F35" i="9"/>
  <c r="F34" i="9"/>
  <c r="F33" i="9"/>
  <c r="F32" i="9"/>
  <c r="F31" i="9"/>
  <c r="F30" i="9"/>
  <c r="F29" i="9"/>
  <c r="F28" i="9"/>
  <c r="F27" i="9"/>
  <c r="F26" i="9"/>
  <c r="F25" i="9"/>
  <c r="F24" i="9"/>
  <c r="F23" i="9"/>
  <c r="F19" i="9"/>
  <c r="F18" i="9"/>
  <c r="F17" i="9"/>
  <c r="F16" i="9"/>
  <c r="F15" i="9"/>
  <c r="F14" i="9"/>
  <c r="F13" i="9"/>
  <c r="F12" i="9"/>
  <c r="F11" i="9"/>
  <c r="F10" i="9"/>
  <c r="F9" i="9"/>
  <c r="F7" i="9"/>
  <c r="F6" i="9"/>
  <c r="F5" i="9"/>
  <c r="E1037" i="10"/>
  <c r="E957" i="10"/>
  <c r="E956" i="10"/>
  <c r="E955" i="10"/>
  <c r="E954" i="10"/>
  <c r="E953" i="10"/>
  <c r="E952" i="10"/>
  <c r="E950" i="10"/>
  <c r="E949" i="10"/>
  <c r="E948" i="10"/>
  <c r="E947" i="10"/>
  <c r="E946" i="10"/>
  <c r="E945" i="10"/>
  <c r="E942" i="10"/>
  <c r="E941" i="10"/>
  <c r="E940" i="10"/>
  <c r="E939" i="10"/>
  <c r="E938" i="10"/>
  <c r="E937" i="10"/>
  <c r="E936" i="10"/>
  <c r="E933" i="10"/>
  <c r="E932" i="10"/>
  <c r="E926" i="10"/>
  <c r="E925" i="10"/>
  <c r="E918" i="10"/>
  <c r="E917" i="10"/>
  <c r="E911" i="10"/>
  <c r="E910" i="10"/>
  <c r="E903" i="10"/>
  <c r="E902" i="10"/>
  <c r="E896" i="10"/>
  <c r="E895" i="10"/>
  <c r="E888" i="10"/>
  <c r="E887" i="10"/>
  <c r="E886" i="10"/>
  <c r="E885" i="10"/>
  <c r="E867" i="10"/>
  <c r="E866" i="10"/>
  <c r="E865" i="10"/>
  <c r="E864" i="10"/>
  <c r="E863" i="10"/>
  <c r="E862" i="10"/>
  <c r="E861" i="10"/>
  <c r="E859" i="10"/>
  <c r="E858" i="10"/>
  <c r="E857" i="10"/>
  <c r="E856" i="10"/>
  <c r="E855" i="10"/>
  <c r="E854" i="10"/>
  <c r="E851" i="10"/>
  <c r="E850" i="10"/>
  <c r="E849" i="10"/>
  <c r="E848" i="10"/>
  <c r="E847" i="10"/>
  <c r="E846" i="10"/>
  <c r="E845" i="10"/>
  <c r="E843" i="10"/>
  <c r="E842" i="10"/>
  <c r="E841" i="10"/>
  <c r="E840" i="10"/>
  <c r="E839" i="10"/>
  <c r="E838" i="10"/>
  <c r="E621" i="10"/>
  <c r="E607" i="10"/>
  <c r="E606" i="10"/>
  <c r="E605" i="10"/>
  <c r="E604" i="10"/>
  <c r="E603" i="10"/>
  <c r="E601" i="10"/>
  <c r="E600" i="10"/>
  <c r="E599" i="10"/>
  <c r="E598" i="10"/>
  <c r="E597" i="10"/>
  <c r="E593" i="10"/>
  <c r="E592" i="10"/>
  <c r="E591" i="10"/>
  <c r="E590" i="10"/>
  <c r="E589" i="10"/>
  <c r="E588" i="10"/>
  <c r="E586" i="10"/>
  <c r="E585" i="10"/>
  <c r="E584" i="10"/>
  <c r="E583" i="10"/>
  <c r="E582" i="10"/>
  <c r="E580" i="10"/>
  <c r="E425" i="10"/>
  <c r="E424" i="10"/>
  <c r="E423" i="10"/>
  <c r="E422" i="10"/>
  <c r="E421" i="10"/>
  <c r="I420" i="10"/>
  <c r="E419" i="10"/>
  <c r="E418" i="10"/>
  <c r="E417" i="10"/>
  <c r="E416" i="10"/>
  <c r="E415" i="10"/>
  <c r="I414" i="10"/>
  <c r="E412" i="10"/>
  <c r="E411" i="10"/>
  <c r="E410" i="10"/>
  <c r="E409" i="10"/>
  <c r="E408" i="10"/>
  <c r="E407" i="10"/>
  <c r="E406" i="10"/>
  <c r="E405" i="10"/>
  <c r="E404" i="10"/>
  <c r="E403" i="10"/>
  <c r="I402" i="10"/>
  <c r="I400" i="10"/>
  <c r="I399" i="10"/>
  <c r="I398" i="10"/>
  <c r="I397" i="10"/>
  <c r="I396" i="10"/>
  <c r="I395" i="10"/>
  <c r="I394" i="10"/>
  <c r="I393" i="10"/>
  <c r="I392" i="10"/>
  <c r="I391" i="10"/>
  <c r="I390" i="10"/>
  <c r="I389" i="10"/>
  <c r="I388" i="10"/>
  <c r="I387" i="10"/>
  <c r="I386" i="10"/>
  <c r="I385" i="10"/>
  <c r="I384" i="10"/>
  <c r="I383" i="10"/>
  <c r="I381" i="10"/>
  <c r="I380" i="10"/>
  <c r="I379" i="10"/>
  <c r="I378" i="10"/>
  <c r="I377" i="10"/>
  <c r="I376" i="10"/>
  <c r="I375" i="10"/>
  <c r="I374" i="10"/>
  <c r="I373" i="10"/>
  <c r="I372" i="10"/>
  <c r="I371" i="10"/>
  <c r="I370" i="10"/>
  <c r="I369" i="10"/>
  <c r="I368" i="10"/>
  <c r="I367" i="10"/>
  <c r="I366" i="10"/>
  <c r="I365" i="10"/>
  <c r="I363" i="10"/>
  <c r="I362" i="10"/>
  <c r="I361" i="10"/>
  <c r="I360" i="10"/>
  <c r="I359" i="10"/>
  <c r="I357" i="10"/>
  <c r="I356" i="10"/>
  <c r="I355" i="10"/>
  <c r="I354" i="10"/>
  <c r="I353" i="10"/>
  <c r="I350" i="10"/>
  <c r="I349" i="10"/>
  <c r="I348" i="10"/>
  <c r="I347" i="10"/>
  <c r="I346" i="10"/>
  <c r="I344" i="10"/>
  <c r="I343" i="10"/>
  <c r="I342" i="10"/>
  <c r="I341" i="10"/>
  <c r="I340" i="10"/>
  <c r="I336" i="10"/>
  <c r="I335" i="10"/>
  <c r="I334" i="10"/>
  <c r="I332" i="10"/>
  <c r="I331" i="10"/>
  <c r="I330" i="10"/>
  <c r="I329" i="10"/>
  <c r="I328" i="10"/>
  <c r="I327" i="10"/>
  <c r="I326" i="10"/>
  <c r="I325" i="10"/>
  <c r="I324" i="10"/>
  <c r="I323" i="10"/>
  <c r="I322" i="10"/>
  <c r="I321" i="10"/>
  <c r="I320" i="10"/>
  <c r="I319" i="10"/>
  <c r="I318" i="10"/>
  <c r="I317" i="10"/>
  <c r="I316" i="10"/>
  <c r="I315" i="10"/>
  <c r="E313" i="10"/>
  <c r="E312" i="10"/>
  <c r="E311" i="10"/>
  <c r="E310" i="10"/>
  <c r="E309" i="10"/>
  <c r="I309" i="10" s="1"/>
  <c r="E308" i="10"/>
  <c r="E307" i="10"/>
  <c r="I307" i="10" s="1"/>
  <c r="E306" i="10"/>
  <c r="I305" i="10"/>
  <c r="E305" i="10"/>
  <c r="E304" i="10"/>
  <c r="I304" i="10" s="1"/>
  <c r="E303" i="10"/>
  <c r="E302" i="10"/>
  <c r="I302" i="10" s="1"/>
  <c r="E301" i="10"/>
  <c r="E300" i="10"/>
  <c r="E299" i="10"/>
  <c r="E298" i="10"/>
  <c r="I298" i="10" s="1"/>
  <c r="E297" i="10"/>
  <c r="I296" i="10"/>
  <c r="E295" i="10"/>
  <c r="E294" i="10"/>
  <c r="I294" i="10" s="1"/>
  <c r="E293" i="10"/>
  <c r="E292" i="10"/>
  <c r="E291" i="10"/>
  <c r="E290" i="10"/>
  <c r="I289" i="10"/>
  <c r="E288" i="10"/>
  <c r="I288" i="10" s="1"/>
  <c r="E287" i="10"/>
  <c r="E286" i="10"/>
  <c r="E285" i="10"/>
  <c r="E284" i="10"/>
  <c r="I283" i="10"/>
  <c r="E281" i="10"/>
  <c r="E280" i="10"/>
  <c r="I280" i="10" s="1"/>
  <c r="E279" i="10"/>
  <c r="E278" i="10"/>
  <c r="E277" i="10"/>
  <c r="I277" i="10" s="1"/>
  <c r="E276" i="10"/>
  <c r="I275" i="10"/>
  <c r="E275" i="10"/>
  <c r="E274" i="10"/>
  <c r="I274" i="10" s="1"/>
  <c r="E273" i="10"/>
  <c r="E272" i="10"/>
  <c r="I272" i="10" s="1"/>
  <c r="E271" i="10"/>
  <c r="E270" i="10"/>
  <c r="I270" i="10" s="1"/>
  <c r="I269" i="10"/>
  <c r="E269" i="10"/>
  <c r="E268" i="10"/>
  <c r="E267" i="10"/>
  <c r="E266" i="10"/>
  <c r="E265" i="10"/>
  <c r="E264" i="10"/>
  <c r="E263" i="10"/>
  <c r="I262" i="10"/>
  <c r="I261" i="10"/>
  <c r="I260" i="10"/>
  <c r="I259" i="10"/>
  <c r="I258" i="10"/>
  <c r="I257" i="10"/>
  <c r="I256" i="10"/>
  <c r="E255" i="10"/>
  <c r="E254" i="10"/>
  <c r="E253" i="10"/>
  <c r="E252" i="10"/>
  <c r="E251" i="10"/>
  <c r="E250" i="10"/>
  <c r="I250" i="10" s="1"/>
  <c r="I249" i="10"/>
  <c r="E247" i="10"/>
  <c r="I247" i="10" s="1"/>
  <c r="E246" i="10"/>
  <c r="E245" i="10"/>
  <c r="E244" i="10"/>
  <c r="I244" i="10" s="1"/>
  <c r="E243" i="10"/>
  <c r="I242" i="10"/>
  <c r="E240" i="10"/>
  <c r="I240" i="10" s="1"/>
  <c r="E239" i="10"/>
  <c r="E238" i="10"/>
  <c r="I238" i="10" s="1"/>
  <c r="E237" i="10"/>
  <c r="E236" i="10"/>
  <c r="I235" i="10"/>
  <c r="I234" i="10"/>
  <c r="I233" i="10"/>
  <c r="I232" i="10"/>
  <c r="I231" i="10"/>
  <c r="I230" i="10"/>
  <c r="I229" i="10"/>
  <c r="E228" i="10"/>
  <c r="E227" i="10"/>
  <c r="E226" i="10"/>
  <c r="E225" i="10"/>
  <c r="E224" i="10"/>
  <c r="I224" i="10" s="1"/>
  <c r="E223" i="10"/>
  <c r="I222" i="10"/>
  <c r="E222" i="10"/>
  <c r="E221" i="10"/>
  <c r="E220" i="10"/>
  <c r="E219" i="10"/>
  <c r="E218" i="10"/>
  <c r="E217" i="10"/>
  <c r="I217" i="10" s="1"/>
  <c r="I216" i="10"/>
  <c r="E215" i="10"/>
  <c r="E214" i="10"/>
  <c r="E213" i="10"/>
  <c r="I213" i="10" s="1"/>
  <c r="E212" i="10"/>
  <c r="I212" i="10" s="1"/>
  <c r="E211" i="10"/>
  <c r="E210" i="10"/>
  <c r="E209" i="10"/>
  <c r="I208" i="10"/>
  <c r="E208" i="10"/>
  <c r="E207" i="10"/>
  <c r="E206" i="10"/>
  <c r="E205" i="10"/>
  <c r="E204" i="10"/>
  <c r="E203" i="10"/>
  <c r="E202" i="10"/>
  <c r="I201" i="10"/>
  <c r="E201" i="10"/>
  <c r="E200" i="10"/>
  <c r="E199" i="10"/>
  <c r="E198" i="10"/>
  <c r="E197" i="10"/>
  <c r="E196" i="10"/>
  <c r="E195" i="10"/>
  <c r="E194" i="10"/>
  <c r="E193" i="10"/>
  <c r="E192" i="10"/>
  <c r="I192" i="10" s="1"/>
  <c r="E191" i="10"/>
  <c r="E190" i="10"/>
  <c r="E189" i="10"/>
  <c r="E188" i="10"/>
  <c r="E187" i="10"/>
  <c r="I187" i="10" s="1"/>
  <c r="E186" i="10"/>
  <c r="I186" i="10" s="1"/>
  <c r="E185" i="10"/>
  <c r="E184" i="10"/>
  <c r="E183" i="10"/>
  <c r="E182" i="10"/>
  <c r="E181" i="10"/>
  <c r="E180" i="10"/>
  <c r="I180" i="10" s="1"/>
  <c r="E179" i="10"/>
  <c r="E178" i="10"/>
  <c r="E177" i="10"/>
  <c r="E176" i="10"/>
  <c r="E175" i="10"/>
  <c r="I175" i="10" s="1"/>
  <c r="E174" i="10"/>
  <c r="E173" i="10"/>
  <c r="E172" i="10"/>
  <c r="E171" i="10"/>
  <c r="E170" i="10"/>
  <c r="E169" i="10"/>
  <c r="I169" i="10" s="1"/>
  <c r="E168" i="10"/>
  <c r="E167" i="10"/>
  <c r="I167" i="10" s="1"/>
  <c r="E166" i="10"/>
  <c r="E165" i="10"/>
  <c r="E164" i="10"/>
  <c r="I164" i="10" s="1"/>
  <c r="G163" i="10"/>
  <c r="E163" i="10"/>
  <c r="E162" i="10"/>
  <c r="E161" i="10"/>
  <c r="I161" i="10" s="1"/>
  <c r="E160" i="10"/>
  <c r="E159" i="10"/>
  <c r="I159" i="10" s="1"/>
  <c r="E158" i="10"/>
  <c r="E157" i="10"/>
  <c r="I156" i="10"/>
  <c r="E156" i="10"/>
  <c r="E155" i="10"/>
  <c r="E154" i="10"/>
  <c r="E153" i="10"/>
  <c r="I153" i="10" s="1"/>
  <c r="E152" i="10"/>
  <c r="E151" i="10"/>
  <c r="I151" i="10" s="1"/>
  <c r="E150" i="10"/>
  <c r="E149" i="10"/>
  <c r="I149" i="10" s="1"/>
  <c r="E148" i="10"/>
  <c r="I147" i="10"/>
  <c r="I146" i="10"/>
  <c r="I145" i="10"/>
  <c r="I144" i="10"/>
  <c r="I143" i="10"/>
  <c r="I142" i="10"/>
  <c r="I141" i="10"/>
  <c r="E140" i="10"/>
  <c r="I139" i="10"/>
  <c r="I138" i="10"/>
  <c r="I137" i="10"/>
  <c r="I136" i="10"/>
  <c r="I135" i="10"/>
  <c r="I133" i="10"/>
  <c r="I132" i="10"/>
  <c r="I131" i="10"/>
  <c r="I130" i="10"/>
  <c r="I129" i="10"/>
  <c r="E127" i="10"/>
  <c r="E126" i="10"/>
  <c r="E125" i="10"/>
  <c r="E124" i="10"/>
  <c r="I123" i="10"/>
  <c r="I122" i="10"/>
  <c r="I121" i="10"/>
  <c r="I120" i="10"/>
  <c r="I119" i="10"/>
  <c r="I118" i="10"/>
  <c r="I117" i="10"/>
  <c r="I116" i="10"/>
  <c r="I115" i="10"/>
  <c r="I114" i="10"/>
  <c r="I113" i="10"/>
  <c r="E111" i="10"/>
  <c r="E110" i="10"/>
  <c r="E109" i="10"/>
  <c r="E108" i="10"/>
  <c r="I107" i="10"/>
  <c r="E106" i="10"/>
  <c r="E105" i="10"/>
  <c r="E104" i="10"/>
  <c r="E103" i="10"/>
  <c r="I102" i="10"/>
  <c r="I100" i="10"/>
  <c r="I99" i="10"/>
  <c r="I98" i="10"/>
  <c r="I97" i="10"/>
  <c r="I96" i="10"/>
  <c r="I95" i="10"/>
  <c r="I94" i="10"/>
  <c r="I93" i="10"/>
  <c r="I92" i="10"/>
  <c r="I91" i="10"/>
  <c r="I90" i="10"/>
  <c r="I89" i="10"/>
  <c r="I84" i="10"/>
  <c r="I83" i="10"/>
  <c r="I82" i="10"/>
  <c r="I81" i="10"/>
  <c r="I80" i="10"/>
  <c r="I79" i="10"/>
  <c r="I78" i="10"/>
  <c r="I77" i="10"/>
  <c r="I76" i="10"/>
  <c r="I75" i="10"/>
  <c r="I74" i="10"/>
  <c r="I73" i="10"/>
  <c r="I72" i="10"/>
  <c r="F71" i="10"/>
  <c r="E70" i="10"/>
  <c r="E69" i="10"/>
  <c r="E68" i="10"/>
  <c r="E67" i="10"/>
  <c r="I66" i="10"/>
  <c r="E65" i="10"/>
  <c r="E64" i="10"/>
  <c r="E63" i="10"/>
  <c r="E62" i="10"/>
  <c r="I61" i="10"/>
  <c r="I59" i="10"/>
  <c r="I58" i="10"/>
  <c r="I57" i="10"/>
  <c r="I56" i="10"/>
  <c r="I55" i="10"/>
  <c r="I54" i="10"/>
  <c r="I53" i="10"/>
  <c r="I52" i="10"/>
  <c r="I51" i="10"/>
  <c r="I50" i="10"/>
  <c r="I49" i="10"/>
  <c r="I48" i="10"/>
  <c r="I47" i="10"/>
  <c r="I46" i="10"/>
  <c r="I45" i="10"/>
  <c r="I44" i="10"/>
  <c r="I39" i="10"/>
  <c r="I38" i="10"/>
  <c r="I37" i="10"/>
  <c r="I36" i="10"/>
  <c r="I35" i="10"/>
  <c r="I34" i="10"/>
  <c r="I33" i="10"/>
  <c r="I32" i="10"/>
  <c r="G31" i="10"/>
  <c r="I25" i="10"/>
  <c r="I24" i="10"/>
  <c r="I23" i="10"/>
  <c r="I22" i="10"/>
  <c r="I21" i="10"/>
  <c r="I19" i="10"/>
  <c r="I18" i="10"/>
  <c r="I17" i="10"/>
  <c r="I16" i="10"/>
  <c r="I15" i="10"/>
  <c r="I14" i="10"/>
  <c r="I13" i="10"/>
  <c r="I12" i="10"/>
  <c r="I11" i="10"/>
  <c r="I10" i="10"/>
  <c r="I9" i="10"/>
  <c r="I8" i="10"/>
  <c r="I7" i="10"/>
  <c r="I6" i="10"/>
  <c r="I5" i="10"/>
  <c r="F169" i="9" l="1"/>
  <c r="I303" i="10"/>
  <c r="I297" i="10"/>
  <c r="I291" i="10"/>
  <c r="I290" i="10"/>
  <c r="I286" i="10"/>
  <c r="I285" i="10"/>
  <c r="I284" i="10"/>
  <c r="I276" i="10"/>
  <c r="I273" i="10"/>
  <c r="I271" i="10"/>
  <c r="I251" i="10"/>
  <c r="I246" i="10"/>
  <c r="I243" i="10"/>
  <c r="I236" i="10"/>
  <c r="I223" i="10"/>
  <c r="I221" i="10"/>
  <c r="I220" i="10"/>
  <c r="I219" i="10"/>
  <c r="I218" i="10"/>
  <c r="I214" i="10"/>
  <c r="I211" i="10"/>
  <c r="I191" i="10"/>
  <c r="I185" i="10"/>
  <c r="I179" i="10"/>
  <c r="I168" i="10"/>
  <c r="I163" i="10"/>
  <c r="I162" i="10"/>
  <c r="I158" i="10"/>
  <c r="I157" i="10"/>
  <c r="I152" i="10"/>
  <c r="I425" i="10"/>
  <c r="I424" i="10"/>
  <c r="I423" i="10"/>
  <c r="I422" i="10"/>
  <c r="I421" i="10"/>
  <c r="I419" i="10"/>
  <c r="I418" i="10"/>
  <c r="I417" i="10"/>
  <c r="I416" i="10"/>
  <c r="I415" i="10"/>
  <c r="I412" i="10"/>
  <c r="I411" i="10"/>
  <c r="I410" i="10"/>
  <c r="I409" i="10"/>
  <c r="I408" i="10"/>
  <c r="I407" i="10"/>
  <c r="I406" i="10"/>
  <c r="I405" i="10"/>
  <c r="I404" i="10"/>
  <c r="I403" i="10"/>
  <c r="I313" i="10"/>
  <c r="I312" i="10"/>
  <c r="I311" i="10"/>
  <c r="I310" i="10"/>
  <c r="I308" i="10"/>
  <c r="I306" i="10"/>
  <c r="I301" i="10"/>
  <c r="I300" i="10"/>
  <c r="I299" i="10"/>
  <c r="I293" i="10"/>
  <c r="I287" i="10"/>
  <c r="I281" i="10"/>
  <c r="I279" i="10"/>
  <c r="I278" i="10"/>
  <c r="I267" i="10"/>
  <c r="I266" i="10"/>
  <c r="I265" i="10"/>
  <c r="I264" i="10"/>
  <c r="I263" i="10"/>
  <c r="I254" i="10"/>
  <c r="I253" i="10"/>
  <c r="I239" i="10"/>
  <c r="I237" i="10"/>
  <c r="I227" i="10"/>
  <c r="I226" i="10"/>
  <c r="I225" i="10"/>
  <c r="I210" i="10"/>
  <c r="I207" i="10"/>
  <c r="I206" i="10"/>
  <c r="I205" i="10"/>
  <c r="I204" i="10"/>
  <c r="I203" i="10"/>
  <c r="I193" i="10"/>
  <c r="I174" i="10"/>
  <c r="I173" i="10"/>
  <c r="I172" i="10"/>
  <c r="I171" i="10"/>
  <c r="I170" i="10"/>
  <c r="I166" i="10"/>
  <c r="I165" i="10"/>
  <c r="I160" i="10"/>
  <c r="I154" i="10"/>
  <c r="I150" i="10"/>
  <c r="I127" i="10"/>
  <c r="I126" i="10"/>
  <c r="I125" i="10"/>
  <c r="I124" i="10"/>
  <c r="I111" i="10"/>
  <c r="I110" i="10"/>
  <c r="I109" i="10"/>
  <c r="I108" i="10"/>
  <c r="I106" i="10"/>
  <c r="I105" i="10"/>
  <c r="I104" i="10"/>
  <c r="I103" i="10"/>
  <c r="I70" i="10"/>
  <c r="I69" i="10"/>
  <c r="I68" i="10"/>
  <c r="I67" i="10"/>
  <c r="I65" i="10"/>
  <c r="I64" i="10"/>
  <c r="I63" i="10"/>
  <c r="I62" i="10"/>
  <c r="I31" i="10"/>
  <c r="K422" i="9"/>
  <c r="K42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PC-015</author>
  </authors>
  <commentList>
    <comment ref="G993" authorId="0" shapeId="0" xr:uid="{00000000-0006-0000-0100-000001000000}">
      <text>
        <r>
          <rPr>
            <b/>
            <sz val="9"/>
            <color indexed="81"/>
            <rFont val="Tahoma"/>
            <family val="2"/>
          </rPr>
          <t>PC-015:
Hỗ trợ chi phí chặt hạ</t>
        </r>
      </text>
    </comment>
    <comment ref="G995" authorId="0" shapeId="0" xr:uid="{00000000-0006-0000-0100-000002000000}">
      <text>
        <r>
          <rPr>
            <b/>
            <sz val="9"/>
            <color indexed="81"/>
            <rFont val="Tahoma"/>
            <family val="2"/>
          </rPr>
          <t>PC-015:</t>
        </r>
        <r>
          <rPr>
            <sz val="9"/>
            <color indexed="81"/>
            <rFont val="Tahoma"/>
            <family val="2"/>
          </rPr>
          <t xml:space="preserve">
Chưa có đơn giá</t>
        </r>
      </text>
    </comment>
    <comment ref="G996" authorId="0" shapeId="0" xr:uid="{00000000-0006-0000-0100-000003000000}">
      <text>
        <r>
          <rPr>
            <b/>
            <sz val="9"/>
            <color indexed="81"/>
            <rFont val="Tahoma"/>
            <family val="2"/>
          </rPr>
          <t>PC-015:</t>
        </r>
        <r>
          <rPr>
            <sz val="9"/>
            <color indexed="81"/>
            <rFont val="Tahoma"/>
            <family val="2"/>
          </rPr>
          <t xml:space="preserve">
Chưa có đơn giá</t>
        </r>
      </text>
    </comment>
    <comment ref="G997" authorId="0" shapeId="0" xr:uid="{00000000-0006-0000-0100-000004000000}">
      <text>
        <r>
          <rPr>
            <b/>
            <sz val="9"/>
            <color indexed="81"/>
            <rFont val="Tahoma"/>
            <family val="2"/>
          </rPr>
          <t>PC-015:</t>
        </r>
        <r>
          <rPr>
            <sz val="9"/>
            <color indexed="81"/>
            <rFont val="Tahoma"/>
            <family val="2"/>
          </rPr>
          <t xml:space="preserve">
Chưa có đơn giá</t>
        </r>
      </text>
    </comment>
    <comment ref="G998" authorId="0" shapeId="0" xr:uid="{00000000-0006-0000-0100-000005000000}">
      <text>
        <r>
          <rPr>
            <b/>
            <sz val="9"/>
            <color indexed="81"/>
            <rFont val="Tahoma"/>
            <family val="2"/>
          </rPr>
          <t>PC-015:</t>
        </r>
        <r>
          <rPr>
            <sz val="9"/>
            <color indexed="81"/>
            <rFont val="Tahoma"/>
            <family val="2"/>
          </rPr>
          <t xml:space="preserve">
Chưa có đơn giá</t>
        </r>
      </text>
    </comment>
    <comment ref="G1011" authorId="0" shapeId="0" xr:uid="{00000000-0006-0000-0100-000006000000}">
      <text>
        <r>
          <rPr>
            <b/>
            <sz val="9"/>
            <color indexed="81"/>
            <rFont val="Tahoma"/>
            <family val="2"/>
          </rPr>
          <t>PC-015:</t>
        </r>
        <r>
          <rPr>
            <sz val="9"/>
            <color indexed="81"/>
            <rFont val="Tahoma"/>
            <family val="2"/>
          </rPr>
          <t xml:space="preserve">
Chưa có đơn giá</t>
        </r>
      </text>
    </comment>
    <comment ref="G1019" authorId="0" shapeId="0" xr:uid="{00000000-0006-0000-0100-000007000000}">
      <text>
        <r>
          <rPr>
            <b/>
            <sz val="9"/>
            <color indexed="81"/>
            <rFont val="Tahoma"/>
            <family val="2"/>
          </rPr>
          <t>PC-015:</t>
        </r>
        <r>
          <rPr>
            <sz val="9"/>
            <color indexed="81"/>
            <rFont val="Tahoma"/>
            <family val="2"/>
          </rPr>
          <t xml:space="preserve">
Chưa có đơn giá</t>
        </r>
      </text>
    </comment>
    <comment ref="G1022" authorId="0" shapeId="0" xr:uid="{00000000-0006-0000-0100-000008000000}">
      <text>
        <r>
          <rPr>
            <b/>
            <sz val="9"/>
            <color indexed="81"/>
            <rFont val="Tahoma"/>
            <family val="2"/>
          </rPr>
          <t>PC-015:</t>
        </r>
        <r>
          <rPr>
            <sz val="9"/>
            <color indexed="81"/>
            <rFont val="Tahoma"/>
            <family val="2"/>
          </rPr>
          <t xml:space="preserve">
Chưa có đơn giá</t>
        </r>
      </text>
    </comment>
    <comment ref="G1026" authorId="0" shapeId="0" xr:uid="{00000000-0006-0000-0100-000009000000}">
      <text>
        <r>
          <rPr>
            <b/>
            <sz val="9"/>
            <color indexed="81"/>
            <rFont val="Tahoma"/>
            <family val="2"/>
          </rPr>
          <t>PC-015:</t>
        </r>
        <r>
          <rPr>
            <sz val="9"/>
            <color indexed="81"/>
            <rFont val="Tahoma"/>
            <family val="2"/>
          </rPr>
          <t xml:space="preserve">
Chưa có đơn giá</t>
        </r>
      </text>
    </comment>
    <comment ref="G1033" authorId="0" shapeId="0" xr:uid="{00000000-0006-0000-0100-00000A000000}">
      <text>
        <r>
          <rPr>
            <b/>
            <sz val="9"/>
            <color indexed="81"/>
            <rFont val="Tahoma"/>
            <family val="2"/>
          </rPr>
          <t>PC-015:</t>
        </r>
        <r>
          <rPr>
            <sz val="9"/>
            <color indexed="81"/>
            <rFont val="Tahoma"/>
            <family val="2"/>
          </rPr>
          <t xml:space="preserve">
Chưa có đơn giá</t>
        </r>
      </text>
    </comment>
    <comment ref="G1051" authorId="0" shapeId="0" xr:uid="{00000000-0006-0000-0100-00000B000000}">
      <text>
        <r>
          <rPr>
            <b/>
            <sz val="9"/>
            <color indexed="81"/>
            <rFont val="Tahoma"/>
            <family val="2"/>
          </rPr>
          <t>PC-015:</t>
        </r>
        <r>
          <rPr>
            <sz val="9"/>
            <color indexed="81"/>
            <rFont val="Tahoma"/>
            <family val="2"/>
          </rPr>
          <t xml:space="preserve">
Chưa có đơn giá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PC-015</author>
  </authors>
  <commentList>
    <comment ref="G993" authorId="0" shapeId="0" xr:uid="{00000000-0006-0000-0200-000001000000}">
      <text>
        <r>
          <rPr>
            <b/>
            <sz val="9"/>
            <rFont val="Tahoma"/>
            <family val="2"/>
          </rPr>
          <t>PC-015:
Hỗ trợ chi phí chặt hạ</t>
        </r>
      </text>
    </comment>
    <comment ref="G995" authorId="0" shapeId="0" xr:uid="{00000000-0006-0000-0200-000002000000}">
      <text>
        <r>
          <rPr>
            <b/>
            <sz val="9"/>
            <rFont val="Tahoma"/>
            <family val="2"/>
          </rPr>
          <t>PC-015:</t>
        </r>
        <r>
          <rPr>
            <sz val="9"/>
            <rFont val="Tahoma"/>
            <family val="2"/>
          </rPr>
          <t xml:space="preserve">
Chưa có đơn giá</t>
        </r>
      </text>
    </comment>
    <comment ref="G996" authorId="0" shapeId="0" xr:uid="{00000000-0006-0000-0200-000003000000}">
      <text>
        <r>
          <rPr>
            <b/>
            <sz val="9"/>
            <rFont val="Tahoma"/>
            <family val="2"/>
          </rPr>
          <t>PC-015:</t>
        </r>
        <r>
          <rPr>
            <sz val="9"/>
            <rFont val="Tahoma"/>
            <family val="2"/>
          </rPr>
          <t xml:space="preserve">
Chưa có đơn giá</t>
        </r>
      </text>
    </comment>
    <comment ref="G997" authorId="0" shapeId="0" xr:uid="{00000000-0006-0000-0200-000004000000}">
      <text>
        <r>
          <rPr>
            <b/>
            <sz val="9"/>
            <rFont val="Tahoma"/>
            <family val="2"/>
          </rPr>
          <t>PC-015:</t>
        </r>
        <r>
          <rPr>
            <sz val="9"/>
            <rFont val="Tahoma"/>
            <family val="2"/>
          </rPr>
          <t xml:space="preserve">
Chưa có đơn giá</t>
        </r>
      </text>
    </comment>
    <comment ref="G998" authorId="0" shapeId="0" xr:uid="{00000000-0006-0000-0200-000005000000}">
      <text>
        <r>
          <rPr>
            <b/>
            <sz val="9"/>
            <rFont val="Tahoma"/>
            <family val="2"/>
          </rPr>
          <t>PC-015:</t>
        </r>
        <r>
          <rPr>
            <sz val="9"/>
            <rFont val="Tahoma"/>
            <family val="2"/>
          </rPr>
          <t xml:space="preserve">
Chưa có đơn giá</t>
        </r>
      </text>
    </comment>
    <comment ref="G1011" authorId="0" shapeId="0" xr:uid="{00000000-0006-0000-0200-000006000000}">
      <text>
        <r>
          <rPr>
            <b/>
            <sz val="9"/>
            <rFont val="Tahoma"/>
            <family val="2"/>
          </rPr>
          <t>PC-015:</t>
        </r>
        <r>
          <rPr>
            <sz val="9"/>
            <rFont val="Tahoma"/>
            <family val="2"/>
          </rPr>
          <t xml:space="preserve">
Chưa có đơn giá</t>
        </r>
      </text>
    </comment>
    <comment ref="G1019" authorId="0" shapeId="0" xr:uid="{00000000-0006-0000-0200-000007000000}">
      <text>
        <r>
          <rPr>
            <b/>
            <sz val="9"/>
            <rFont val="Tahoma"/>
            <family val="2"/>
          </rPr>
          <t>PC-015:</t>
        </r>
        <r>
          <rPr>
            <sz val="9"/>
            <rFont val="Tahoma"/>
            <family val="2"/>
          </rPr>
          <t xml:space="preserve">
Chưa có đơn giá</t>
        </r>
      </text>
    </comment>
    <comment ref="G1022" authorId="0" shapeId="0" xr:uid="{00000000-0006-0000-0200-000008000000}">
      <text>
        <r>
          <rPr>
            <b/>
            <sz val="9"/>
            <rFont val="Tahoma"/>
            <family val="2"/>
          </rPr>
          <t>PC-015:</t>
        </r>
        <r>
          <rPr>
            <sz val="9"/>
            <rFont val="Tahoma"/>
            <family val="2"/>
          </rPr>
          <t xml:space="preserve">
Chưa có đơn giá</t>
        </r>
      </text>
    </comment>
    <comment ref="G1026" authorId="0" shapeId="0" xr:uid="{00000000-0006-0000-0200-000009000000}">
      <text>
        <r>
          <rPr>
            <b/>
            <sz val="9"/>
            <rFont val="Tahoma"/>
            <family val="2"/>
          </rPr>
          <t>PC-015:</t>
        </r>
        <r>
          <rPr>
            <sz val="9"/>
            <rFont val="Tahoma"/>
            <family val="2"/>
          </rPr>
          <t xml:space="preserve">
Chưa có đơn giá</t>
        </r>
      </text>
    </comment>
    <comment ref="G1033" authorId="0" shapeId="0" xr:uid="{00000000-0006-0000-0200-00000A000000}">
      <text>
        <r>
          <rPr>
            <b/>
            <sz val="9"/>
            <rFont val="Tahoma"/>
            <family val="2"/>
          </rPr>
          <t>PC-015:</t>
        </r>
        <r>
          <rPr>
            <sz val="9"/>
            <rFont val="Tahoma"/>
            <family val="2"/>
          </rPr>
          <t xml:space="preserve">
Chưa có đơn giá</t>
        </r>
      </text>
    </comment>
    <comment ref="G1051" authorId="0" shapeId="0" xr:uid="{00000000-0006-0000-0200-00000B000000}">
      <text>
        <r>
          <rPr>
            <b/>
            <sz val="9"/>
            <rFont val="Tahoma"/>
            <family val="2"/>
          </rPr>
          <t>PC-015:</t>
        </r>
        <r>
          <rPr>
            <sz val="9"/>
            <rFont val="Tahoma"/>
            <family val="2"/>
          </rPr>
          <t xml:space="preserve">
Chưa có đơn giá</t>
        </r>
      </text>
    </comment>
  </commentList>
</comments>
</file>

<file path=xl/sharedStrings.xml><?xml version="1.0" encoding="utf-8"?>
<sst xmlns="http://schemas.openxmlformats.org/spreadsheetml/2006/main" count="11253" uniqueCount="2290">
  <si>
    <t>STT</t>
  </si>
  <si>
    <t>Tên chủ sử dụng đất</t>
  </si>
  <si>
    <t>Tên chủ tài sản</t>
  </si>
  <si>
    <t>Tổng diện tích ĐNN đang sử dụng (m2)</t>
  </si>
  <si>
    <t>Diện tích đất thu hồi (m2)</t>
  </si>
  <si>
    <t>Số tờ</t>
  </si>
  <si>
    <t>Số Thửa</t>
  </si>
  <si>
    <t>Tỷ lệ % thu hồi</t>
  </si>
  <si>
    <t>Giá đất</t>
  </si>
  <si>
    <t>Bồi thường về đất
(đồng)</t>
  </si>
  <si>
    <t>Hạng mục</t>
  </si>
  <si>
    <t>Quy cách đặc điểm</t>
  </si>
  <si>
    <t>ĐVT</t>
  </si>
  <si>
    <t xml:space="preserve">Khối lượng </t>
  </si>
  <si>
    <t>Mật độ (m2/cây)</t>
  </si>
  <si>
    <t>Diện tích mật độ (m2)</t>
  </si>
  <si>
    <t>Đơn giá (đồng)</t>
  </si>
  <si>
    <t>Tỷ lệ % chất lượng còn lại</t>
  </si>
  <si>
    <t>Tỷ lệ BTHT (%)</t>
  </si>
  <si>
    <t xml:space="preserve">Thành tiền (đồng) </t>
  </si>
  <si>
    <t>BTHT tài sản, vật kiến trúc</t>
  </si>
  <si>
    <t>BTHT cây cối, hoa màu</t>
  </si>
  <si>
    <t>Tổng tiền bồi thường tài sản</t>
  </si>
  <si>
    <t>Số nhân khẩu</t>
  </si>
  <si>
    <t>Đơn giá gạo</t>
  </si>
  <si>
    <t>Thành tiền hỗ trợ gạo</t>
  </si>
  <si>
    <t xml:space="preserve">Hỗ trợ đào tạo, chuyển đổi nghề và tìm kiếm việc làm (đồng) </t>
  </si>
  <si>
    <t>Thưởng tiến độ</t>
  </si>
  <si>
    <t xml:space="preserve">Tổng số tiền bồi thường, hỗ trợ được nhận (đồng) </t>
  </si>
  <si>
    <t xml:space="preserve"> </t>
  </si>
  <si>
    <t>1. Bồi thường, hỗ trợ công trình vật kiến trúc</t>
  </si>
  <si>
    <t>m2</t>
  </si>
  <si>
    <t>m3</t>
  </si>
  <si>
    <t>Giếng khoan</t>
  </si>
  <si>
    <t>m sâu</t>
  </si>
  <si>
    <t>m</t>
  </si>
  <si>
    <t>Rãnh thoát nước</t>
  </si>
  <si>
    <t>2. Bồi thường, hỗ trợ cây trồng vật nuôi</t>
  </si>
  <si>
    <t>Đinh lăng</t>
  </si>
  <si>
    <t>cây</t>
  </si>
  <si>
    <t>5cm ≤ đk gốc &lt; 7cm</t>
  </si>
  <si>
    <t>Chuối</t>
  </si>
  <si>
    <t>Tổng 1+2</t>
  </si>
  <si>
    <t>Cột tuýp ɸ34 dày 1,9mm</t>
  </si>
  <si>
    <t>kg</t>
  </si>
  <si>
    <t>Dây điện</t>
  </si>
  <si>
    <t>Xí bệt</t>
  </si>
  <si>
    <t>cái</t>
  </si>
  <si>
    <t>Rau xen canh</t>
  </si>
  <si>
    <t>Đu đủ</t>
  </si>
  <si>
    <t>DỮ LIỆU VỀ CÂY TRỒNG</t>
  </si>
  <si>
    <t>TT
BG</t>
  </si>
  <si>
    <t>MÃ</t>
  </si>
  <si>
    <t>CHỦNG LOẠI/ TÊN CÂY</t>
  </si>
  <si>
    <t>QUY CÁCH</t>
  </si>
  <si>
    <r>
      <rPr>
        <b/>
        <sz val="9.5"/>
        <color theme="1"/>
        <rFont val="Times New Roman"/>
        <family val="1"/>
      </rPr>
      <t xml:space="preserve">MẬT ĐỘ
</t>
    </r>
    <r>
      <rPr>
        <b/>
        <sz val="9"/>
        <color theme="1"/>
        <rFont val="Times New Roman"/>
        <family val="1"/>
      </rPr>
      <t>(M2/ CÂY)</t>
    </r>
  </si>
  <si>
    <t xml:space="preserve">ĐƠN VỊ </t>
  </si>
  <si>
    <t>ĐƠN GIÁ</t>
  </si>
  <si>
    <t>TỶ LỆ
(%)</t>
  </si>
  <si>
    <t>NHÓM CÂY ĂN QUẢ</t>
  </si>
  <si>
    <t>Ổi Đài Loan</t>
  </si>
  <si>
    <t>10.000/1000=10m/ cây</t>
  </si>
  <si>
    <t>Ổi01</t>
  </si>
  <si>
    <t>cây giống</t>
  </si>
  <si>
    <t>ĐG 16,01,2025</t>
  </si>
  <si>
    <t>Ổi27</t>
  </si>
  <si>
    <t>2cm ≤ đk gốc &lt; 7cm</t>
  </si>
  <si>
    <t>Ổi712</t>
  </si>
  <si>
    <t>7cm ≤ đk gốc &lt; 12cm</t>
  </si>
  <si>
    <t>Ổi1220</t>
  </si>
  <si>
    <t>12cm ≤ đk gốc &lt; 20cm</t>
  </si>
  <si>
    <t>Ổi2030</t>
  </si>
  <si>
    <t>20cm ≤ đk gốc &lt; 30cm</t>
  </si>
  <si>
    <t>Ổi30+</t>
  </si>
  <si>
    <t>đk gốc từ 30cm trở lên</t>
  </si>
  <si>
    <t>Ổi01vmd</t>
  </si>
  <si>
    <t>Ổi Đài Loan vượt mật độ</t>
  </si>
  <si>
    <t>Ổi27vmd</t>
  </si>
  <si>
    <t>Ổi712vmd</t>
  </si>
  <si>
    <t>Ổi1220vmd</t>
  </si>
  <si>
    <t>Ổi2030vmd</t>
  </si>
  <si>
    <t>Ổi30+vmd</t>
  </si>
  <si>
    <t>Ổi27#</t>
  </si>
  <si>
    <t>Ổi Đài Loan trồng trên đất GTTL</t>
  </si>
  <si>
    <t>Ổi712#</t>
  </si>
  <si>
    <t>Ổi30+#</t>
  </si>
  <si>
    <t>Bưởi diễn</t>
  </si>
  <si>
    <t>10.000/500=20m/cây</t>
  </si>
  <si>
    <t>Bưởi01</t>
  </si>
  <si>
    <t>ĐG 30.12.2022</t>
  </si>
  <si>
    <t>Bưởi27</t>
  </si>
  <si>
    <t>Bưởi712</t>
  </si>
  <si>
    <t>Bưởi1220</t>
  </si>
  <si>
    <t>Bưởi20+</t>
  </si>
  <si>
    <t>đk gốc từ 20cm trở lên</t>
  </si>
  <si>
    <t>Bưởi01#</t>
  </si>
  <si>
    <t>Bưởi diễn trồng trên đất GTTL</t>
  </si>
  <si>
    <t>Bưởi27#</t>
  </si>
  <si>
    <t>Bưởi712#</t>
  </si>
  <si>
    <t>Bưởi1220#</t>
  </si>
  <si>
    <t>Bưởi20#</t>
  </si>
  <si>
    <t>Bưởi01vmd</t>
  </si>
  <si>
    <t>Bưởi diễn vượt mật độ</t>
  </si>
  <si>
    <t>Bưởi27vmd</t>
  </si>
  <si>
    <t>Bưởi712vmd</t>
  </si>
  <si>
    <t>Bưởi1220vmd</t>
  </si>
  <si>
    <t>Bưởi20+vmd</t>
  </si>
  <si>
    <t>Bưởi27itl</t>
  </si>
  <si>
    <t>Bưởi diễn (ít tán, ít lá)</t>
  </si>
  <si>
    <t>Bưởi712itl</t>
  </si>
  <si>
    <t>Bưởi1220itl</t>
  </si>
  <si>
    <t>Bưởi20+itl</t>
  </si>
  <si>
    <t>Bưởi27itl.vmd</t>
  </si>
  <si>
    <t>Bưởi diễn (ít tán, ít lá) vượt mật độ</t>
  </si>
  <si>
    <t>Bưởi712itl.vmd</t>
  </si>
  <si>
    <t>Bưởi1220itl.vmd</t>
  </si>
  <si>
    <t>Bưởi20+itl.vmd</t>
  </si>
  <si>
    <t>Bưởi27mt</t>
  </si>
  <si>
    <t xml:space="preserve">Bưởi diễn mới trồng </t>
  </si>
  <si>
    <t>ĐG 12.2021</t>
  </si>
  <si>
    <t>Bưởi712mt</t>
  </si>
  <si>
    <t>Bưởi1220mt</t>
  </si>
  <si>
    <t>Bưởi20+mt</t>
  </si>
  <si>
    <t>Bưởi27mt.vmd</t>
  </si>
  <si>
    <t>Bưởi diễn mới trồng vượt mật độ</t>
  </si>
  <si>
    <t>Bưởi712mt.vmd</t>
  </si>
  <si>
    <t>Bưởi1220mt.vmd</t>
  </si>
  <si>
    <t>Bưởi20+mt.vmd</t>
  </si>
  <si>
    <t>Bưởi27.cth</t>
  </si>
  <si>
    <t>Bưởi diễn sinh trưởng tốt, chưa thu hoạch</t>
  </si>
  <si>
    <t>Bưởi712.cth</t>
  </si>
  <si>
    <t>Bưởi1220.cth</t>
  </si>
  <si>
    <t>Bưởi20+.cth</t>
  </si>
  <si>
    <t>Bưởi712.cth.vmd</t>
  </si>
  <si>
    <t>Bưởi27.cth.vmd</t>
  </si>
  <si>
    <t>Bưởi diễn sinh trưởng tốt, chưa thu hoạch, vượt mật độ</t>
  </si>
  <si>
    <t>Bưởi1220.cth.vmd</t>
  </si>
  <si>
    <t>Bưởi20+.cth.vmd</t>
  </si>
  <si>
    <t>Bưởi khác</t>
  </si>
  <si>
    <t>BK1</t>
  </si>
  <si>
    <t>BK27</t>
  </si>
  <si>
    <t>BK712</t>
  </si>
  <si>
    <t>BK1220</t>
  </si>
  <si>
    <t>BK20+</t>
  </si>
  <si>
    <t>BK1vmd</t>
  </si>
  <si>
    <t>Bưởi khác, vượt mật độ</t>
  </si>
  <si>
    <t>BK27vmd</t>
  </si>
  <si>
    <t>BK712vmd</t>
  </si>
  <si>
    <t>BK1220vmd</t>
  </si>
  <si>
    <t>BK20+vmd</t>
  </si>
  <si>
    <t>Cam đường canh</t>
  </si>
  <si>
    <t>10.000/620=16,129</t>
  </si>
  <si>
    <t>Cam01</t>
  </si>
  <si>
    <t>Cam27</t>
  </si>
  <si>
    <t>Cam712</t>
  </si>
  <si>
    <t>Cam1220</t>
  </si>
  <si>
    <t>Cam20+</t>
  </si>
  <si>
    <t>Cam27vmd</t>
  </si>
  <si>
    <t>Cam đường canh vượt mật độ</t>
  </si>
  <si>
    <t>Cam712vmd</t>
  </si>
  <si>
    <t>Cam1220vmd</t>
  </si>
  <si>
    <t>Cam20+vmd</t>
  </si>
  <si>
    <t>Cam27itl</t>
  </si>
  <si>
    <t>Cam đường canh (ít tán, ít lá)</t>
  </si>
  <si>
    <t>Cam712itl</t>
  </si>
  <si>
    <t>Cam1220itl</t>
  </si>
  <si>
    <t>Cam20+itl</t>
  </si>
  <si>
    <t>Cam27itl.vmd</t>
  </si>
  <si>
    <t>Cam đường canh (ít tán, ít lá) vượt mật độ</t>
  </si>
  <si>
    <t>Cam712itl.vmd</t>
  </si>
  <si>
    <t>Cam1220itl.vmd</t>
  </si>
  <si>
    <t>Cam20+itl.vmd</t>
  </si>
  <si>
    <t>Cam27mt</t>
  </si>
  <si>
    <t>Cam đường canh mới trồng</t>
  </si>
  <si>
    <t>Cam712mt</t>
  </si>
  <si>
    <t>Cam1220mt</t>
  </si>
  <si>
    <t>Cam27mt.vmd</t>
  </si>
  <si>
    <t>Cam đường canh mới trồng, vượt mật độ</t>
  </si>
  <si>
    <t>Cam712mt.vmd</t>
  </si>
  <si>
    <t>Cam1220mt.vmd</t>
  </si>
  <si>
    <t>Cam27.cth</t>
  </si>
  <si>
    <t>Cam đường canh sinh trưởng tốt, chưa thu hoạch</t>
  </si>
  <si>
    <t>Cam712.cth</t>
  </si>
  <si>
    <t>Cam1220.cth</t>
  </si>
  <si>
    <t>Cam27.cth.vmd</t>
  </si>
  <si>
    <t>Cam đường canh sinh trưởng tốt, chưa thu hoạch, vượt mật độ</t>
  </si>
  <si>
    <t>Cam712.cth.vmd</t>
  </si>
  <si>
    <t>Cam1220.cth.vmd</t>
  </si>
  <si>
    <t>Cam khác</t>
  </si>
  <si>
    <t>Cam#01</t>
  </si>
  <si>
    <t>Cây cam khác</t>
  </si>
  <si>
    <t>Cam#27</t>
  </si>
  <si>
    <t>Cam#712</t>
  </si>
  <si>
    <t>Cam#1220</t>
  </si>
  <si>
    <t>Cam#20+</t>
  </si>
  <si>
    <t>Cam#01vmd</t>
  </si>
  <si>
    <t>Cây cam khác vượt mật độ</t>
  </si>
  <si>
    <t>Cam#27vmd</t>
  </si>
  <si>
    <t>Cam#712vmd</t>
  </si>
  <si>
    <t>Cam#1220vmd</t>
  </si>
  <si>
    <t>Cam#20+vmd</t>
  </si>
  <si>
    <t>Chanh</t>
  </si>
  <si>
    <t>10.000/1600=6,25</t>
  </si>
  <si>
    <t>Chanh01</t>
  </si>
  <si>
    <t>Cây chanh</t>
  </si>
  <si>
    <t>Chanh27</t>
  </si>
  <si>
    <t>Chanh712</t>
  </si>
  <si>
    <t>Chanh1220</t>
  </si>
  <si>
    <t>Chanh20+</t>
  </si>
  <si>
    <t>Chanh01vmd</t>
  </si>
  <si>
    <t>Cây chanh vượt mật độ</t>
  </si>
  <si>
    <t>Chanh27vmd</t>
  </si>
  <si>
    <t>Chanh712vmd</t>
  </si>
  <si>
    <t>Chanh1220vmd</t>
  </si>
  <si>
    <t>Chanh20+vmd</t>
  </si>
  <si>
    <t>Chanh01mt</t>
  </si>
  <si>
    <t>Cây chanh mới trồng</t>
  </si>
  <si>
    <t>Chanh27mt</t>
  </si>
  <si>
    <t>Chanh712mt</t>
  </si>
  <si>
    <t>Chanh1220mt</t>
  </si>
  <si>
    <t>Chanh20+mt</t>
  </si>
  <si>
    <t>Quất</t>
  </si>
  <si>
    <t>10.000/2600=3,84</t>
  </si>
  <si>
    <t>Quất01</t>
  </si>
  <si>
    <t>Cây quất</t>
  </si>
  <si>
    <t>Quất27</t>
  </si>
  <si>
    <t>Quất712</t>
  </si>
  <si>
    <t>Quất1220</t>
  </si>
  <si>
    <t>Quất20+</t>
  </si>
  <si>
    <t>Quấtchum27</t>
  </si>
  <si>
    <t>Cây quất trồng trên chum</t>
  </si>
  <si>
    <t>Quất01vmd</t>
  </si>
  <si>
    <t>Cây quất vượt mật độ</t>
  </si>
  <si>
    <t>Quất27vmd</t>
  </si>
  <si>
    <t>Quất712vmd</t>
  </si>
  <si>
    <t>Quất1220vmd</t>
  </si>
  <si>
    <t>Quất20+vmd</t>
  </si>
  <si>
    <t>Đủ25.vmd</t>
  </si>
  <si>
    <t>Cây đu đủ vượt mật độ</t>
  </si>
  <si>
    <t>0,2m ≤ cao &lt; 0,5m (chưa có quả)</t>
  </si>
  <si>
    <t>Đủ5+chq.vmd</t>
  </si>
  <si>
    <r>
      <rPr>
        <sz val="10.5"/>
        <rFont val="Times New Roman"/>
        <family val="1"/>
      </rPr>
      <t>cao</t>
    </r>
    <r>
      <rPr>
        <sz val="10.5"/>
        <color theme="1"/>
        <rFont val="Times New Roman"/>
        <family val="1"/>
      </rPr>
      <t xml:space="preserve"> ≥ 0,5m, chưa có quả</t>
    </r>
  </si>
  <si>
    <t>Đủ5+coq.vmd</t>
  </si>
  <si>
    <r>
      <rPr>
        <sz val="10.5"/>
        <rFont val="Times New Roman"/>
        <family val="1"/>
      </rPr>
      <t>cao</t>
    </r>
    <r>
      <rPr>
        <sz val="10.5"/>
        <color theme="1"/>
        <rFont val="Times New Roman"/>
        <family val="1"/>
      </rPr>
      <t xml:space="preserve"> ≥ 0,5m, đang có quả</t>
    </r>
  </si>
  <si>
    <t>Đủ01</t>
  </si>
  <si>
    <t>Cây đu đủ</t>
  </si>
  <si>
    <t>Đủ25</t>
  </si>
  <si>
    <t>Đủ5+chq</t>
  </si>
  <si>
    <t>Đủ5+coq</t>
  </si>
  <si>
    <t>Chuối10-</t>
  </si>
  <si>
    <t>đk gốc &lt; 10cm</t>
  </si>
  <si>
    <t>Chuối10+</t>
  </si>
  <si>
    <r>
      <rPr>
        <sz val="10.5"/>
        <rFont val="Times New Roman"/>
        <family val="1"/>
      </rPr>
      <t>đk gốc</t>
    </r>
    <r>
      <rPr>
        <sz val="10.5"/>
        <color theme="1"/>
        <rFont val="Times New Roman"/>
        <family val="1"/>
      </rPr>
      <t xml:space="preserve"> ≥ 10cm</t>
    </r>
  </si>
  <si>
    <t>Chuối10-vmd</t>
  </si>
  <si>
    <t>Chuối vượt mật độ</t>
  </si>
  <si>
    <t>Chuối10+vmd</t>
  </si>
  <si>
    <t>Chuối10-#</t>
  </si>
  <si>
    <t>Chuối trồng trên đất GTTL</t>
  </si>
  <si>
    <t>Chuối10+#</t>
  </si>
  <si>
    <t>Nhãn</t>
  </si>
  <si>
    <t>Nhãn01</t>
  </si>
  <si>
    <t>Cây nhãn</t>
  </si>
  <si>
    <t>Nhãn25</t>
  </si>
  <si>
    <t>2cm ≤ đk gốc &lt; 5cm</t>
  </si>
  <si>
    <t>Nhãn57</t>
  </si>
  <si>
    <t>Nhãn712</t>
  </si>
  <si>
    <t>Nhãn1220</t>
  </si>
  <si>
    <t>Nhãn2030</t>
  </si>
  <si>
    <t>Nhãn30+</t>
  </si>
  <si>
    <t>Nhãn01vmd</t>
  </si>
  <si>
    <t>Cây nhãn vượt mật độ</t>
  </si>
  <si>
    <t>Nhãn25vmd</t>
  </si>
  <si>
    <t>Nhãn57vmd</t>
  </si>
  <si>
    <t>Nhãn712vmd</t>
  </si>
  <si>
    <t>Nhãn1220vmd</t>
  </si>
  <si>
    <t>Nhãn2030vmd</t>
  </si>
  <si>
    <t>Nhãn30+vmd</t>
  </si>
  <si>
    <t>Nhãn25itl</t>
  </si>
  <si>
    <t>Cây nhãn (ít tán, ít lá)</t>
  </si>
  <si>
    <t>Nhãn57itl</t>
  </si>
  <si>
    <t>Nhãn712itl</t>
  </si>
  <si>
    <t>Nhãn1220itl</t>
  </si>
  <si>
    <t>Nhãn2030itl</t>
  </si>
  <si>
    <t>Nhãn30+itl</t>
  </si>
  <si>
    <t>Nhãn25itl.vmd</t>
  </si>
  <si>
    <t>Cây nhãn (ít tán, ít lá) vượt mật độ</t>
  </si>
  <si>
    <t>Nhãn57itl.vmd</t>
  </si>
  <si>
    <t>Nhãn712itl.vmd</t>
  </si>
  <si>
    <t>Nhãn1220itl.vmd</t>
  </si>
  <si>
    <t>Nhãn2030itl.vmd</t>
  </si>
  <si>
    <t>Nhãn30+itl.vmd</t>
  </si>
  <si>
    <t>Nhãn01mt</t>
  </si>
  <si>
    <t>Cây nhãn mới trồng</t>
  </si>
  <si>
    <t>Cây giống</t>
  </si>
  <si>
    <t>Nhãn25mt</t>
  </si>
  <si>
    <t>Nhãn57mt</t>
  </si>
  <si>
    <t>Nhãn712mt</t>
  </si>
  <si>
    <t>Nhãn1230mt</t>
  </si>
  <si>
    <t>12cm ≤ đk gốc &lt; 30cm</t>
  </si>
  <si>
    <t>Nhãn30+mt</t>
  </si>
  <si>
    <t>Nhãn01mt.vmd</t>
  </si>
  <si>
    <t>Cây nhãn mới trồng vượt mật độ</t>
  </si>
  <si>
    <t>Nhãn25mt.vmd</t>
  </si>
  <si>
    <t>Nhãn57mt.vmd</t>
  </si>
  <si>
    <t>Nhãn712mt.vmd</t>
  </si>
  <si>
    <t>Nhãn1230mt.vmd</t>
  </si>
  <si>
    <t>Nhãn30+mt.vmd</t>
  </si>
  <si>
    <t>Nhãn25.cth</t>
  </si>
  <si>
    <t>Cây nhãn chưa thu hoạch</t>
  </si>
  <si>
    <t>Nhãn57.cth</t>
  </si>
  <si>
    <t>Nhãn712.cth</t>
  </si>
  <si>
    <t>Nhãn1220.cth</t>
  </si>
  <si>
    <t>Nhãn2030.cth</t>
  </si>
  <si>
    <t>Nhãn30+.cth</t>
  </si>
  <si>
    <t>Cây vải</t>
  </si>
  <si>
    <t>Vải01</t>
  </si>
  <si>
    <t>Vải =&lt;5 cm</t>
  </si>
  <si>
    <t xml:space="preserve">   Đk thân   ≤5</t>
  </si>
  <si>
    <t>Vải27</t>
  </si>
  <si>
    <t>Vải712</t>
  </si>
  <si>
    <t>Vải1220</t>
  </si>
  <si>
    <t>Vải2030</t>
  </si>
  <si>
    <t>Vải30+</t>
  </si>
  <si>
    <t>đk gốc từ trên 30cm</t>
  </si>
  <si>
    <t>Vải01vmd</t>
  </si>
  <si>
    <t>Cây vải vượt mật độ</t>
  </si>
  <si>
    <t>Vải27vmd</t>
  </si>
  <si>
    <t>Vải712vmd</t>
  </si>
  <si>
    <t>Vải1220vmd</t>
  </si>
  <si>
    <t>Vải2030vmd</t>
  </si>
  <si>
    <t>Vải30+vmd</t>
  </si>
  <si>
    <t>Hồng xiêm</t>
  </si>
  <si>
    <t>Hx01</t>
  </si>
  <si>
    <t>Hx27</t>
  </si>
  <si>
    <t>Hx712</t>
  </si>
  <si>
    <t>Hx1220</t>
  </si>
  <si>
    <t>Hx2030</t>
  </si>
  <si>
    <t>Hx30+</t>
  </si>
  <si>
    <t>Hx01vmd</t>
  </si>
  <si>
    <t>Hồng xiêm vượt mật độ</t>
  </si>
  <si>
    <t>Hx27vmd</t>
  </si>
  <si>
    <t>Hx712vmd</t>
  </si>
  <si>
    <t>Hx1220vmd</t>
  </si>
  <si>
    <t>Hx2030vmd</t>
  </si>
  <si>
    <t>Hx30+vmd</t>
  </si>
  <si>
    <t>Cây khế</t>
  </si>
  <si>
    <t>Khế01</t>
  </si>
  <si>
    <t>Cây Khế</t>
  </si>
  <si>
    <t>Khế27</t>
  </si>
  <si>
    <t>Khế712</t>
  </si>
  <si>
    <t>Khế1220</t>
  </si>
  <si>
    <t>Khế2030</t>
  </si>
  <si>
    <t>Khế30+</t>
  </si>
  <si>
    <t>Khế01vmd</t>
  </si>
  <si>
    <t>Cây Khế vượt mật độ</t>
  </si>
  <si>
    <t>Khế27vmd</t>
  </si>
  <si>
    <t>Khế712vmd</t>
  </si>
  <si>
    <t>Khế1220vmd</t>
  </si>
  <si>
    <t>Khế2030vmd</t>
  </si>
  <si>
    <t>Khế30+vmd</t>
  </si>
  <si>
    <t>Cây Bơ</t>
  </si>
  <si>
    <t>Bơ01</t>
  </si>
  <si>
    <t>Bơ27</t>
  </si>
  <si>
    <t>Bơ712</t>
  </si>
  <si>
    <t>Bơ1220</t>
  </si>
  <si>
    <t>Bơ2030</t>
  </si>
  <si>
    <t>Bơ30+</t>
  </si>
  <si>
    <t>Cây Doi</t>
  </si>
  <si>
    <t>Doi01</t>
  </si>
  <si>
    <t>Doi27</t>
  </si>
  <si>
    <t>Doi712</t>
  </si>
  <si>
    <t>Doi1220</t>
  </si>
  <si>
    <t>Doi2030</t>
  </si>
  <si>
    <t>Doi30+</t>
  </si>
  <si>
    <t>Vú sữa</t>
  </si>
  <si>
    <t>Vs01</t>
  </si>
  <si>
    <t>Vs27</t>
  </si>
  <si>
    <t>Vs712</t>
  </si>
  <si>
    <t>Vs1220</t>
  </si>
  <si>
    <t>Vs2030</t>
  </si>
  <si>
    <t>Vs30+</t>
  </si>
  <si>
    <t>Vs01vmd</t>
  </si>
  <si>
    <t>Vú sữa vượt mật độ</t>
  </si>
  <si>
    <t>Vs27vmd</t>
  </si>
  <si>
    <t>Vs712vmd</t>
  </si>
  <si>
    <t>Vs1220vmd</t>
  </si>
  <si>
    <t>Vs2030vmd</t>
  </si>
  <si>
    <t>Vs30+vmd</t>
  </si>
  <si>
    <t>Mít</t>
  </si>
  <si>
    <t>Mít01</t>
  </si>
  <si>
    <t>Cây mít</t>
  </si>
  <si>
    <t>Mít27</t>
  </si>
  <si>
    <t>Mít712</t>
  </si>
  <si>
    <t>Mít1220</t>
  </si>
  <si>
    <t>Mít2030</t>
  </si>
  <si>
    <t>Mít30+</t>
  </si>
  <si>
    <t>Mít01vmd</t>
  </si>
  <si>
    <t>Cây mít vượt mật độ</t>
  </si>
  <si>
    <t>Mít27vmd</t>
  </si>
  <si>
    <t>Mít712vmd</t>
  </si>
  <si>
    <t>Mít1220vmd</t>
  </si>
  <si>
    <t>Mít2030vmd</t>
  </si>
  <si>
    <t>Mít30+vmd</t>
  </si>
  <si>
    <t>Mít60+vnd</t>
  </si>
  <si>
    <t>đk gốc từ trên 60cm</t>
  </si>
  <si>
    <t>Sấu</t>
  </si>
  <si>
    <t>Sấu01</t>
  </si>
  <si>
    <t>Cây sấu</t>
  </si>
  <si>
    <t>Sấu27</t>
  </si>
  <si>
    <t>Sấu712</t>
  </si>
  <si>
    <t>Sấu1220</t>
  </si>
  <si>
    <t>Sấu2030</t>
  </si>
  <si>
    <t>Sấu30+</t>
  </si>
  <si>
    <t>Sấu01vmd</t>
  </si>
  <si>
    <t>Cây sấu vượt mật độ</t>
  </si>
  <si>
    <t>Sấu27vmd</t>
  </si>
  <si>
    <t>Sấu712vmd</t>
  </si>
  <si>
    <t>Sấu1220vmd</t>
  </si>
  <si>
    <t>Sấu2030vmd</t>
  </si>
  <si>
    <t>Sấu30+vmd</t>
  </si>
  <si>
    <t>Cau ăn quả</t>
  </si>
  <si>
    <t>Cauaq01</t>
  </si>
  <si>
    <t>Cauaq69</t>
  </si>
  <si>
    <t>6cm ≤ đk gốc &lt; 9cm</t>
  </si>
  <si>
    <t>Cauaq912</t>
  </si>
  <si>
    <t>9cm ≤ đk gốc &lt; 12cm</t>
  </si>
  <si>
    <t>Cauaq1215</t>
  </si>
  <si>
    <t>12cm ≤ đk gốc &lt; 15cm</t>
  </si>
  <si>
    <t>Cauaq1520</t>
  </si>
  <si>
    <t>15cm ≤ đk gốc &lt; 20cm</t>
  </si>
  <si>
    <t>Cauaq2025</t>
  </si>
  <si>
    <t>20cm ≤ đk gốc &lt; 25cm</t>
  </si>
  <si>
    <t>Cauaq2530</t>
  </si>
  <si>
    <t>25cm ≤ đk gốc &lt; 30cm</t>
  </si>
  <si>
    <t>Cauaq3035</t>
  </si>
  <si>
    <t>30cm ≤ đk gốc &lt; 35cm</t>
  </si>
  <si>
    <t>Cauaq35+</t>
  </si>
  <si>
    <t>Dk từ 35cm trở lên</t>
  </si>
  <si>
    <t>Cauaq01vmd</t>
  </si>
  <si>
    <t>Cau ăn quả vượt mật độ</t>
  </si>
  <si>
    <t>Cauaq69vmd</t>
  </si>
  <si>
    <t>Cauaq912vmd</t>
  </si>
  <si>
    <t>Cauaq1215vmd</t>
  </si>
  <si>
    <t>Cauaq1520vmd</t>
  </si>
  <si>
    <t>Cauaq2025vmd</t>
  </si>
  <si>
    <t>Cauaq2530vmd</t>
  </si>
  <si>
    <t>Cauaq3035vmd</t>
  </si>
  <si>
    <t>Cauaq35+vmd</t>
  </si>
  <si>
    <t>Cây cau khác</t>
  </si>
  <si>
    <t>Cau#01</t>
  </si>
  <si>
    <t>Cau khác</t>
  </si>
  <si>
    <t>Cau#27</t>
  </si>
  <si>
    <t>Cau#712</t>
  </si>
  <si>
    <t>Cau#1217</t>
  </si>
  <si>
    <t>12cm ≤ đk gốc &lt; 17cm</t>
  </si>
  <si>
    <t>Cau#1722</t>
  </si>
  <si>
    <t>17cm ≤ đk gốc &lt; 22cm</t>
  </si>
  <si>
    <t>Cau#2227</t>
  </si>
  <si>
    <t>22cm ≤ đk gốc &lt; 27cm</t>
  </si>
  <si>
    <t>Cau#2732</t>
  </si>
  <si>
    <t>27cm ≤ đk gốc &lt; 32cm</t>
  </si>
  <si>
    <t>Cau#3235</t>
  </si>
  <si>
    <t>32cm ≤ đk gốc &lt; 35cm</t>
  </si>
  <si>
    <t>Cau#35+</t>
  </si>
  <si>
    <t>đk gốc từ trên 35cm</t>
  </si>
  <si>
    <t>Cau#27vmd</t>
  </si>
  <si>
    <t>Cau khác vượt mật độ</t>
  </si>
  <si>
    <t>Cau#712vmd</t>
  </si>
  <si>
    <t>Cau#1217vmd</t>
  </si>
  <si>
    <t>Cau#1722vmd</t>
  </si>
  <si>
    <t>Cau#2227vmd</t>
  </si>
  <si>
    <t>Cau#2732vmd</t>
  </si>
  <si>
    <t>Cau#3235vmd</t>
  </si>
  <si>
    <t>Cau#35+vmd</t>
  </si>
  <si>
    <t>Cau#712#</t>
  </si>
  <si>
    <t>Cau khác trồng trên đất GTTL</t>
  </si>
  <si>
    <t>Đinh Lăng</t>
  </si>
  <si>
    <t>Dinhlang05</t>
  </si>
  <si>
    <t>đk gốc &lt; 5cm</t>
  </si>
  <si>
    <t>Dinhlang510</t>
  </si>
  <si>
    <t>5cm ≤ đk gốc &lt; 10cm</t>
  </si>
  <si>
    <t>Dinhlang10+</t>
  </si>
  <si>
    <t>Dk từ 10cm trở lên</t>
  </si>
  <si>
    <t>NHÓM CÂY CÔNG TRÌNH</t>
  </si>
  <si>
    <t>Cây ngâu</t>
  </si>
  <si>
    <t>Ngâu01</t>
  </si>
  <si>
    <t>Ngâu5-</t>
  </si>
  <si>
    <t>Ngâu510</t>
  </si>
  <si>
    <t>Ngâu1113</t>
  </si>
  <si>
    <t>10cm ≤ đk gốc &lt; 13cm</t>
  </si>
  <si>
    <t>Ngâu1320</t>
  </si>
  <si>
    <t>13cm ≤ đk gốc &lt; 20cm</t>
  </si>
  <si>
    <t>Ngâu20+</t>
  </si>
  <si>
    <t>đk gốc từ trên 20cm</t>
  </si>
  <si>
    <t>Ngâu01vmd</t>
  </si>
  <si>
    <t>Cây ngâu vượt mật độ</t>
  </si>
  <si>
    <t>Ngâu5-vmd</t>
  </si>
  <si>
    <t>Ngâu510vmd</t>
  </si>
  <si>
    <t>Ngâu1113vmd</t>
  </si>
  <si>
    <t>11cm ≤ đk gốc &lt; 13cm</t>
  </si>
  <si>
    <t>Ngâu1320vmd</t>
  </si>
  <si>
    <t>Ngâu20+vmd</t>
  </si>
  <si>
    <t>Cây Nguyệt quế</t>
  </si>
  <si>
    <t>Nguyetque01</t>
  </si>
  <si>
    <t>Nguyetque5-</t>
  </si>
  <si>
    <t>Nguyetque510</t>
  </si>
  <si>
    <t>Nguyetque1113</t>
  </si>
  <si>
    <t>Nguyetque1320</t>
  </si>
  <si>
    <t>Nguyetque20+</t>
  </si>
  <si>
    <t>Nguyetque01vmd</t>
  </si>
  <si>
    <t>Cây Nguyệt quế vượt mật độ</t>
  </si>
  <si>
    <t>Nguyetque5-vmd</t>
  </si>
  <si>
    <t>Nguyetque510vmd</t>
  </si>
  <si>
    <t>Nguyetque1113vmd</t>
  </si>
  <si>
    <t>Nguyetque1320vmd</t>
  </si>
  <si>
    <t>Nguyetque20+vmd</t>
  </si>
  <si>
    <t>Cây dừa</t>
  </si>
  <si>
    <t>Dừa01</t>
  </si>
  <si>
    <t>Dừa27</t>
  </si>
  <si>
    <t>Dừa712</t>
  </si>
  <si>
    <t>Dừa1217</t>
  </si>
  <si>
    <t>Dừa1722</t>
  </si>
  <si>
    <t>Dừa2227</t>
  </si>
  <si>
    <t>Dừa2732</t>
  </si>
  <si>
    <t>Dừa3235</t>
  </si>
  <si>
    <t>Dừa35+</t>
  </si>
  <si>
    <t>Dừa27vmd</t>
  </si>
  <si>
    <t>Cây dừa vượt mật độ</t>
  </si>
  <si>
    <t>Dừa712vmd</t>
  </si>
  <si>
    <t>Dừa1217vmd</t>
  </si>
  <si>
    <t>Dừa1722vmd</t>
  </si>
  <si>
    <t>Dừa2227vmd</t>
  </si>
  <si>
    <t>Dừa2732vmd</t>
  </si>
  <si>
    <t>Dừa3235vmd</t>
  </si>
  <si>
    <t>Dừa35+vmd</t>
  </si>
  <si>
    <t>Cây cọ</t>
  </si>
  <si>
    <t>Cọ01</t>
  </si>
  <si>
    <t>Cọ27</t>
  </si>
  <si>
    <t>Cọ712</t>
  </si>
  <si>
    <t>Cọ1217</t>
  </si>
  <si>
    <t>Cọ1722</t>
  </si>
  <si>
    <t>Cọ2227</t>
  </si>
  <si>
    <t>Cọ2732</t>
  </si>
  <si>
    <t>Cọ3235</t>
  </si>
  <si>
    <t>Cọ35+</t>
  </si>
  <si>
    <t>Cọ01vmd</t>
  </si>
  <si>
    <t>Cây cọ vượt mật độ</t>
  </si>
  <si>
    <t>Cọ27vmd</t>
  </si>
  <si>
    <t>Cọ712vmd</t>
  </si>
  <si>
    <t>Cọ1217vmd</t>
  </si>
  <si>
    <t>Cọ1722vmd</t>
  </si>
  <si>
    <t>Cọ2227vmd</t>
  </si>
  <si>
    <t>Cọ2732vmd</t>
  </si>
  <si>
    <t>Cọ3235vmd</t>
  </si>
  <si>
    <t>Cọ35+vmd</t>
  </si>
  <si>
    <t>Cây sung</t>
  </si>
  <si>
    <t>Sung01</t>
  </si>
  <si>
    <t>Sung27</t>
  </si>
  <si>
    <t>Sung712</t>
  </si>
  <si>
    <t>Sung1220</t>
  </si>
  <si>
    <t>Sung2030</t>
  </si>
  <si>
    <t>Sung30+</t>
  </si>
  <si>
    <t>Sung27vmd</t>
  </si>
  <si>
    <t>Cây sung vượt mật độ</t>
  </si>
  <si>
    <t>Sung712vmd</t>
  </si>
  <si>
    <t>Sung1220vmd</t>
  </si>
  <si>
    <t>Sung2030vmd</t>
  </si>
  <si>
    <t>Sung30+vmd</t>
  </si>
  <si>
    <t>Cây vối</t>
  </si>
  <si>
    <t>Vối01</t>
  </si>
  <si>
    <t>Vối27</t>
  </si>
  <si>
    <t>Vối712</t>
  </si>
  <si>
    <t>Vối1220</t>
  </si>
  <si>
    <t>Vối2030</t>
  </si>
  <si>
    <t>Vối30+</t>
  </si>
  <si>
    <t>Vối01vmd</t>
  </si>
  <si>
    <t>Cây vối vượt mật độ</t>
  </si>
  <si>
    <t>Vối27vmd</t>
  </si>
  <si>
    <t>Vối712vmd</t>
  </si>
  <si>
    <t>Vối1220vmd</t>
  </si>
  <si>
    <t>Vối2030vmd</t>
  </si>
  <si>
    <t>Vối30+vmd</t>
  </si>
  <si>
    <t>Sanh35vmd</t>
  </si>
  <si>
    <t>Cây sanh vượt mật độ</t>
  </si>
  <si>
    <t>3cm ≤ đk gốc &lt; 5cm</t>
  </si>
  <si>
    <t>Sanh57vmd</t>
  </si>
  <si>
    <t>Sanh710vmd</t>
  </si>
  <si>
    <t>7cm ≤ đk gốc &lt; 10cm</t>
  </si>
  <si>
    <t>Sanh1015vmd</t>
  </si>
  <si>
    <t>10cm ≤ đk gốc &lt; 15cm</t>
  </si>
  <si>
    <t>Sanh1520vmd</t>
  </si>
  <si>
    <t>Sanh20+vmd</t>
  </si>
  <si>
    <t>Sanh710#</t>
  </si>
  <si>
    <t>Cây sanh trồng trên đất GTTL</t>
  </si>
  <si>
    <t>Sanh1015#</t>
  </si>
  <si>
    <t>Sanh1520#</t>
  </si>
  <si>
    <t>Sanh20+#</t>
  </si>
  <si>
    <t>Cây Sanh</t>
  </si>
  <si>
    <t>i</t>
  </si>
  <si>
    <t>Sanh35</t>
  </si>
  <si>
    <t>Cây sanh</t>
  </si>
  <si>
    <t>Sanh57</t>
  </si>
  <si>
    <t>Sanh710</t>
  </si>
  <si>
    <t>Sanh1015</t>
  </si>
  <si>
    <t>Sanh1520</t>
  </si>
  <si>
    <t>Sanh20+</t>
  </si>
  <si>
    <t>Cây Si</t>
  </si>
  <si>
    <t>Si35</t>
  </si>
  <si>
    <t>Cây si</t>
  </si>
  <si>
    <t>Si57</t>
  </si>
  <si>
    <t>Si710</t>
  </si>
  <si>
    <t>Si1015</t>
  </si>
  <si>
    <t>Si1520</t>
  </si>
  <si>
    <t>Si20+</t>
  </si>
  <si>
    <t>Si35vmd</t>
  </si>
  <si>
    <t>Cây si vượt mật độ</t>
  </si>
  <si>
    <t>Si57vmd</t>
  </si>
  <si>
    <t>Si710vmd</t>
  </si>
  <si>
    <t>Si1015vmd</t>
  </si>
  <si>
    <t>Si1520vmd</t>
  </si>
  <si>
    <t>Si20+vmd</t>
  </si>
  <si>
    <t>Cây Liễu</t>
  </si>
  <si>
    <t>Liễu01</t>
  </si>
  <si>
    <t>Liễu05</t>
  </si>
  <si>
    <t>Liễu510</t>
  </si>
  <si>
    <t>5cm ≤ đk gốc ≤ 10cm</t>
  </si>
  <si>
    <t>Liễu1113</t>
  </si>
  <si>
    <t>11cm ≤ đk gốc ≤ 13cm</t>
  </si>
  <si>
    <t>Liễu1320</t>
  </si>
  <si>
    <t>13cm &lt; đk gốc ≤ 20cm</t>
  </si>
  <si>
    <t>Liễu2040</t>
  </si>
  <si>
    <t>20cm &lt; đk gốc ≤ 40cm</t>
  </si>
  <si>
    <t>Liễu40+</t>
  </si>
  <si>
    <t>đk gốc trên 40cm</t>
  </si>
  <si>
    <t>Liễu01vmd</t>
  </si>
  <si>
    <t>Cây Liễu vượt mật độ</t>
  </si>
  <si>
    <t>Liễu05vmd</t>
  </si>
  <si>
    <t>Liễu510vmd</t>
  </si>
  <si>
    <t>Liễu1113vmd</t>
  </si>
  <si>
    <t>Liễu1320vmd</t>
  </si>
  <si>
    <t>Liễu2040vmd</t>
  </si>
  <si>
    <t>Liễu40+vmd</t>
  </si>
  <si>
    <t>Cây Bằng lăng</t>
  </si>
  <si>
    <t>Banglang01</t>
  </si>
  <si>
    <t>Bằng lăng</t>
  </si>
  <si>
    <t>Banglang05</t>
  </si>
  <si>
    <t>Banglang510</t>
  </si>
  <si>
    <t>Banglang1113</t>
  </si>
  <si>
    <t>Banglang1320</t>
  </si>
  <si>
    <t>Banglang2040</t>
  </si>
  <si>
    <t>Banglang40+</t>
  </si>
  <si>
    <t>Banglang01vmd</t>
  </si>
  <si>
    <t>Bằng lăng vượt mật độ</t>
  </si>
  <si>
    <t>Banglang05vmd</t>
  </si>
  <si>
    <t>Banglang510vmd</t>
  </si>
  <si>
    <t>Banglang1113vmd</t>
  </si>
  <si>
    <t>Banglang1320vmd</t>
  </si>
  <si>
    <t>Banglang2040vmd</t>
  </si>
  <si>
    <t>Banglang40+vmd</t>
  </si>
  <si>
    <t>Cây Lộc vừng</t>
  </si>
  <si>
    <t>Locvung35</t>
  </si>
  <si>
    <t>Locvung57</t>
  </si>
  <si>
    <t>Locvung710</t>
  </si>
  <si>
    <t>Locvung1015</t>
  </si>
  <si>
    <t>Locvung15+</t>
  </si>
  <si>
    <t>đk gốc từ 15cm trở lên</t>
  </si>
  <si>
    <t>Locvung15+#</t>
  </si>
  <si>
    <t>Cây Lộc vừng trồng trên đất GTTL</t>
  </si>
  <si>
    <t>Locvung35vmd</t>
  </si>
  <si>
    <t>Cây Lộc vừng vượt mật độ</t>
  </si>
  <si>
    <t>Locvung57vmd</t>
  </si>
  <si>
    <t>Locvung710vmd</t>
  </si>
  <si>
    <t>Locvung1015vmd</t>
  </si>
  <si>
    <t>Locvung15+vmd</t>
  </si>
  <si>
    <t>Locvung35itl</t>
  </si>
  <si>
    <t>Cây Lộc vừng ít tán, ít lá</t>
  </si>
  <si>
    <t>Locvung57itl</t>
  </si>
  <si>
    <t>Locvung710itl</t>
  </si>
  <si>
    <t>Locvung1015itl</t>
  </si>
  <si>
    <t>Locvung15+itl</t>
  </si>
  <si>
    <t>Locvung15+itl.vmd</t>
  </si>
  <si>
    <t>Cây Lộc vừng ít tán, ít lá, vượt mật độ</t>
  </si>
  <si>
    <t>Locvung710mt</t>
  </si>
  <si>
    <t>Cây Lộc vừng mới trồng</t>
  </si>
  <si>
    <t>Locvung1015mt</t>
  </si>
  <si>
    <t>Locvung15+mt</t>
  </si>
  <si>
    <t>Cây Đào tiên</t>
  </si>
  <si>
    <t>Daotien35</t>
  </si>
  <si>
    <t>Daotien57</t>
  </si>
  <si>
    <t>Daotien710</t>
  </si>
  <si>
    <t>Daotien1015</t>
  </si>
  <si>
    <t>Daotien15+</t>
  </si>
  <si>
    <t>Daotien35vmd</t>
  </si>
  <si>
    <t>Cây Đào tiên vượt mật độ</t>
  </si>
  <si>
    <t>Daotien57vmd</t>
  </si>
  <si>
    <t>Daotien710vmd</t>
  </si>
  <si>
    <t>Daotien1015vmd</t>
  </si>
  <si>
    <t>Daotien15+vmd</t>
  </si>
  <si>
    <t>Cây Tùng</t>
  </si>
  <si>
    <t>Tung01</t>
  </si>
  <si>
    <t>Đơn giá dự thảo</t>
  </si>
  <si>
    <t>Tung35</t>
  </si>
  <si>
    <t>Tung57</t>
  </si>
  <si>
    <t>Tung710</t>
  </si>
  <si>
    <t>Tung1015</t>
  </si>
  <si>
    <t>Tung1520</t>
  </si>
  <si>
    <t>Tung20+</t>
  </si>
  <si>
    <t>Tung35vmd</t>
  </si>
  <si>
    <t>Cây Tùng vừng vượt mật độ</t>
  </si>
  <si>
    <t>Tung57vmd</t>
  </si>
  <si>
    <t>Tung710vmd</t>
  </si>
  <si>
    <t>Tung1015vmd</t>
  </si>
  <si>
    <t>Tung1520vmd</t>
  </si>
  <si>
    <t>Tung20+vmd</t>
  </si>
  <si>
    <t>Cây Bồ đề</t>
  </si>
  <si>
    <t>Bode01</t>
  </si>
  <si>
    <t>Bode35</t>
  </si>
  <si>
    <t>Bode57</t>
  </si>
  <si>
    <t>Bode710</t>
  </si>
  <si>
    <t>Bode1015</t>
  </si>
  <si>
    <t>Bode15+</t>
  </si>
  <si>
    <t>Bode01vmd</t>
  </si>
  <si>
    <t>Cây Bồ đề vượt mật độ</t>
  </si>
  <si>
    <t>Bode35vmd</t>
  </si>
  <si>
    <t>Bode57vmd</t>
  </si>
  <si>
    <t>Bode710vmd</t>
  </si>
  <si>
    <t>Bode1015vmd</t>
  </si>
  <si>
    <t>Bode15+vmd</t>
  </si>
  <si>
    <t>Bode15+#</t>
  </si>
  <si>
    <t>Cây Bồ đề trồng trên đất GTTL</t>
  </si>
  <si>
    <t>Bode15+#vmd</t>
  </si>
  <si>
    <t>Cây Bồ đề trồng trên đất GTTL, vượt mật độ</t>
  </si>
  <si>
    <t>Cây Đại</t>
  </si>
  <si>
    <t>Đại01</t>
  </si>
  <si>
    <t>Đại35</t>
  </si>
  <si>
    <t>Đại57</t>
  </si>
  <si>
    <t>Đại710</t>
  </si>
  <si>
    <t>Đại1015</t>
  </si>
  <si>
    <t>Đại15+</t>
  </si>
  <si>
    <t>Đại01vmd</t>
  </si>
  <si>
    <t>Cây Đại vượt mật độ</t>
  </si>
  <si>
    <t>Đại35vmd</t>
  </si>
  <si>
    <t>Đại57vmd</t>
  </si>
  <si>
    <t>Đại710vmd</t>
  </si>
  <si>
    <t>Đại1015vmd</t>
  </si>
  <si>
    <t>Đại15+vmd</t>
  </si>
  <si>
    <t>Cây Osaka</t>
  </si>
  <si>
    <t>Osaka05</t>
  </si>
  <si>
    <t>Osaka57</t>
  </si>
  <si>
    <t>Osaka710</t>
  </si>
  <si>
    <t>Osaka1015</t>
  </si>
  <si>
    <t>Osaka1520</t>
  </si>
  <si>
    <t>Osaka20+</t>
  </si>
  <si>
    <t>Osaka05vmd</t>
  </si>
  <si>
    <t>Cây Osaka vượt mật độ</t>
  </si>
  <si>
    <t>Osaka57vmd</t>
  </si>
  <si>
    <t>Osaka710vmd</t>
  </si>
  <si>
    <t>Osaka1015vmd</t>
  </si>
  <si>
    <t>Osaka1520vmd</t>
  </si>
  <si>
    <t>Osaka15+vmd</t>
  </si>
  <si>
    <t>Cây Vàng anh</t>
  </si>
  <si>
    <t>Vàng anh05</t>
  </si>
  <si>
    <t>Vàng anh57</t>
  </si>
  <si>
    <t>Vàng anh710</t>
  </si>
  <si>
    <t>Vàng anh1015</t>
  </si>
  <si>
    <t>Vàng anh1520</t>
  </si>
  <si>
    <t>Vàng anh20+</t>
  </si>
  <si>
    <t>Cây Táo</t>
  </si>
  <si>
    <t>Táo01</t>
  </si>
  <si>
    <t>Cây táo</t>
  </si>
  <si>
    <t>Táo27</t>
  </si>
  <si>
    <t>Táo712</t>
  </si>
  <si>
    <t>Táo1220</t>
  </si>
  <si>
    <t>Táo2030</t>
  </si>
  <si>
    <t>Táo30+</t>
  </si>
  <si>
    <t>Táo01vmd</t>
  </si>
  <si>
    <t>Cây táo vượt mật độ</t>
  </si>
  <si>
    <t>Táo27vmd</t>
  </si>
  <si>
    <t>Táo712vmd</t>
  </si>
  <si>
    <t>Táo1220vmd</t>
  </si>
  <si>
    <t>Táo2030vmd</t>
  </si>
  <si>
    <t>Táo30+vmd</t>
  </si>
  <si>
    <t>Táo27#</t>
  </si>
  <si>
    <t>Cây táo trồng bờ ruộng</t>
  </si>
  <si>
    <t>Cây Me</t>
  </si>
  <si>
    <t>Me01</t>
  </si>
  <si>
    <t>Me27</t>
  </si>
  <si>
    <t>Me712</t>
  </si>
  <si>
    <t>Me1220</t>
  </si>
  <si>
    <t>Me2030</t>
  </si>
  <si>
    <t>Me30+</t>
  </si>
  <si>
    <t>Me01vmd</t>
  </si>
  <si>
    <t>Cây Me vượt mật độ</t>
  </si>
  <si>
    <t>Me27vmd</t>
  </si>
  <si>
    <t>Me712vmd</t>
  </si>
  <si>
    <t>Me1220vmd</t>
  </si>
  <si>
    <t>Me2030vmd</t>
  </si>
  <si>
    <t>Me30+vmd</t>
  </si>
  <si>
    <t>Me27#</t>
  </si>
  <si>
    <t>Cây Me trồng bờ ruộng</t>
  </si>
  <si>
    <t>Xoài01</t>
  </si>
  <si>
    <t>Cây xoài</t>
  </si>
  <si>
    <t>28,5</t>
  </si>
  <si>
    <t>Xoài27</t>
  </si>
  <si>
    <t xml:space="preserve"> 28,5</t>
  </si>
  <si>
    <t>Xoài712</t>
  </si>
  <si>
    <t>Xoài1220</t>
  </si>
  <si>
    <t>Xoài2030</t>
  </si>
  <si>
    <t>Xoài30+</t>
  </si>
  <si>
    <t>Xoài01vmd</t>
  </si>
  <si>
    <t>Cây xoài vượt mật độ</t>
  </si>
  <si>
    <t>Xoài27vmd</t>
  </si>
  <si>
    <t>Xoài712vmd</t>
  </si>
  <si>
    <t>Xoài1220vmd</t>
  </si>
  <si>
    <t>Xoài2030vmd</t>
  </si>
  <si>
    <t>Xoài30+vmd</t>
  </si>
  <si>
    <t>Cây Na</t>
  </si>
  <si>
    <t>Na01</t>
  </si>
  <si>
    <t>Na27</t>
  </si>
  <si>
    <t>Na712</t>
  </si>
  <si>
    <t>Na1220</t>
  </si>
  <si>
    <t>Na2030</t>
  </si>
  <si>
    <t>Na30+</t>
  </si>
  <si>
    <t>Na01vmd</t>
  </si>
  <si>
    <t>Cây Na vượt mật độ</t>
  </si>
  <si>
    <t>Na27vmd</t>
  </si>
  <si>
    <t>Na712vmd</t>
  </si>
  <si>
    <t>Na1220vmd</t>
  </si>
  <si>
    <t>Na2030vmd</t>
  </si>
  <si>
    <t>Na30+vmd</t>
  </si>
  <si>
    <t>Na27#</t>
  </si>
  <si>
    <t>Cây Na trồng bờ ruộng</t>
  </si>
  <si>
    <t>Cây Xoan đào</t>
  </si>
  <si>
    <t>Xoan01</t>
  </si>
  <si>
    <t>Cây xoan</t>
  </si>
  <si>
    <t>Xoan05</t>
  </si>
  <si>
    <t>Xoan510</t>
  </si>
  <si>
    <t>Xoan1013</t>
  </si>
  <si>
    <t>Xoan1320</t>
  </si>
  <si>
    <t>Xoan2050</t>
  </si>
  <si>
    <t>20cm ≤ đk gốc &lt;50cm</t>
  </si>
  <si>
    <t>Xoan50+</t>
  </si>
  <si>
    <t>đk gốc từ 50cm trở lên</t>
  </si>
  <si>
    <t>Xoan01vmd</t>
  </si>
  <si>
    <t>Cây xoan vượt mật độ</t>
  </si>
  <si>
    <t>Xoan05vmd</t>
  </si>
  <si>
    <t>Xoan510vmd</t>
  </si>
  <si>
    <t>Xoan1013vmd</t>
  </si>
  <si>
    <t>Xoan1320vmd</t>
  </si>
  <si>
    <t>Xoan2050vmd</t>
  </si>
  <si>
    <t>Xoan50+vmd</t>
  </si>
  <si>
    <t>Xoan2050#</t>
  </si>
  <si>
    <t>Cây xoan trồng trên đất GTTL</t>
  </si>
  <si>
    <t>Cây Phi lao</t>
  </si>
  <si>
    <t>Philao01</t>
  </si>
  <si>
    <t>Philao05</t>
  </si>
  <si>
    <t>Philao510</t>
  </si>
  <si>
    <t>Philao1013</t>
  </si>
  <si>
    <t>Philao1320</t>
  </si>
  <si>
    <t>Philao2050</t>
  </si>
  <si>
    <t>Philao50+</t>
  </si>
  <si>
    <t>Philao01vmd</t>
  </si>
  <si>
    <t>Cây Phi lao vượt mật độ</t>
  </si>
  <si>
    <t>Philao05vmd</t>
  </si>
  <si>
    <t>Philao510vmd</t>
  </si>
  <si>
    <t>Philao1013vmd</t>
  </si>
  <si>
    <t>Philao1320vmd</t>
  </si>
  <si>
    <t>Philao2050vmd</t>
  </si>
  <si>
    <t>Philao50+vmd</t>
  </si>
  <si>
    <t>Cây Xà cừ</t>
  </si>
  <si>
    <t>Xacu01</t>
  </si>
  <si>
    <t>Cây xà cừ</t>
  </si>
  <si>
    <t>Xacu05</t>
  </si>
  <si>
    <t>Xacu510</t>
  </si>
  <si>
    <t>Xacu1013</t>
  </si>
  <si>
    <t>Xacu1320</t>
  </si>
  <si>
    <t>Xacu2050</t>
  </si>
  <si>
    <t>Xacu50+</t>
  </si>
  <si>
    <t>Xacu01vmd</t>
  </si>
  <si>
    <t>Xacu05vmd</t>
  </si>
  <si>
    <t>Cây xà cừ vượt mật độ</t>
  </si>
  <si>
    <t>Xacu510vmd</t>
  </si>
  <si>
    <t>Xacu1013vmd</t>
  </si>
  <si>
    <t>Xacu1320vmd</t>
  </si>
  <si>
    <t>Xacu2050vmd</t>
  </si>
  <si>
    <t>Xacu50+vmd</t>
  </si>
  <si>
    <t>Xacu2050#</t>
  </si>
  <si>
    <t>Cây xà cừ trồng trên đất GTTL</t>
  </si>
  <si>
    <t>Xacu1013#</t>
  </si>
  <si>
    <t>Cây Keo</t>
  </si>
  <si>
    <t>Keo01</t>
  </si>
  <si>
    <t>Cây keo</t>
  </si>
  <si>
    <t>Keo05</t>
  </si>
  <si>
    <t>Keo510</t>
  </si>
  <si>
    <t>Keo1013</t>
  </si>
  <si>
    <t>Keo1320</t>
  </si>
  <si>
    <t>Keo2050</t>
  </si>
  <si>
    <t>Keo50+</t>
  </si>
  <si>
    <t>Keo01vmd</t>
  </si>
  <si>
    <t>Keo05vmd</t>
  </si>
  <si>
    <t>Cây keo vượt mật độ</t>
  </si>
  <si>
    <t>Keo510vmd</t>
  </si>
  <si>
    <t>Keo1013vmd</t>
  </si>
  <si>
    <t>Keo1320vmd</t>
  </si>
  <si>
    <t>Keo2050vmd</t>
  </si>
  <si>
    <t>Keo50+vmd</t>
  </si>
  <si>
    <t>Cây Bạch đàn</t>
  </si>
  <si>
    <t>Bachdan01</t>
  </si>
  <si>
    <t>Bachdan05</t>
  </si>
  <si>
    <t>Bachdan510</t>
  </si>
  <si>
    <t>Bachdan1013</t>
  </si>
  <si>
    <t>Bachdan1320</t>
  </si>
  <si>
    <t>Bachdan2050</t>
  </si>
  <si>
    <t>Bachdan50+</t>
  </si>
  <si>
    <t>Bachdan01vmd</t>
  </si>
  <si>
    <t>Cây Bạch đàn vượt mật độ</t>
  </si>
  <si>
    <t>Bachdan05vmd</t>
  </si>
  <si>
    <t>Bachdan510vmd</t>
  </si>
  <si>
    <t>Bachdan1013vmd</t>
  </si>
  <si>
    <t>Bachdan1320vmd</t>
  </si>
  <si>
    <t>Bachdan2050vmd</t>
  </si>
  <si>
    <t>Bachdan50+vmd</t>
  </si>
  <si>
    <t>Cây Sưa</t>
  </si>
  <si>
    <t>Sua01</t>
  </si>
  <si>
    <t>Cây sưa</t>
  </si>
  <si>
    <t>Sua05</t>
  </si>
  <si>
    <t>Sua510</t>
  </si>
  <si>
    <t>Sua1013</t>
  </si>
  <si>
    <t>Sua1320</t>
  </si>
  <si>
    <t>Sua2050</t>
  </si>
  <si>
    <t>Sua50+</t>
  </si>
  <si>
    <t>Sua01vmd</t>
  </si>
  <si>
    <t>Cây sưa vượt mật độ</t>
  </si>
  <si>
    <t>Sua05vmd</t>
  </si>
  <si>
    <t>Sua510vmd</t>
  </si>
  <si>
    <t>Sua1013vmd</t>
  </si>
  <si>
    <t>Sua1320vmd</t>
  </si>
  <si>
    <t>Sua2050vmd</t>
  </si>
  <si>
    <t>Sua50+vmd</t>
  </si>
  <si>
    <t>Cây Duối</t>
  </si>
  <si>
    <t>Duối01</t>
  </si>
  <si>
    <t>Cây duối</t>
  </si>
  <si>
    <t>Duối27</t>
  </si>
  <si>
    <t>Duối712</t>
  </si>
  <si>
    <t>Duối1220</t>
  </si>
  <si>
    <t>Duối2030</t>
  </si>
  <si>
    <t>Duối30+</t>
  </si>
  <si>
    <t>Duối01vmd</t>
  </si>
  <si>
    <t>Cây duối vượt mật độ</t>
  </si>
  <si>
    <t>Duối27vmd</t>
  </si>
  <si>
    <t>Duối712vmd</t>
  </si>
  <si>
    <t>Duối1220vmd</t>
  </si>
  <si>
    <t>Duối2030vmd</t>
  </si>
  <si>
    <t>Duối30+vmd</t>
  </si>
  <si>
    <t>Cây dâu tằm</t>
  </si>
  <si>
    <t>Dautam01</t>
  </si>
  <si>
    <t>Dautam05</t>
  </si>
  <si>
    <t>Dautam510</t>
  </si>
  <si>
    <t>Dautam1013</t>
  </si>
  <si>
    <t>Dautam1320</t>
  </si>
  <si>
    <t>Dautam2050</t>
  </si>
  <si>
    <t>Dautam50+</t>
  </si>
  <si>
    <t>Cây Trúc</t>
  </si>
  <si>
    <t>Trúc</t>
  </si>
  <si>
    <t>Cây trúc</t>
  </si>
  <si>
    <t>Trúc.vmd</t>
  </si>
  <si>
    <t>Cây trúc vượt mật độ</t>
  </si>
  <si>
    <t>Trúc02</t>
  </si>
  <si>
    <t>đk gốc 2cm</t>
  </si>
  <si>
    <t>Quy tính diện tích còn lại</t>
  </si>
  <si>
    <t>Trúc05</t>
  </si>
  <si>
    <t>đk gốc 5cm</t>
  </si>
  <si>
    <t>Trúc02#</t>
  </si>
  <si>
    <t>Cây trúc trồng trên đất GTTL</t>
  </si>
  <si>
    <t>TrúcQT01</t>
  </si>
  <si>
    <t>Cây trúc quân tử</t>
  </si>
  <si>
    <t>TrúcQT02</t>
  </si>
  <si>
    <t>TrúcQT05</t>
  </si>
  <si>
    <t>Trúcmây02</t>
  </si>
  <si>
    <t>Cây trúc mây</t>
  </si>
  <si>
    <t>Trúcpb</t>
  </si>
  <si>
    <t>Cây trúc phật bà</t>
  </si>
  <si>
    <t>5cm ≤ đk gốc</t>
  </si>
  <si>
    <t>Trúcpb35</t>
  </si>
  <si>
    <t>3cm ≤ đk gốc ≤ 5cm</t>
  </si>
  <si>
    <t>Trúcpb710</t>
  </si>
  <si>
    <t>7cm ≤ đk gốc ≤ 10cm</t>
  </si>
  <si>
    <t>Trúcpb35mt</t>
  </si>
  <si>
    <t>Cây trúc phật bà mới trồng</t>
  </si>
  <si>
    <t>TrúcNhật01</t>
  </si>
  <si>
    <t>Cây trúc Nhật</t>
  </si>
  <si>
    <t>Cây Đào</t>
  </si>
  <si>
    <t>Đào01</t>
  </si>
  <si>
    <t>Cây đào</t>
  </si>
  <si>
    <t>Đào25</t>
  </si>
  <si>
    <t>Đào57</t>
  </si>
  <si>
    <t>Đào710</t>
  </si>
  <si>
    <t>Đào10+</t>
  </si>
  <si>
    <t>đk gốc từ 10cm trở lên</t>
  </si>
  <si>
    <t>Đào25vmd</t>
  </si>
  <si>
    <t>Cây đào vượt mật độ</t>
  </si>
  <si>
    <t>Đào57vmd</t>
  </si>
  <si>
    <t>Đào710vmd</t>
  </si>
  <si>
    <t>Đào10+vmd</t>
  </si>
  <si>
    <t>Cây Mai</t>
  </si>
  <si>
    <t>Mai01</t>
  </si>
  <si>
    <t>Cây mai</t>
  </si>
  <si>
    <t>Mai25</t>
  </si>
  <si>
    <t>Mai57</t>
  </si>
  <si>
    <t>Mai710</t>
  </si>
  <si>
    <t>Mai10+</t>
  </si>
  <si>
    <t>Mai25vmd</t>
  </si>
  <si>
    <t>Cây mai vượt mật độ</t>
  </si>
  <si>
    <t>Mai57vmd</t>
  </si>
  <si>
    <t>Mai710vmd</t>
  </si>
  <si>
    <t>Mai10+vmd</t>
  </si>
  <si>
    <t>Mai25mt</t>
  </si>
  <si>
    <t>Cây mai mới trồng</t>
  </si>
  <si>
    <t>Cây Mộc</t>
  </si>
  <si>
    <t>Mộc01</t>
  </si>
  <si>
    <t>Cây mộc</t>
  </si>
  <si>
    <t>Mộc02</t>
  </si>
  <si>
    <t>đk gốc &lt; 2cm</t>
  </si>
  <si>
    <t>Mộc25</t>
  </si>
  <si>
    <t>Mộc57</t>
  </si>
  <si>
    <t>Mộc710</t>
  </si>
  <si>
    <t>Mộc10+</t>
  </si>
  <si>
    <t>Mộc01vmd</t>
  </si>
  <si>
    <t>Cây mộc vượt mật độ</t>
  </si>
  <si>
    <t>Mộc25vmd</t>
  </si>
  <si>
    <t>Mộc57vmd</t>
  </si>
  <si>
    <t>Mộc710vmd</t>
  </si>
  <si>
    <t>Mộc10+vmd</t>
  </si>
  <si>
    <t>Cây hoa Ban</t>
  </si>
  <si>
    <t>Ban05</t>
  </si>
  <si>
    <t>Ban57</t>
  </si>
  <si>
    <t>Ban710</t>
  </si>
  <si>
    <t>Ban1015</t>
  </si>
  <si>
    <t>Ban1520</t>
  </si>
  <si>
    <t>Ban20+</t>
  </si>
  <si>
    <t>Ban05vmd</t>
  </si>
  <si>
    <t>Cây hoa Ban vượt mật độ</t>
  </si>
  <si>
    <t>Ban57vmd</t>
  </si>
  <si>
    <t>Ban710vmd</t>
  </si>
  <si>
    <t>Ban1015vmd</t>
  </si>
  <si>
    <t>Ban1520vmd</t>
  </si>
  <si>
    <t>Ban20+vmd</t>
  </si>
  <si>
    <t>Cây Đa</t>
  </si>
  <si>
    <t>Đa05</t>
  </si>
  <si>
    <t>Đa57</t>
  </si>
  <si>
    <t>Đa710</t>
  </si>
  <si>
    <t>Đa1015</t>
  </si>
  <si>
    <t>Đa1520</t>
  </si>
  <si>
    <t>Đa20+</t>
  </si>
  <si>
    <t>Đa05vmd</t>
  </si>
  <si>
    <t>Cây Đa vượt mật độ</t>
  </si>
  <si>
    <t>Đa57vmd</t>
  </si>
  <si>
    <t>Đa710vmd</t>
  </si>
  <si>
    <t>Đa1015vmd</t>
  </si>
  <si>
    <t>Đa1520vmd</t>
  </si>
  <si>
    <t>Đa20+vmd</t>
  </si>
  <si>
    <t>Cây Ngọc lan</t>
  </si>
  <si>
    <t>Ngọc lan05</t>
  </si>
  <si>
    <t>Cây hoa Ngọc lan</t>
  </si>
  <si>
    <t>Ngọc lan57</t>
  </si>
  <si>
    <t>Ngọc lan710</t>
  </si>
  <si>
    <t>Ngọc lan1015</t>
  </si>
  <si>
    <t>Ngọc lan1520</t>
  </si>
  <si>
    <t>Ngọc lan20+</t>
  </si>
  <si>
    <t>Ngọc lan05vmd</t>
  </si>
  <si>
    <t>Cây hoa Ngọc lan vượt mật độ</t>
  </si>
  <si>
    <t>Ngọc lan57vmd</t>
  </si>
  <si>
    <t>Ngọc lan710vmd</t>
  </si>
  <si>
    <t>Ngọc lan1015vmd</t>
  </si>
  <si>
    <t>Ngọc lan1520vmd</t>
  </si>
  <si>
    <t>Ngọc lan20+vmd</t>
  </si>
  <si>
    <t>Cây Tường vi</t>
  </si>
  <si>
    <t>Tườngvi01</t>
  </si>
  <si>
    <t>Cây tường vi</t>
  </si>
  <si>
    <t>Tườngvi05</t>
  </si>
  <si>
    <t>Tườngvi510</t>
  </si>
  <si>
    <t>Tườngvi1113</t>
  </si>
  <si>
    <t>Tườngvi1320</t>
  </si>
  <si>
    <t>Tườngvi2040</t>
  </si>
  <si>
    <t>20cm ≤ đk gốc &lt; 40cm</t>
  </si>
  <si>
    <t>Tườngvi40+</t>
  </si>
  <si>
    <t>đk gốc từ trên 40cm</t>
  </si>
  <si>
    <t>Tườngvi01vmd</t>
  </si>
  <si>
    <t>Cây tường vi vượt mật độ</t>
  </si>
  <si>
    <t>Tườngvi05vmd</t>
  </si>
  <si>
    <t>Tườngvi510vmd</t>
  </si>
  <si>
    <t>Tườngvi1113vmd</t>
  </si>
  <si>
    <t>Tườngvi1320vmd</t>
  </si>
  <si>
    <t>Tườngvi2040vmd</t>
  </si>
  <si>
    <t>Tườngvi40+vmd</t>
  </si>
  <si>
    <t>Tườngvi05#</t>
  </si>
  <si>
    <t>Cây Lựu</t>
  </si>
  <si>
    <t>Cây Lựu vượt mật độ</t>
  </si>
  <si>
    <t>Cây Muồng</t>
  </si>
  <si>
    <t>Muồng05</t>
  </si>
  <si>
    <t>Muồng57</t>
  </si>
  <si>
    <t>Muồng710</t>
  </si>
  <si>
    <t>Muồng1015</t>
  </si>
  <si>
    <t>Muồng1520</t>
  </si>
  <si>
    <t>Muồng20+</t>
  </si>
  <si>
    <t>Muồng05vmd</t>
  </si>
  <si>
    <t>Cây Muồng vượt mật độ</t>
  </si>
  <si>
    <t>Muồng57vmd</t>
  </si>
  <si>
    <t>Muồng710vmd</t>
  </si>
  <si>
    <t>Muồng1015vmd</t>
  </si>
  <si>
    <t>Muồng1520vmd</t>
  </si>
  <si>
    <t>Muồng20+vmd</t>
  </si>
  <si>
    <t>Cây Muồng hoàng yến</t>
  </si>
  <si>
    <t>MuồngHY01</t>
  </si>
  <si>
    <t>MuồngHY05</t>
  </si>
  <si>
    <t>MuồngHY510</t>
  </si>
  <si>
    <t>MuồngHY1013</t>
  </si>
  <si>
    <t>10cm &lt; đk gốc ≤ 13cm</t>
  </si>
  <si>
    <t>MuồngHY1320</t>
  </si>
  <si>
    <t>MuồngHY2050</t>
  </si>
  <si>
    <t>20cm &lt; đk gốc ≤ 50cm</t>
  </si>
  <si>
    <t>MuồngHY50+</t>
  </si>
  <si>
    <t>đk gốc từ trên 50cm</t>
  </si>
  <si>
    <t>Cây Phượng vĩ</t>
  </si>
  <si>
    <t>Phuong01</t>
  </si>
  <si>
    <t>Cây phượng vĩ</t>
  </si>
  <si>
    <t>Phuong05</t>
  </si>
  <si>
    <t>Phuong510</t>
  </si>
  <si>
    <t>Phuong1113</t>
  </si>
  <si>
    <t>Phuong1320</t>
  </si>
  <si>
    <t>Phuong2040</t>
  </si>
  <si>
    <t>Phuong40+</t>
  </si>
  <si>
    <t>Phuong01vmd</t>
  </si>
  <si>
    <t>Cây phượng vĩ vượt mật độ</t>
  </si>
  <si>
    <t>Phuong05vmd</t>
  </si>
  <si>
    <t>Phuong510vmd</t>
  </si>
  <si>
    <t>Phuong1113vmd</t>
  </si>
  <si>
    <t>Phuong1320vmd</t>
  </si>
  <si>
    <t>Phuong2040vmd</t>
  </si>
  <si>
    <t>Phuong40+vmd</t>
  </si>
  <si>
    <t>Cây hoa sữa</t>
  </si>
  <si>
    <t>Hoasua01</t>
  </si>
  <si>
    <t>Hoasua05</t>
  </si>
  <si>
    <t>Hoasua510</t>
  </si>
  <si>
    <t>Hoasua1013</t>
  </si>
  <si>
    <t>Hoasua1320</t>
  </si>
  <si>
    <t>Hoasua2040</t>
  </si>
  <si>
    <t>Hoasua40+</t>
  </si>
  <si>
    <t>Hoasua01vmd</t>
  </si>
  <si>
    <t>Cây hoa sữa vượt mật độ</t>
  </si>
  <si>
    <t>Hoasua05vmd</t>
  </si>
  <si>
    <t>Hoasua510vmd</t>
  </si>
  <si>
    <t>Hoasua1013vmd</t>
  </si>
  <si>
    <t>Hoasua1320vmd</t>
  </si>
  <si>
    <t>Hoasua2040vmd</t>
  </si>
  <si>
    <t>Hoasua40+vmd</t>
  </si>
  <si>
    <t>Cây Bàng</t>
  </si>
  <si>
    <t>Bang01</t>
  </si>
  <si>
    <t>Cây bàng</t>
  </si>
  <si>
    <t>Bang05</t>
  </si>
  <si>
    <t>Bang510</t>
  </si>
  <si>
    <t>Bang1013</t>
  </si>
  <si>
    <t>Bang1320</t>
  </si>
  <si>
    <t>Bang2040</t>
  </si>
  <si>
    <t>Bang40+</t>
  </si>
  <si>
    <t>Bang01vmd</t>
  </si>
  <si>
    <t>Cây bàng vượt mật độ</t>
  </si>
  <si>
    <t>Bang05vmd</t>
  </si>
  <si>
    <t>Bang510vmd</t>
  </si>
  <si>
    <t>Bang1013vmd</t>
  </si>
  <si>
    <t>Bang1320vmd</t>
  </si>
  <si>
    <t>Bang2040vmd</t>
  </si>
  <si>
    <t>Bang40+vmd</t>
  </si>
  <si>
    <t>Cây sao đen</t>
  </si>
  <si>
    <t>Saoden01</t>
  </si>
  <si>
    <t>Sao đen</t>
  </si>
  <si>
    <t>Saoden5-</t>
  </si>
  <si>
    <t>Saoden510</t>
  </si>
  <si>
    <t>Saoden1013</t>
  </si>
  <si>
    <t>Saoden1320</t>
  </si>
  <si>
    <t>Saoden2050</t>
  </si>
  <si>
    <t>Saoden50+</t>
  </si>
  <si>
    <t>Saoden1320vmd</t>
  </si>
  <si>
    <t>Sao đen vượt mật độ</t>
  </si>
  <si>
    <t>Cây Long não</t>
  </si>
  <si>
    <t>Longnao01</t>
  </si>
  <si>
    <t>Long não</t>
  </si>
  <si>
    <t>Longnao5-</t>
  </si>
  <si>
    <t>Longnao510</t>
  </si>
  <si>
    <t>Longnao1013</t>
  </si>
  <si>
    <t>Longnao1320</t>
  </si>
  <si>
    <t>Longnao2050</t>
  </si>
  <si>
    <t>Longnao50+</t>
  </si>
  <si>
    <t>Longnao01vmd</t>
  </si>
  <si>
    <t>Long não vượt mật độ</t>
  </si>
  <si>
    <t>Longnao5-vmd</t>
  </si>
  <si>
    <t>Longnao510vmd</t>
  </si>
  <si>
    <t>Longnao1013vmd</t>
  </si>
  <si>
    <t>Longnao1320vmd</t>
  </si>
  <si>
    <t>Longnao2050vmd</t>
  </si>
  <si>
    <t>Longnao50+vmd</t>
  </si>
  <si>
    <t>Các loại cây xen canh</t>
  </si>
  <si>
    <t>CL.Rau</t>
  </si>
  <si>
    <t>Rau trồng toàn diện tích</t>
  </si>
  <si>
    <t>XC.Rau</t>
  </si>
  <si>
    <t>XC.Đỗ</t>
  </si>
  <si>
    <t>Đỗ xen canh</t>
  </si>
  <si>
    <t>XC.BC</t>
  </si>
  <si>
    <t>Bắp cải xen canh</t>
  </si>
  <si>
    <t>XC.CT</t>
  </si>
  <si>
    <t>Cải thảo xen canh</t>
  </si>
  <si>
    <t>XC.RN</t>
  </si>
  <si>
    <t>Rau ngót xen canh</t>
  </si>
  <si>
    <t>XC.RM</t>
  </si>
  <si>
    <t>Rau muống xen canh</t>
  </si>
  <si>
    <t>XC.RC</t>
  </si>
  <si>
    <t>Rau cải xen canh</t>
  </si>
  <si>
    <t>XC.RB</t>
  </si>
  <si>
    <t xml:space="preserve">Rau bí xen canh </t>
  </si>
  <si>
    <t>XC.LR</t>
  </si>
  <si>
    <t>Lá rong xen canh</t>
  </si>
  <si>
    <t>XC.RL</t>
  </si>
  <si>
    <t>Rau lang xen canh</t>
  </si>
  <si>
    <t>XC.DM</t>
  </si>
  <si>
    <t>Dọc mùng  xen canh</t>
  </si>
  <si>
    <t>XC.Cà</t>
  </si>
  <si>
    <t>Cà xen canh</t>
  </si>
  <si>
    <t>XC.Ớt</t>
  </si>
  <si>
    <t>Ớt xen canh</t>
  </si>
  <si>
    <t>XC.Gừng</t>
  </si>
  <si>
    <t>Gừng xen canh</t>
  </si>
  <si>
    <t>XC.NC</t>
  </si>
  <si>
    <t>Ngải cứu xen canh</t>
  </si>
  <si>
    <t>XC.CC</t>
  </si>
  <si>
    <t>Cải cúc xen canh</t>
  </si>
  <si>
    <t>XC.KS</t>
  </si>
  <si>
    <t>Khoai sọ xen canh</t>
  </si>
  <si>
    <t>XC.KM</t>
  </si>
  <si>
    <t>Khoai môn xen canh</t>
  </si>
  <si>
    <t>XC.Xả</t>
  </si>
  <si>
    <t>Xả xen canh</t>
  </si>
  <si>
    <t>XC.Ngô</t>
  </si>
  <si>
    <t>Ngô xen canh</t>
  </si>
  <si>
    <t>XC.Địa liền</t>
  </si>
  <si>
    <t>Địa liền xen canh</t>
  </si>
  <si>
    <t>XC.Đơn</t>
  </si>
  <si>
    <t>Mẫu đơn xen canh</t>
  </si>
  <si>
    <t>XC.Thienly</t>
  </si>
  <si>
    <t>Hoa thiên lý xen canh</t>
  </si>
  <si>
    <t>XC.Cỏ voi</t>
  </si>
  <si>
    <t>Cỏ voi xen canh</t>
  </si>
  <si>
    <t>Giàn.Gốc</t>
  </si>
  <si>
    <t>Gấc có giàn</t>
  </si>
  <si>
    <t>Giàn.Đỗ</t>
  </si>
  <si>
    <t>Đỗ có giàn</t>
  </si>
  <si>
    <t>Giàn.Mướp</t>
  </si>
  <si>
    <t>Mướp có giàn</t>
  </si>
  <si>
    <t>Giàn.Cà tím</t>
  </si>
  <si>
    <t>Cà tím có giàn</t>
  </si>
  <si>
    <t>CÁC CÂY CHƯA CÓ ĐƠN GIÁ</t>
  </si>
  <si>
    <t>Cây tre</t>
  </si>
  <si>
    <t>Tre25</t>
  </si>
  <si>
    <t>Tre59</t>
  </si>
  <si>
    <t>5cm ≤ đk gốc &lt; 9cm</t>
  </si>
  <si>
    <t>Tre913</t>
  </si>
  <si>
    <t>9cm ≤ đk gốc &lt; 13cm</t>
  </si>
  <si>
    <t>Tre13+</t>
  </si>
  <si>
    <t>đk gốc từ 13cm trở lên</t>
  </si>
  <si>
    <t>Cây tre ngà</t>
  </si>
  <si>
    <t>Trenga25</t>
  </si>
  <si>
    <t>Trenga59</t>
  </si>
  <si>
    <t>Trenga913</t>
  </si>
  <si>
    <t>Trenga13+</t>
  </si>
  <si>
    <t>Cây khác</t>
  </si>
  <si>
    <t>Caycanh</t>
  </si>
  <si>
    <t>Cây cảnh</t>
  </si>
  <si>
    <t>Caycanhvmd</t>
  </si>
  <si>
    <t>Cây cảnh vượt mật độ</t>
  </si>
  <si>
    <t>Hoahồng</t>
  </si>
  <si>
    <t>Hoa hồng</t>
  </si>
  <si>
    <t>Hoahồng2-</t>
  </si>
  <si>
    <t>Hoahồng23</t>
  </si>
  <si>
    <t>2cm ≤ đk gốc ≤ 3cm</t>
  </si>
  <si>
    <t>Hoahong.C40</t>
  </si>
  <si>
    <t>Hoa hồng trồng trên chậu</t>
  </si>
  <si>
    <t>Chậu đk 40cm</t>
  </si>
  <si>
    <t>Chậu</t>
  </si>
  <si>
    <t>Hoagiay01</t>
  </si>
  <si>
    <t>Hoa giấy</t>
  </si>
  <si>
    <t>Hoagiay27</t>
  </si>
  <si>
    <t>Hoagiay712</t>
  </si>
  <si>
    <t>Hoacuc01</t>
  </si>
  <si>
    <t>Hoa cúc</t>
  </si>
  <si>
    <t>Hoacuc01vmd</t>
  </si>
  <si>
    <t>Hoa cúc vượt mật độ</t>
  </si>
  <si>
    <t>Bachthienhuong</t>
  </si>
  <si>
    <t>Bạch thiên hương</t>
  </si>
  <si>
    <t>Bachthienhuong02</t>
  </si>
  <si>
    <t>Ngusac</t>
  </si>
  <si>
    <t>Cây ngũ sắc (thuốc nam)</t>
  </si>
  <si>
    <t>Chùmngây08</t>
  </si>
  <si>
    <t>Cây chùm ngây</t>
  </si>
  <si>
    <t>đk gốc 8cm</t>
  </si>
  <si>
    <t>Chùmngây20+vmd</t>
  </si>
  <si>
    <t>Cây chùm ngây vượt mật độ</t>
  </si>
  <si>
    <t>đk gốc &gt; 20cm</t>
  </si>
  <si>
    <t>Đơn35</t>
  </si>
  <si>
    <t>Cây mẫu đơn</t>
  </si>
  <si>
    <t>Đơn02</t>
  </si>
  <si>
    <t>Đơn02vmd</t>
  </si>
  <si>
    <t>Cây mẫu đơn vượt mật độ</t>
  </si>
  <si>
    <t>Đơn01</t>
  </si>
  <si>
    <t>Nhài01</t>
  </si>
  <si>
    <t>Cây nhài</t>
  </si>
  <si>
    <t>Nhài02</t>
  </si>
  <si>
    <t>Dambut</t>
  </si>
  <si>
    <t>Dâm bụt</t>
  </si>
  <si>
    <t>Dambut25</t>
  </si>
  <si>
    <t>2cm ≤ đk gốc ≤ 5cm</t>
  </si>
  <si>
    <t>Dambut79</t>
  </si>
  <si>
    <t>7cm ≤ đk gốc ≤ 9cm</t>
  </si>
  <si>
    <t>Dambut25#</t>
  </si>
  <si>
    <t>Dâm bụt trồng trên đất GTTL</t>
  </si>
  <si>
    <t>Thuocduoc01</t>
  </si>
  <si>
    <t>Thược dược</t>
  </si>
  <si>
    <t>Bách712</t>
  </si>
  <si>
    <t>Bách tán</t>
  </si>
  <si>
    <t>Ngugiabi5-</t>
  </si>
  <si>
    <t>Ngũ gia bì</t>
  </si>
  <si>
    <t>Ngugiabi57</t>
  </si>
  <si>
    <t>Ngugiabi57#</t>
  </si>
  <si>
    <t>Ngũ gia bì trồng trên đất GTTL</t>
  </si>
  <si>
    <t>Ngugiabi712</t>
  </si>
  <si>
    <t>Dongrieng</t>
  </si>
  <si>
    <t>Dong riềng</t>
  </si>
  <si>
    <t>Huyetdu01</t>
  </si>
  <si>
    <t>Huyết dụ</t>
  </si>
  <si>
    <t>Huyetdu02</t>
  </si>
  <si>
    <t>Kimgiao15</t>
  </si>
  <si>
    <t>Kim giao</t>
  </si>
  <si>
    <t>đk gốc 15cm</t>
  </si>
  <si>
    <t>Kimgiao10</t>
  </si>
  <si>
    <t>đk gốc 10cm</t>
  </si>
  <si>
    <t>Longnao712</t>
  </si>
  <si>
    <t>Áp giá cây Dạ hương</t>
  </si>
  <si>
    <t>Ngocbut27</t>
  </si>
  <si>
    <t>Cây Ngọc bút</t>
  </si>
  <si>
    <t>2cm ≤ đk gốc ≤ 7cm</t>
  </si>
  <si>
    <t>Daotruc712</t>
  </si>
  <si>
    <t>Đào trúc</t>
  </si>
  <si>
    <t>Trungca15</t>
  </si>
  <si>
    <t>Cây trứng cá</t>
  </si>
  <si>
    <t>Trangnguyen</t>
  </si>
  <si>
    <t>Cây trạng nguyên</t>
  </si>
  <si>
    <t>Trangnguyen01</t>
  </si>
  <si>
    <t>đk gốc 1cm</t>
  </si>
  <si>
    <t>Chay</t>
  </si>
  <si>
    <t>chay</t>
  </si>
  <si>
    <t>Chay12</t>
  </si>
  <si>
    <t>Cây chay</t>
  </si>
  <si>
    <t>1cm ≤ đk gốc ≤ 2cm</t>
  </si>
  <si>
    <t>Chala20</t>
  </si>
  <si>
    <t>Cây chà là</t>
  </si>
  <si>
    <t>đk gốc 20cm</t>
  </si>
  <si>
    <t>Bachduong01</t>
  </si>
  <si>
    <t>Bạch dương</t>
  </si>
  <si>
    <t>Thietmoclan25</t>
  </si>
  <si>
    <t>Thiết mộc lan</t>
  </si>
  <si>
    <t>Trà02mt</t>
  </si>
  <si>
    <t>Cây trà mới trồng</t>
  </si>
  <si>
    <t>HRN</t>
  </si>
  <si>
    <t>Hàng rào nứa</t>
  </si>
  <si>
    <t>MN.NTTS</t>
  </si>
  <si>
    <t>Mặt nước nuôi trồng thủy sản</t>
  </si>
  <si>
    <t>Cây trồng bịch</t>
  </si>
  <si>
    <t>Cuc.B20</t>
  </si>
  <si>
    <t>Bịch đk 20cm</t>
  </si>
  <si>
    <t>bịch</t>
  </si>
  <si>
    <t>Thuocduoc.B15</t>
  </si>
  <si>
    <t>Bịch đk 15cm</t>
  </si>
  <si>
    <t>Cây trồng trên chậu</t>
  </si>
  <si>
    <t>Hoahong.C30</t>
  </si>
  <si>
    <t>Chậu đk 30cm</t>
  </si>
  <si>
    <t>Hoahong.C25</t>
  </si>
  <si>
    <t>Chậu đk 25cm</t>
  </si>
  <si>
    <t>Hoahong.C20</t>
  </si>
  <si>
    <t>Chậu đk 20cm</t>
  </si>
  <si>
    <t>Hoahồngvmd</t>
  </si>
  <si>
    <t>Hoa hồng vượt mật độ</t>
  </si>
  <si>
    <t>Hoagiay.C50</t>
  </si>
  <si>
    <t>Hoa giấy trồng trên chậu</t>
  </si>
  <si>
    <t>Chậu đk 50cm</t>
  </si>
  <si>
    <t>Hoagiay.C30</t>
  </si>
  <si>
    <t>Hoagiay.C20</t>
  </si>
  <si>
    <t>Đơn.C30</t>
  </si>
  <si>
    <t>Mẫu đơn trồng trên chậu</t>
  </si>
  <si>
    <t>Lựu.C30</t>
  </si>
  <si>
    <t>Lựu trồng trên chậu</t>
  </si>
  <si>
    <t>Thuocduoc.C20</t>
  </si>
  <si>
    <t>Thược dược trồng trên chậu</t>
  </si>
  <si>
    <t>Nguyetque.C50</t>
  </si>
  <si>
    <t>Nguyệt quế trồng trên chậu</t>
  </si>
  <si>
    <t>Nhai.C50</t>
  </si>
  <si>
    <t>Nhài trồng trên chậu</t>
  </si>
  <si>
    <t>Moc.C50</t>
  </si>
  <si>
    <t>Mộc trồng trên chậu</t>
  </si>
  <si>
    <t>Trauba.C20</t>
  </si>
  <si>
    <t>Trầu bà trồng trên chậu</t>
  </si>
  <si>
    <t>=10000/200=50m/cây</t>
  </si>
  <si>
    <t>chay27</t>
  </si>
  <si>
    <t>chay712</t>
  </si>
  <si>
    <t>chay1220</t>
  </si>
  <si>
    <t>chay2030</t>
  </si>
  <si>
    <t>chay30+</t>
  </si>
  <si>
    <t>chay01vmd</t>
  </si>
  <si>
    <t>chay27vmd</t>
  </si>
  <si>
    <t>chay712vmd</t>
  </si>
  <si>
    <t>chay1220vmd</t>
  </si>
  <si>
    <t>chay2030vmd</t>
  </si>
  <si>
    <t>chay30+vmd</t>
  </si>
  <si>
    <t>DỮ LIỆU VỀ VẬT KIẾN TRÚC</t>
  </si>
  <si>
    <t>TT</t>
  </si>
  <si>
    <t>CHỦNG LOẠI</t>
  </si>
  <si>
    <t>ĐƠN GIÁ
(GỒM VAT)</t>
  </si>
  <si>
    <t>NĂM KHẤU HAO</t>
  </si>
  <si>
    <t>TỶ LỆ BTHT
(%)</t>
  </si>
  <si>
    <t>NHÀ 1 TẦNG TƯỜNG CHỊU LỰC</t>
  </si>
  <si>
    <t>Nhà 1 tầng, tường chịu lực xây gạch 220, mái BTCT, trát tường, nền lót vữa XM, trát tường và quét vôi ve</t>
  </si>
  <si>
    <t>Chiều cao trung bình 1 tầng ≤ 4,5m cứ tăng 0,1m cộng thêm 44.000 đồng/m2</t>
  </si>
  <si>
    <t>Nha1t(4,4-4,5)-BTCT</t>
  </si>
  <si>
    <t xml:space="preserve">Nhà 1 tầng, tường chịu lực xây gạch 220, mái BTCT, chiều cao  từ 4,4 đến 4,5m </t>
  </si>
  <si>
    <t>Nha1t(4,3-4,4)-BTCT</t>
  </si>
  <si>
    <t xml:space="preserve">Nhà 1 tầng, tường chịu lực xây gạch 220, mái BTCT, chiều cao  từ 4,3 đến 4,4m </t>
  </si>
  <si>
    <t>Nha1t(4,2-4,3)-BTCT</t>
  </si>
  <si>
    <t xml:space="preserve">Nhà 1 tầng, tường chịu lực xây gạch 220, mái BTCT, chiều cao  từ 4,2 đến 4,3m </t>
  </si>
  <si>
    <t>Nha1t(4,1-4,2)-BTCT</t>
  </si>
  <si>
    <t xml:space="preserve">Nhà 1 tầng, tường chịu lực xây gạch 220, mái BTCT, chiều cao  từ 4,1 đến 4,2m </t>
  </si>
  <si>
    <t>Nha1t(4,0-4,1)-BTCT</t>
  </si>
  <si>
    <t xml:space="preserve">Nhà 1 tầng, tường chịu lực xây gạch 220, mái BTCT, chiều cao  từ 4,0 đến 4,1m </t>
  </si>
  <si>
    <t>Nha1t(3,9-4,0)-BTCT</t>
  </si>
  <si>
    <t xml:space="preserve">Nhà 1 tầng, tường chịu lực xây gạch 220, mái BTCT, chiều cao  từ 3,9 đến 4,0m </t>
  </si>
  <si>
    <t>Nha1t(3,8-3,9)-BTCT</t>
  </si>
  <si>
    <t xml:space="preserve">Nhà 1 tầng, tường chịu lực xây gạch 220, mái BTCT, chiều cao  từ 3,8 đến 3,9m </t>
  </si>
  <si>
    <t>Nha1t(3,7-3,8)-BTCT</t>
  </si>
  <si>
    <t xml:space="preserve">Nhà 1 tầng, tường chịu lực xây gạch 220, mái BTCT, chiều cao  từ 3,7 đến 3,8m </t>
  </si>
  <si>
    <t>Nha1t(3,6-3,7)-BTCT</t>
  </si>
  <si>
    <t xml:space="preserve">Nhà 1 tầng, tường chịu lực xây gạch 220, mái BTCT, chiều cao  từ 3,6 đến 3,7m </t>
  </si>
  <si>
    <t>Nha1t(3,5-3,6)-BTCT</t>
  </si>
  <si>
    <t xml:space="preserve">Nhà 1 tầng, tường chịu lực xây gạch 220, mái BTCT, chiều cao  từ 3,5 đến 3,6m </t>
  </si>
  <si>
    <t>Nha1t(3,4-3,5)-BTCT</t>
  </si>
  <si>
    <t xml:space="preserve">Nhà 1 tầng, tường chịu lực xây gạch 220, mái BTCT, chiều cao  từ 3,4 đến 3,5m </t>
  </si>
  <si>
    <t>Nha1t(3,3-3,4)-BTCT</t>
  </si>
  <si>
    <t xml:space="preserve">Nhà 1 tầng, tường chịu lực xây gạch 220, mái BTCT, chiều cao  từ 3,3 đến 3,4m </t>
  </si>
  <si>
    <t>Nha1t(3,2-3,3)-BTCT</t>
  </si>
  <si>
    <t xml:space="preserve">Nhà 1 tầng, tường chịu lực xây gạch 220, mái BTCT, chiều cao  từ 3,2 đến 3,3m </t>
  </si>
  <si>
    <t>Nha1t(3,1-3,2)-BTCT</t>
  </si>
  <si>
    <t xml:space="preserve">Nhà 1 tầng, tường chịu lực xây gạch 220, mái BTCT, chiều cao  từ 3,1 đến 3,2m </t>
  </si>
  <si>
    <t>Nha1t(3,0-3,1)-BTCT</t>
  </si>
  <si>
    <t xml:space="preserve">Nhà 1 tầng, tường chịu lực xây gạch 220, mái BTCT, chiều cao  từ 3,0 đến 3,1m </t>
  </si>
  <si>
    <t>Chiều cao tầng dưới 3,0m (Cứ 0,1m trừ đi 44.000 đồng/m2)</t>
  </si>
  <si>
    <t>NHÀ 1 TẦNG KHUNG CHỊU LỰC</t>
  </si>
  <si>
    <t>Nhà 1 tầng, khung chịu lực BTCT, tường xây gạch 220, mái BTCT, nền lót vữa XM, trát tường và quét vôi ve</t>
  </si>
  <si>
    <t>Chiều cao trung bình 1 tầng ≤ 4,5m cứ tăng 0,1m cộng thêm 50.000 đồng/m2</t>
  </si>
  <si>
    <t>Nha1t.1(4,4-4,5)</t>
  </si>
  <si>
    <t xml:space="preserve">Nhà 1 tầng, khung chịu lực BTCT, tường xây gạch 220, mái BTCT, chiều cao  từ 4,4 đến 4,5m </t>
  </si>
  <si>
    <t>Nha1t.1(4,3-4,4)</t>
  </si>
  <si>
    <t xml:space="preserve">Nhà 1 tầng, khung chịu lực BTCT, tường xây gạch 220, mái BTCT, chiều cao  từ 4,3 đến 4,4m </t>
  </si>
  <si>
    <t>Nha1t.1(4,2-4,3)</t>
  </si>
  <si>
    <t xml:space="preserve">Nhà 1 tầng, khung chịu lực BTCT, tường xây gạch 220, mái BTCT, chiều cao  từ 4,2 đến 4,3m </t>
  </si>
  <si>
    <t>Nha1t.1(4,1-4,2)</t>
  </si>
  <si>
    <t xml:space="preserve">Nhà 1 tầng, khung chịu lực BTCT, tường xây gạch 220, mái BTCT, chiều cao  từ 4,1 đến 4,2m </t>
  </si>
  <si>
    <t>Nha1t.1(4,0-4,1)</t>
  </si>
  <si>
    <t xml:space="preserve">Nhà 1 tầng, khung chịu lực BTCT, tường xây gạch 220, mái BTCT, chiều cao  từ 4,0 đến 4,1m </t>
  </si>
  <si>
    <t>Nha1t.1(3,9-4,0)</t>
  </si>
  <si>
    <t xml:space="preserve">Nhà 1 tầng, khung chịu lực BTCT, tường xây gạch 220, mái BTCT, chiều cao  từ 3,9 đến 4,0m </t>
  </si>
  <si>
    <t>Nha1t.1(3,8-3,9)</t>
  </si>
  <si>
    <t xml:space="preserve">Nhà 1 tầng, khung chịu lực BTCT, tường xây gạch 220, mái BTCT, chiều cao  từ 3,8 đến 3,9m </t>
  </si>
  <si>
    <t>Nha1t.1(3,7-3,8)</t>
  </si>
  <si>
    <t xml:space="preserve">Nhà 1 tầng, khung chịu lực BTCT, tường xây gạch 220, mái BTCT, chiều cao  từ 3,7 đến 3,8m </t>
  </si>
  <si>
    <t>Nha1t.1(3,6-3,7)</t>
  </si>
  <si>
    <t xml:space="preserve">Nhà 1 tầng, khung chịu lực BTCT, tường xây gạch 220, mái BTCT, chiều cao  từ 3,6 đến 3,7m </t>
  </si>
  <si>
    <t>Nha1t.1(3,5-3,6)</t>
  </si>
  <si>
    <t xml:space="preserve">Nhà 1 tầng, khung chịu lực BTCT, tường xây gạch 220, mái BTCT, chiều cao  từ 3,5 đến 3,6m </t>
  </si>
  <si>
    <t>Nha1t.1(3,4-3,5)</t>
  </si>
  <si>
    <t xml:space="preserve">Nhà 1 tầng, khung chịu lực BTCT, tường xây gạch 220, mái BTCT, chiều cao  từ 3,4 đến 3,5m </t>
  </si>
  <si>
    <t>Nha1t.1(3,3-3,4)</t>
  </si>
  <si>
    <t xml:space="preserve">Nhà 1 tầng, khung chịu lực BTCT, tường xây gạch 220, mái BTCT, chiều cao  từ 3,3 đến 3,4m </t>
  </si>
  <si>
    <t>Nha1t.1(3,2-3,3)</t>
  </si>
  <si>
    <t xml:space="preserve">Nhà 1 tầng, khung chịu lực BTCT, tường xây gạch 220, mái BTCT, chiều cao  từ 3,2 đến 3,3m </t>
  </si>
  <si>
    <t>Nha1t.1(3,1-3,2)</t>
  </si>
  <si>
    <t xml:space="preserve">Nhà 1 tầng, khung chịu lực BTCT, tường xây gạch 220, mái BTCT, chiều cao  từ 3,1 đến 3,2m </t>
  </si>
  <si>
    <t>Nha1t.1(3,0-3,1)</t>
  </si>
  <si>
    <t xml:space="preserve">Nhà 1 tầng, khung chịu lực BTCT, tường xây gạch 220, mái BTCT, chiều cao  từ 3,0 đến 3,1m </t>
  </si>
  <si>
    <t>Chiều cao tầng dưới 3,0m (Cứ 0,1m trừ đi 50.000 đồng/m2)</t>
  </si>
  <si>
    <t>NHÀ 1 TẦNG</t>
  </si>
  <si>
    <t>Nhà 1 tầng bán kiên cố, tường chịu lực xây gạch 220, nền lót vữa XM, trát tường và quét vôi ve. Mái lợp ngói</t>
  </si>
  <si>
    <t>Chiều cao trung bình 1 tầng ≤ 4,0m cứ tăng 0,1m cộng thêm 41.000 đồng/m2</t>
  </si>
  <si>
    <t>Nha1.1t(3,9-4,0)-NGOI</t>
  </si>
  <si>
    <t>Nhà 1 tầng bán kiên cố, tường chịu lực xây gạch 220, mái lợp ngói, chiều cao từ 3,9 đến 4,0m</t>
  </si>
  <si>
    <t>Nha1.1t(3,8-3,9)-NGOI</t>
  </si>
  <si>
    <t>Nhà 1 tầng bán kiên cố, tường chịu lực xây gạch 220, mái lợp ngói, chiều cao từ 3,8 đến 3,9m</t>
  </si>
  <si>
    <t>Nha1.1t(3,7-3,8)-NGOI</t>
  </si>
  <si>
    <t>Nhà 1 tầng bán kiên cố, tường chịu lực xây gạch 220, mái lợp ngói, chiều cao từ 3,7 đến 3,8m</t>
  </si>
  <si>
    <t>Nha1.1t(3,6-3,7)-NGOI</t>
  </si>
  <si>
    <t>Nhà 1 tầng bán kiên cố, tường chịu lực xây gạch 220, mái lợp ngói, chiều cao từ 3,6 đến 3,7m</t>
  </si>
  <si>
    <t>Nha1.1t(3,5-3,6)-NGOI</t>
  </si>
  <si>
    <t>Nhà 1 tầng bán kiên cố, tường chịu lực xây gạch 220, mái lợp ngói, chiều cao từ 3,5 đến 3,6m</t>
  </si>
  <si>
    <t>Nha1.1t(3,4-3,5)-NGOI</t>
  </si>
  <si>
    <t>Nhà 1 tầng bán kiên cố, tường chịu lực xây gạch 220, mái lợp ngói, chiều cao từ 3,4 đến 3,5m</t>
  </si>
  <si>
    <t>Nha1.1t(3,3-3,4)-NGOI</t>
  </si>
  <si>
    <t>Nhà 1 tầng bán kiên cố, tường chịu lực xây gạch 220, mái lợp ngói, chiều cao từ 3,3 đến 3,4m</t>
  </si>
  <si>
    <t>Nha1.1t(3,2-3,3)-NGOI</t>
  </si>
  <si>
    <t>Nhà 1 tầng bán kiên cố, tường chịu lực xây gạch 220, mái lợp ngói, chiều cao từ 3,2 đến 3,3m</t>
  </si>
  <si>
    <t>Nha1.1t(3,1-3,2)-NGOI</t>
  </si>
  <si>
    <t>Nhà 1 tầng bán kiên cố, tường chịu lực xây gạch 220, mái lợp ngói, chiều cao từ 3,1 đến 3,2m</t>
  </si>
  <si>
    <t>Nha1.1t(3,0-3,1)-NGOI</t>
  </si>
  <si>
    <t>Nhà 1 tầng bán kiên cố, tường chịu lực xây gạch 220, mái lợp ngói, chiều cao từ 3,0 đến 3,1m</t>
  </si>
  <si>
    <t>Nha1.1t(&lt;3,0)-NGOI</t>
  </si>
  <si>
    <t>Nhà 1 tầng bán kiên cố, tường chịu lực xây gạch 220, mái lợp ngói, chiều cao dưới 3,0m</t>
  </si>
  <si>
    <t>Nhà 1 tầng bán kiên cố, tường chịu lực xây gạch 220, nền lót vữa XM, trát tường và quét vôi ve. Mái lợp tôn mạ màu</t>
  </si>
  <si>
    <t>Chiều cao trung bình 1 tầng ≤ 4,0m cứ tăng 0,1m cộng thêm 39.000 đồng/m2</t>
  </si>
  <si>
    <t>Nha1.1t(3,9-4,0)-TON</t>
  </si>
  <si>
    <t>Nhà 1 tầng bán kiên cố, tường chịu lực xây gạch 220, mái lợp tôn, chiều cao từ 3,9 đến 4,0m</t>
  </si>
  <si>
    <t>Nha1.1t(3,8-3,9)-TON</t>
  </si>
  <si>
    <t>Nhà 1 tầng bán kiên cố, tường chịu lực xây gạch 220, mái lợp tôn, chiều cao từ 3,8 đến 3,9m</t>
  </si>
  <si>
    <t>Nha1.1t(3,7-3,8)-TON</t>
  </si>
  <si>
    <t>Nhà 1 tầng bán kiên cố, tường chịu lực xây gạch 220, mái lợp tôn, chiều cao từ 3,7 đến 3,8m</t>
  </si>
  <si>
    <t>Nha1.1t(3,6-3,7)-TON</t>
  </si>
  <si>
    <t>Nhà 1 tầng bán kiên cố, tường chịu lực xây gạch 220, mái lợp tôn, chiều cao từ 3,6 đến 3,7m</t>
  </si>
  <si>
    <t>Nha1.1t(3,5-3,6)-TON</t>
  </si>
  <si>
    <t>Nhà 1 tầng bán kiên cố, tường chịu lực xây gạch 220, mái lợp tôn, chiều cao từ 3,5 đến 3,6m</t>
  </si>
  <si>
    <t>Nha1.1t(3,4-3,5)-TON</t>
  </si>
  <si>
    <t>Nhà 1 tầng bán kiên cố, tường chịu lực xây gạch 220, mái lợp tôn, chiều cao từ 3,4 đến 3,5m</t>
  </si>
  <si>
    <t>Nha1.1t(3,3-3,4)-TON</t>
  </si>
  <si>
    <t>Nhà 1 tầng bán kiên cố, tường chịu lực xây gạch 220, mái lợp tôn, chiều cao từ 3,3 đến 3,4m</t>
  </si>
  <si>
    <t>Nha1.1t(3,2-3,3)-TON</t>
  </si>
  <si>
    <t>Nhà 1 tầng bán kiên cố, tường chịu lực xây gạch 220, mái lợp tôn, chiều cao từ 3,2 đến 3,3m</t>
  </si>
  <si>
    <t>Nha1.1t(3,1-3,2)-TON</t>
  </si>
  <si>
    <t>Nhà 1 tầng bán kiên cố, tường chịu lực xây gạch 220, mái lợp tôn, chiều cao từ 3,1 đến 3,2m</t>
  </si>
  <si>
    <t>Nha1.1t(3,0-3,1)-TON</t>
  </si>
  <si>
    <t>Nhà 1 tầng bán kiên cố, tường chịu lực xây gạch 220, mái lợp tôn, chiều cao từ 3,0 đến 3,1m</t>
  </si>
  <si>
    <t>Nha1.1t(&lt;3,0)-TON</t>
  </si>
  <si>
    <t>Nhà 1 tầng bán kiên cố, tường chịu lực xây gạch 220, mái lợp tôn, chiều cao dưới 3,0m</t>
  </si>
  <si>
    <t>Nhà 1 tầng bán kiên cố, tường chịu lực xây gạch 220, nền lót vữa XM, trát tường và quét vôi ve. Mái lợp Fibrôximăng</t>
  </si>
  <si>
    <t>Chiều cao trung bình 1 tầng ≤ 4,0m cứ tăng 0,1m cộng thêm 35.000 đồng/m2</t>
  </si>
  <si>
    <t>Nha1.1t(3,9-4,0)-FB</t>
  </si>
  <si>
    <t>Nhà 1 tầng bán kiên cố, tường chịu lực xây gạch 220, mái fibroximang, chiều cao từ 3,9 đến 4,0m</t>
  </si>
  <si>
    <t>Nha1.1t(3,8-3,9)-FB</t>
  </si>
  <si>
    <t>Nhà 1 tầng bán kiên cố, tường chịu lực xây gạch 220, mái fibroximang, chiều cao từ 3,8 đến 3,9m</t>
  </si>
  <si>
    <t>Nha1.1t(3,7-3,8)-FB</t>
  </si>
  <si>
    <t>Nhà 1 tầng bán kiên cố, tường chịu lực xây gạch 220, mái fibroximang, chiều cao từ 3,7 đến 3,8m</t>
  </si>
  <si>
    <t>Nha1.1t(3,6-3,7)-FB</t>
  </si>
  <si>
    <t>Nhà 1 tầng bán kiên cố, tường chịu lực xây gạch 220, mái fibroximang, chiều cao từ 3,6 đến 3,7m</t>
  </si>
  <si>
    <t>Nha1.1t(3,5-3,6)-FB</t>
  </si>
  <si>
    <t>Nhà 1 tầng bán kiên cố, tường chịu lực xây gạch 220, mái fibroximang, chiều cao từ 3,5 đến 3,6m</t>
  </si>
  <si>
    <t>Nha1.1t(3,4-3,5)-FB</t>
  </si>
  <si>
    <t>Nhà 1 tầng bán kiên cố, tường chịu lực xây gạch 220, mái fibroximang, chiều cao từ 3,4 đến 3,5m</t>
  </si>
  <si>
    <t>Nha1.1t(3,3-3,4)-FB</t>
  </si>
  <si>
    <t>Nhà 1 tầng bán kiên cố, tường chịu lực xây gạch 220, mái fibroximang, chiều cao từ 3,3 đến 3,4m</t>
  </si>
  <si>
    <t>Nha1.1t(3,2-3,3)-FB</t>
  </si>
  <si>
    <t>Nhà 1 tầng bán kiên cố, tường chịu lực xây gạch 220, mái fibroximang, chiều cao từ 3,2 đến 3,3m</t>
  </si>
  <si>
    <t>Nha1.1t(3,1-3,2)-FB</t>
  </si>
  <si>
    <t>Nhà 1 tầng bán kiên cố, tường chịu lực xây gạch 220, mái fibroximang, chiều cao từ 3,1 đến 3,2m</t>
  </si>
  <si>
    <t>Nha1.1t(3,0-3,1)-FB</t>
  </si>
  <si>
    <t>Nhà 1 tầng bán kiên cố, tường chịu lực xây gạch 220, mái fibroximang, chiều cao từ 3,0 đến 3,1m</t>
  </si>
  <si>
    <t>Nha1.1t(&lt;3,0)-FB</t>
  </si>
  <si>
    <t>Nhà 1 tầng bán kiên cố, tường chịu lực xây gạch 220, mái fibroximang, chiều cao dưới 3,0m</t>
  </si>
  <si>
    <t>'Nhà 1 tầng bán kiên cố, tường chịu lực xây gạch 110, nền lót vữa XM, trát tường và quét vôi ve. Mái lợp ngói</t>
  </si>
  <si>
    <t>Chiều cao trung bình 1 tầng ≤ 4,0m cứ tăng 0,1m cộng thêm 40.000 đồng/m2</t>
  </si>
  <si>
    <t>Nha1.2t(3,9-4,0)-NGOI</t>
  </si>
  <si>
    <t>Nhà 1 tầng bán kiên cố, tường chịu lực xây gạch 110, mái lợp ngói, chiều cao từ 3,9 đến 4,0m</t>
  </si>
  <si>
    <t>Nha1.2t(3,8-3,9)-NGOI</t>
  </si>
  <si>
    <t>Nhà 1 tầng bán kiên cố, tường chịu lực xây gạch 110, mái lợp ngói, chiều cao từ 3,8 đến 3,9m</t>
  </si>
  <si>
    <t>Nha1.2t(3,7-3,8)-NGOI</t>
  </si>
  <si>
    <t>Nhà 1 tầng bán kiên cố, tường chịu lực xây gạch 110, mái lợp ngói, chiều cao từ 3,7 đến 3,8m</t>
  </si>
  <si>
    <t>Nha1.2t(3,6-3,7)-NGOI</t>
  </si>
  <si>
    <t>Nhà 1 tầng bán kiên cố, tường chịu lực xây gạch 110, mái lợp ngói, chiều cao từ 3,6 đến 3,7m</t>
  </si>
  <si>
    <t>Nha1.2t(3,5-3,6)-NGOI</t>
  </si>
  <si>
    <t>Nhà 1 tầng bán kiên cố, tường chịu lực xây gạch 110, mái lợp ngói, chiều cao từ 3,5 đến 3,6m</t>
  </si>
  <si>
    <t>Nha1.2t(3,4-3,5)-NGOI</t>
  </si>
  <si>
    <t>Nhà 1 tầng bán kiên cố, tường chịu lực xây gạch 110, mái lợp ngói, chiều cao từ 3,4 đến 3,5m</t>
  </si>
  <si>
    <t>Nha1.2t(3,3-3,4)-NGOI</t>
  </si>
  <si>
    <t>Nhà 1 tầng bán kiên cố, tường chịu lực xây gạch 110, mái lợp ngói, chiều cao từ 3,3 đến 3,4m</t>
  </si>
  <si>
    <t>Nha1.2t(3,2-3,3)-NGOI</t>
  </si>
  <si>
    <t>Nhà 1 tầng bán kiên cố, tường chịu lực xây gạch 110, mái lợp ngói, chiều cao từ 3,2 đến 3,3m</t>
  </si>
  <si>
    <t>Nha1.2t(3,1-3,2)-NGOI</t>
  </si>
  <si>
    <t>Nhà 1 tầng bán kiên cố, tường chịu lực xây gạch 110, mái lợp ngói, chiều cao từ 3,1 đến 3,2m</t>
  </si>
  <si>
    <t>Nha1.2t(3,0-3,1)-NGOI</t>
  </si>
  <si>
    <t>Nhà 1 tầng bán kiên cố, tường chịu lực xây gạch 110, mái lợp ngói, chiều cao từ 3,0 đến 3,1m</t>
  </si>
  <si>
    <t>Nha1.2t(&lt;3,0)-NGOI</t>
  </si>
  <si>
    <t>Nhà 1 tầng bán kiên cố, tường chịu lực xây gạch 110, mái lợp ngói, chiều cao dưới 3,0m</t>
  </si>
  <si>
    <t>Nhà 1 tầng bán kiên cố, tường chịu lực xây gạch 110, nền lót vữa XM, trát tường và quét vôi ve. Mái lợp tôn mạ màu</t>
  </si>
  <si>
    <t>Chiều cao trung bình 1 tầng ≤ 4,0m cứ tăng 0,1m cộng thêm 38.000 đồng/m2</t>
  </si>
  <si>
    <t>Nha1.2t(3,9-4,0)-TON</t>
  </si>
  <si>
    <t>Nhà 1 tầng bán kiên cố, tường chịu lực xây gạch 110, mái lợp tôn, chiều cao từ 3,9 đến 4,0m</t>
  </si>
  <si>
    <t>Nha1.2t(3,8-3,9)-TON</t>
  </si>
  <si>
    <t>Nhà 1 tầng bán kiên cố, tường chịu lực xây gạch 110, mái lợp tôn, chiều cao từ 3,8 đến 3,9m</t>
  </si>
  <si>
    <t>Nha1.2t(3,7-3,8)-TON</t>
  </si>
  <si>
    <t>Nhà 1 tầng bán kiên cố, tường chịu lực xây gạch 110, mái lợp tôn, chiều cao từ 3,7 đến 3,8m</t>
  </si>
  <si>
    <t>Nha1.2t(3,6-3,7)-TON</t>
  </si>
  <si>
    <t>Nhà 1 tầng bán kiên cố, tường chịu lực xây gạch 110, mái lợp tôn, chiều cao từ 3,6 đến 3,7m</t>
  </si>
  <si>
    <t>Nha1.2t(3,5-3,6)-TON</t>
  </si>
  <si>
    <t>Nhà 1 tầng bán kiên cố, tường chịu lực xây gạch 110, mái lợp tôn, chiều cao từ 3,5 đến 3,6m</t>
  </si>
  <si>
    <t>Nha1.2t(3,4-3,5)-TON</t>
  </si>
  <si>
    <t>Nhà 1 tầng bán kiên cố, tường chịu lực xây gạch 110, mái lợp tôn, chiều cao từ 3,4 đến 3,5m</t>
  </si>
  <si>
    <t>Nha1.2t(3,3-3,4)-TON</t>
  </si>
  <si>
    <t>Nhà 1 tầng bán kiên cố, tường chịu lực xây gạch 110, mái lợp tôn, chiều cao từ 3,3 đến 3,4m</t>
  </si>
  <si>
    <t>Nha1.2t(3,2-3,3)-TON</t>
  </si>
  <si>
    <t>Nhà 1 tầng bán kiên cố, tường chịu lực xây gạch 110, mái lợp tôn, chiều cao từ 3,2 đến 3,3m</t>
  </si>
  <si>
    <t>Nha1.2t(3,1-3,2)-TON</t>
  </si>
  <si>
    <t>Nhà 1 tầng bán kiên cố, tường chịu lực xây gạch 110, mái lợp tôn, chiều cao từ 3,1 đến 3,2m</t>
  </si>
  <si>
    <t>Nha1.2t(3,0-3,1)-TON</t>
  </si>
  <si>
    <t>Nhà 1 tầng bán kiên cố, tường chịu lực xây gạch 110, mái lợp tôn, chiều cao từ 3,0 đến 3,1m</t>
  </si>
  <si>
    <t>Nha1.2t(&lt;3,0)-TON</t>
  </si>
  <si>
    <t>Nhà 1 tầng bán kiên cố, tường chịu lực xây gạch 110, mái lợp tôn, chiều cao dưới 3,0m</t>
  </si>
  <si>
    <t>Nhà 1 tầng bán kiên cố, tường chịu lực xây gạch 110, nền lót vữa XM, trát tường và quét vôi ve. Mái lợp Fibrôximăng</t>
  </si>
  <si>
    <t>Chiều cao trung bình 1 tầng ≤ 4,0m cứ tăng 0,1m cộng thêm 34.000 đồng/m2</t>
  </si>
  <si>
    <t>Nha1.2t(3,9-4,0)-FB</t>
  </si>
  <si>
    <t>Nhà 1 tầng bán kiên cố, tường chịu lực xây gạch 110, mái fibroximang, chiều cao từ 3,9 đến 4,0m</t>
  </si>
  <si>
    <t>Nha1.2t(3,8-3,9)-FB</t>
  </si>
  <si>
    <t>Nhà 1 tầng bán kiên cố, tường chịu lực xây gạch 110, mái fibroximang, chiều cao từ 3,8 đến 3,9m</t>
  </si>
  <si>
    <t>Nha1.2t(3,7-3,8)-FB</t>
  </si>
  <si>
    <t>Nhà 1 tầng bán kiên cố, tường chịu lực xây gạch 110, mái fibroximang, chiều cao từ 3,7 đến 3,8m</t>
  </si>
  <si>
    <t>Nha1.2t(3,6-3,7)-FB</t>
  </si>
  <si>
    <t>Nhà 1 tầng bán kiên cố, tường chịu lực xây gạch 110, mái fibroximang, chiều cao từ 3,6 đến 3,7m</t>
  </si>
  <si>
    <t>Nha1.2t(3,5-3,6)-FB</t>
  </si>
  <si>
    <t>Nhà 1 tầng bán kiên cố, tường chịu lực xây gạch 110, mái fibroximang, chiều cao từ 3,5 đến 3,6m</t>
  </si>
  <si>
    <t>Nha1.2t(3,4-3,5)-FB</t>
  </si>
  <si>
    <t>Nhà 1 tầng bán kiên cố, tường chịu lực xây gạch 110, mái fibroximang, chiều cao từ 3,4 đến 3,5m</t>
  </si>
  <si>
    <t>Nha1.2t(3,3-3,4)-FB</t>
  </si>
  <si>
    <t>Nhà 1 tầng bán kiên cố, tường chịu lực xây gạch 110, mái fibroximang, chiều cao từ 3,3 đến 3,4m</t>
  </si>
  <si>
    <t>Nha1.2t(3,2-3,3)-FB</t>
  </si>
  <si>
    <t>Nhà 1 tầng bán kiên cố, tường chịu lực xây gạch 110, mái fibroximang, chiều cao từ 3,2 đến 3,3m</t>
  </si>
  <si>
    <t>Nha1.2t(3,1-3,2)-FB</t>
  </si>
  <si>
    <t>Nhà 1 tầng bán kiên cố, tường chịu lực xây gạch 110, mái fibroximang, chiều cao từ 3,1 đến 3,2m</t>
  </si>
  <si>
    <t>Nha1.2t(3,0-3,1)-FB</t>
  </si>
  <si>
    <t>Nhà 1 tầng bán kiên cố, tường chịu lực xây gạch 110, mái fibroximang, chiều cao từ 3,0 đến 3,1m</t>
  </si>
  <si>
    <t>Nha1.2t(&lt;3,0)-FB</t>
  </si>
  <si>
    <t>Nhà 1 tầng bán kiên cố, tường chịu lực xây gạch 110, mái fibroximang, chiều cao dưới 3,0m</t>
  </si>
  <si>
    <t>WC</t>
  </si>
  <si>
    <t>Nhà vệ sinh tầng 1, cao ≤ 3m, tường chịu lực gạch 220, nền lót vữa XM, trát tường và quét vôi ve (chưa bao gồm bể phốt)</t>
  </si>
  <si>
    <t>WC-BTCT</t>
  </si>
  <si>
    <t>Nhà vệ sinh 1 tầng, cao ≤ 3m, tường 220, mái BTCT</t>
  </si>
  <si>
    <t>WC-Lợp Ngói</t>
  </si>
  <si>
    <t>Nhà vệ sinh 1 tầng, cao ≤ 3m, tường 220, mái lợp ngói</t>
  </si>
  <si>
    <t>WC-TON</t>
  </si>
  <si>
    <t>Nhà vệ sinh 1 tầng, cao ≤ 3m, tường 220, mái lợp tôn</t>
  </si>
  <si>
    <t>WC-FB</t>
  </si>
  <si>
    <t>Nhà vệ sinh 1 tầng, cao ≤ 3m, tường 220, mái fibroximang</t>
  </si>
  <si>
    <t>MÁI XÂY TƯỜNG 220</t>
  </si>
  <si>
    <t>Mái đua, mái vẩy nổi với công trình chính, tường xây gạch 220, nền lót vữa XM, độ thấp nhất của mái gianh trung bình bằng 3m, tường trát và quét vôi ve</t>
  </si>
  <si>
    <t>Mái vẩy 02 lợp ngói 3m</t>
  </si>
  <si>
    <t>Mái đua, mái vẩy, tường xây gạch 220, mái lợp ngói chiều cao 3m</t>
  </si>
  <si>
    <t>- Nếu cao hơn 3m, cứ tăng 0,1m thì cộng thêm 33.000 đồng/m2</t>
  </si>
  <si>
    <t>- Nếu cao hơn 3m, cứ giảm 0,1m thì trừ đi 33.000 đồng/m2</t>
  </si>
  <si>
    <t>Mái vẩy 02 lợp ngói &lt;= 2,7m</t>
  </si>
  <si>
    <t>Mái đua, mái vẩy, tường xây gạch 220, mái lợp ngói chiều cao &lt;= 2,7m</t>
  </si>
  <si>
    <t>Mái vẩy 02 lợp tôn mạ màu 3m</t>
  </si>
  <si>
    <t>Mái đua, mái vẩy, tường xây gạch 220, mái lợp tôn chiều cao 3m</t>
  </si>
  <si>
    <t>- Nếu cao hơn 3m, cứ tăng 0,1m thì cộng thêm 31.000 đồng/m2</t>
  </si>
  <si>
    <t>- Nếu cao hơn 3m, cứ giảm 0,1m thì trừ đi 31.000 đồng/m2</t>
  </si>
  <si>
    <t>Mái vẩy 02 lợp tôn &lt;= 2,7m</t>
  </si>
  <si>
    <t>Mái đua, mái vẩy, tường xây gạch 220, mái lợp tôn chiều cao &lt;= 2,7m</t>
  </si>
  <si>
    <t>Mái vẩy 02 lợp fibroximang 3m</t>
  </si>
  <si>
    <t>Mái đua, mái vẩy, tường xây gạch 220, mái lợp fibroximang chiều cao 3m</t>
  </si>
  <si>
    <t>- Nếu cao hơn 3m, cứ tăng 0,1m thì cộng thêm 25.000 đồng/m2</t>
  </si>
  <si>
    <t>- Nếu cao hơn 3m, cứ giảm 0,1m thì trừ đi 25.000 đồng/m2</t>
  </si>
  <si>
    <t>Mái vẩy 02 lợp fibroximang &lt;= 2,7m</t>
  </si>
  <si>
    <t>Mái đua, mái vẩy, tường xây gạch 220, mái lợp fibroximang chiều cao &lt;= 2,7m</t>
  </si>
  <si>
    <t>MÁI XÂY TƯỜNG 110</t>
  </si>
  <si>
    <t>Mái đua, mái vẩy nổi với công trình chính, tường xây gạch 110, nền lót vữa XM, độ thấp nhất của mái gianh trung bình bằng 3m, tường trát và quét vôi ve</t>
  </si>
  <si>
    <t>Mái vẩy 01 lợp ngói 3m</t>
  </si>
  <si>
    <t>Mái đua, mái vẩy, tường xây gạch 110, mái lợp ngói chiều cao 3m</t>
  </si>
  <si>
    <t>Mái vẩy 01 lợp ngói &lt;= 2,7m</t>
  </si>
  <si>
    <t>Mái đua, mái vẩy, tường xây gạch 110, mái lợp ngói chiều cao &lt;= 2,7m</t>
  </si>
  <si>
    <t>Mái vẩy 01 lợp tôn mạ màu 3m</t>
  </si>
  <si>
    <t>Mái đua, mái vẩy, tường xây gạch 110, mái lợp tôn chiều cao 3m</t>
  </si>
  <si>
    <t>- Nếu cao hơn 3m, cứ tăng 0,1m thì cộng thêm 29.000 đồng/m2</t>
  </si>
  <si>
    <t>- Nếu cao hơn 3m, cứ giảm 0,1m thì trừ đi 29.000 đồng/m2</t>
  </si>
  <si>
    <t>Mái vẩy 01 lợp tôn &lt;= 2,7m</t>
  </si>
  <si>
    <t>Mái đua, mái vẩy, tường xây gạch 110, mái lợp tôn chiều cao &lt;= 2,7m</t>
  </si>
  <si>
    <t>Mái vẩy 01 lợp fibroximang 3m</t>
  </si>
  <si>
    <t>Mái đua, mái vẩy, tường xây gạch 110, mái lợp fibroximang chiều cao 3m</t>
  </si>
  <si>
    <t>- Nếu cao hơn 3m, cứ tăng 0,1m thì cộng thêm 24.000 đồng/m2</t>
  </si>
  <si>
    <t>- Nếu cao hơn 3m, cứ giảm 0,1m thì trừ đi 24.000 đồng/m2</t>
  </si>
  <si>
    <t>Mái vẩy 01 lợp fibroximang &lt;= 2,7m</t>
  </si>
  <si>
    <t>Mái đua, mái vẩy, tường xây gạch 110, mái lợp fibroximang chiều cao &lt;= 2,7m</t>
  </si>
  <si>
    <t>MÁI KHÔNG XÂY TƯỜNG</t>
  </si>
  <si>
    <t>Mái đua, mái vẩy nổi với công trình chính, không xây tường, độ thấp nhất của mái gianh trung bình bằng 3m</t>
  </si>
  <si>
    <t>Mái vẩy 03 lợp ngói 3m</t>
  </si>
  <si>
    <t>Mái đua, mái vẩy, không xây tường, mái lợp ngói chiều cao 3m</t>
  </si>
  <si>
    <t>- Nếu cao hơn 3m, cứ tăng 0,1m thì cộng thêm 15.000 đồng/m2</t>
  </si>
  <si>
    <t>- Nếu cao hơn 3m, cứ giảm 0,1m thì trừ đi 15.000 đồng/m2</t>
  </si>
  <si>
    <t>Mái vẩy 03 lợp ngói &lt;= 2,7m</t>
  </si>
  <si>
    <t>Mái đua, mái vẩy, không xây tường, mái lợp ngói chiều cao &lt;= 2,7m</t>
  </si>
  <si>
    <t>Mái vẩy 03 lợp tôn mạ màu 3m</t>
  </si>
  <si>
    <t>Mái đua, mái vẩy, không xây tường, mái lợp tôn chiều cao 3m</t>
  </si>
  <si>
    <t>- Nếu cao hơn 3m, cứ tăng 0,1m thì cộng thêm 13.000 đồng/m2</t>
  </si>
  <si>
    <t>- Nếu cao hơn 3m, cứ giảm 0,1m thì trừ đi 13.000 đồng/m2</t>
  </si>
  <si>
    <t>Mái vẩy 03 lợp tôn &lt;= 2,7m</t>
  </si>
  <si>
    <t>Mái đua, mái vẩy, không xây tường, mái lợp tôn chiều cao &lt;= 2,7m</t>
  </si>
  <si>
    <t>Mái vẩy 03 lợp fibroximang 3m</t>
  </si>
  <si>
    <t>Mái đua, mái vẩy, không xây tường, mái lợp fibroximang chiều cao 3m</t>
  </si>
  <si>
    <t>- Nếu cao hơn 3m, cứ tăng 0,1m thì cộng thêm 7.000 đồng/m2</t>
  </si>
  <si>
    <t>- Nếu cao hơn 3m, cứ giảm 0,1m thì trừ đi 7.000 đồng/m2</t>
  </si>
  <si>
    <t>Mái vẩy 03 lợp fibroximang &lt;= 2,7m</t>
  </si>
  <si>
    <t>Mái đua, mái vẩy, không xây tường, mái lợp fibroximang chiều cao &lt;= 2,7m</t>
  </si>
  <si>
    <t>CHUỒNG LỢN XÂY GẠCH 220</t>
  </si>
  <si>
    <t>Chuồng lợn, tường chịu lực xây gạch 220, chiều cao trung bình bằng 3m, nền lót vữa XM, trát tường và quét vôi ve</t>
  </si>
  <si>
    <t>Chuồng lợn 3,0-NGOI</t>
  </si>
  <si>
    <t>Chuồng lợn, tường chịu lực xây gạch 220, mái lợp ngói, chiều cao 3,0m</t>
  </si>
  <si>
    <t>- Nếu cao hơn 3m, cứ tăng 0,1m thì cộng thêm 34.000 đồng/m2</t>
  </si>
  <si>
    <t>- Nếu cao hơn 3m, cứ giảm 0,1m thì trừ đi 34.000 đồng/m2</t>
  </si>
  <si>
    <t>Chuồng lợn 3,0-NGOI &lt;= 2,7m</t>
  </si>
  <si>
    <t>Chuồng lợn, tường chịu lực xây gạch 220, mái lợp ngói, chiều cao &lt;= 2,7m</t>
  </si>
  <si>
    <t>Chuồng lợn 3,0-FB</t>
  </si>
  <si>
    <t>- Nếu cao hơn 3m, cứ tăng 0,1m thì cộng thêm 28.000 đồng/m2</t>
  </si>
  <si>
    <t>- Nếu cao hơn 3m, cứ giảm 0,1m thì trừ đi 28.000 đồng/m2</t>
  </si>
  <si>
    <t>Chuồng lợn 3,0-FB &lt;= 2,7m</t>
  </si>
  <si>
    <t>Chuồng lợn, tường chịu lực xây gạch 220, mái lợp fibroximang chiều cao &lt;= 2,7m</t>
  </si>
  <si>
    <t>CHUỒNG LỢN XÂY GẠCH 110</t>
  </si>
  <si>
    <t>Chuồng lợn, tường chịu lực xây gạch 110, chiều cao trung bình bằng 3m, nền lót vữa XM, trát tường và quét vôi ve</t>
  </si>
  <si>
    <t>Chuồng lợn 3,1-NGOI</t>
  </si>
  <si>
    <t>Chuồng lợn, tường chịu lực xây gạch 110, mái lợp ngói, chiều cao 3,0m</t>
  </si>
  <si>
    <t>Chuồng lợn 3,1-NGOI &lt;= 2,7m</t>
  </si>
  <si>
    <t>Chuồng lợn, tường chịu lực xây gạch 110, mái lợp ngói, chiều cao &lt;= 2,7m</t>
  </si>
  <si>
    <t>Chuồng lợn 3,1-FB</t>
  </si>
  <si>
    <t>Chuồng lợn 3,1-FB &lt;= 2,7m</t>
  </si>
  <si>
    <t>Chuồng lợn, tường chịu lực xây gạch 110, mái lợp fibroximang chiều cao &lt;= 2,7m</t>
  </si>
  <si>
    <t>NHÀ 2 TẦNG KHUNG CHỊU LỰC</t>
  </si>
  <si>
    <t>Nhà 2 tầng, khung chịu lực BTCT, tường xây gạch 220, mái BTCT,cầu thang láng granitô, nền lót vữa XM, trát tường và quét vôi ve</t>
  </si>
  <si>
    <t>Chiều cao trung bình 1 tầng ≤ 4,5m cứ tăng 0,1m cộng thêm 39.000 đồng/m2</t>
  </si>
  <si>
    <t>Nha2t.1(4,4-4,5)</t>
  </si>
  <si>
    <t xml:space="preserve">Nhà 2 tầng, khung chịu lực BTCT, tường xây gạch 220, mái BTCT, chiều cao  từ 4,4 đến 4,5m </t>
  </si>
  <si>
    <t>Nha2t.1(4,3-4,4)</t>
  </si>
  <si>
    <t xml:space="preserve">Nhà 2 tầng, khung chịu lực BTCT, tường xây gạch 220, mái BTCT, chiều cao  từ 4,3 đến 4,4m </t>
  </si>
  <si>
    <t>Nha2t.1(4,2-4,3)</t>
  </si>
  <si>
    <t xml:space="preserve">Nhà 2 tầng, khung chịu lực BTCT, tường xây gạch 220, mái BTCT, chiều cao  từ 4,2 đến 4,3m </t>
  </si>
  <si>
    <t>Nha2t.1(4,1-4,2)</t>
  </si>
  <si>
    <t xml:space="preserve">Nhà 2 tầng, khung chịu lực BTCT, tường xây gạch 220, mái BTCT, chiều cao  từ 4,1 đến 4,2m </t>
  </si>
  <si>
    <t>Nha2t.1(4,0-4,1)</t>
  </si>
  <si>
    <t xml:space="preserve">Nhà 2 tầng, khung chịu lực BTCT, tường xây gạch 220, mái BTCT, chiều cao  từ 4,0 đến 4,1m </t>
  </si>
  <si>
    <t>Nha2t.1(3,9-4,0)</t>
  </si>
  <si>
    <t xml:space="preserve">Nhà 2 tầng, khung chịu lực BTCT, tường xây gạch 220, mái BTCT, chiều cao  từ 3,9 đến 4,0m </t>
  </si>
  <si>
    <t>Nha2t.1(3,8-3,9)</t>
  </si>
  <si>
    <t xml:space="preserve">Nhà 2 tầng, khung chịu lực BTCT, tường xây gạch 220, mái BTCT, chiều cao  từ 3,8 đến 3,9m </t>
  </si>
  <si>
    <t>Nha2t.1(3,7-3,8)</t>
  </si>
  <si>
    <t xml:space="preserve">Nhà 2 tầng, khung chịu lực BTCT, tường xây gạch 220, mái BTCT, chiều cao  từ 3,7 đến 3,8m </t>
  </si>
  <si>
    <t>Nha2t.1(3,6-3,7)</t>
  </si>
  <si>
    <t xml:space="preserve">Nhà 2 tầng, khung chịu lực BTCT, tường xây gạch 220, mái BTCT, chiều cao  từ 3,6 đến 3,7m </t>
  </si>
  <si>
    <t>Nha2t.1(3,5-3,6)</t>
  </si>
  <si>
    <t xml:space="preserve">Nhà 2 tầng, khung chịu lực BTCT, tường xây gạch 220, mái BTCT, chiều cao  từ 3,5 đến 3,6m </t>
  </si>
  <si>
    <t>Nha2t.1(3,4-3,5)</t>
  </si>
  <si>
    <t xml:space="preserve">Nhà 2 tầng, khung chịu lực BTCT, tường xây gạch 220, mái BTCT, chiều cao  từ 3,4 đến 3,5m </t>
  </si>
  <si>
    <t>Nha2t.1(3,3-3,4)</t>
  </si>
  <si>
    <t xml:space="preserve">Nhà 2 tầng, khung chịu lực BTCT, tường xây gạch 220, mái BTCT, chiều cao  từ 3,3 đến 3,4m </t>
  </si>
  <si>
    <t>Nha2t.1(3,2-3,3)</t>
  </si>
  <si>
    <t xml:space="preserve">Nhà 2 tầng, khung chịu lực BTCT, tường xây gạch 220, mái BTCT, chiều cao  từ 3,2 đến 3,3m </t>
  </si>
  <si>
    <t>Nha2t.1(3,1-3,2)</t>
  </si>
  <si>
    <t xml:space="preserve">Nhà 2 tầng, khung chịu lực BTCT, tường xây gạch 220, mái BTCT, chiều cao  từ 3,1 đến 3,2m </t>
  </si>
  <si>
    <t>Nha2t.1(3,0-3,1)</t>
  </si>
  <si>
    <t xml:space="preserve">Nhà 2 tầng, khung chịu lực BTCT, tường xây gạch 220, mái BTCT, chiều cao  từ 3,0 đến 3,1m </t>
  </si>
  <si>
    <t>Chiều cao tầng dưới 3,0m (Cứ 0,1m trừ đi 39.000 đồng/m2)</t>
  </si>
  <si>
    <t>NHÀ 2 TẦNG TƯỜNG CHỊU LỰC</t>
  </si>
  <si>
    <t>Nhà 2 tầng, tường chịu lực xây gạch 220, mái BTCT,cầu thang láng garanitô, nền lót vữa XM, trát tường và quét vôi ve</t>
  </si>
  <si>
    <t>Chiều cao trung bình 1 tầng ≤ 4,5m cứ tăng 0,1m cộng thêm 37.000 đồng/m2</t>
  </si>
  <si>
    <t>Nha2t(4,4-4,5)-BTCT</t>
  </si>
  <si>
    <t xml:space="preserve">Nhà 2 tầng, tường chịu lực xây gạch 220, mái BTCT, chiều cao  từ 4,4 đến 4,5m </t>
  </si>
  <si>
    <t>Nha2t(4,3-4,4)-BTCT</t>
  </si>
  <si>
    <t xml:space="preserve">Nhà 2 tầng, tường chịu lực xây gạch 220, mái BTCT, chiều cao  từ 4,3 đến 4,4m </t>
  </si>
  <si>
    <t>Nha2t(4,2-4,3)-BTCT</t>
  </si>
  <si>
    <t xml:space="preserve">Nhà 2 tầng, tường chịu lực xây gạch 220, mái BTCT, chiều cao  từ 4,2 đến 4,3m </t>
  </si>
  <si>
    <t>Nha2t(4,1-4,2)-BTCT</t>
  </si>
  <si>
    <t xml:space="preserve">Nhà 2 tầng, tường chịu lực xây gạch 220, mái BTCT, chiều cao  từ 4,1 đến 4,2m </t>
  </si>
  <si>
    <t>Nha2t(4,0-4,1)-BTCT</t>
  </si>
  <si>
    <t xml:space="preserve">Nhà 2 tầng, tường chịu lực xây gạch 220, mái BTCT, chiều cao  từ 4,0 đến 4,1m </t>
  </si>
  <si>
    <t>Nha2t(3,9-4,0)-BTCT</t>
  </si>
  <si>
    <t xml:space="preserve">Nhà 2 tầng, tường chịu lực xây gạch 220, mái BTCT, chiều cao  từ 3,9 đến 4,0m </t>
  </si>
  <si>
    <t>Nha2t(3,8-3,9)-BTCT</t>
  </si>
  <si>
    <t xml:space="preserve">Nhà 2 tầng, tường chịu lực xây gạch 220, mái BTCT, chiều cao  từ 3,8 đến 3,9m </t>
  </si>
  <si>
    <t>Nha2t(3,7-3,8)-BTCT</t>
  </si>
  <si>
    <t xml:space="preserve">Nhà 2 tầng, tường chịu lực xây gạch 220, mái BTCT, chiều cao  từ 3,7 đến 3,8m </t>
  </si>
  <si>
    <t>Nha2t(3,6-3,7)-BTCT</t>
  </si>
  <si>
    <t xml:space="preserve">Nhà 2 tầng, tường chịu lực xây gạch 220, mái BTCT, chiều cao  từ 3,6 đến 3,7m </t>
  </si>
  <si>
    <t>Nha2t(3,5-3,6)-BTCT</t>
  </si>
  <si>
    <t xml:space="preserve">Nhà 2 tầng, tường chịu lực xây gạch 220, mái BTCT, chiều cao  từ 3,5 đến 3,6m </t>
  </si>
  <si>
    <t>Nha2t(3,4-3,5)-BTCT</t>
  </si>
  <si>
    <t xml:space="preserve">Nhà 2 tầng, tường chịu lực xây gạch 220, mái BTCT, chiều cao  từ 3,4 đến 3,5m </t>
  </si>
  <si>
    <t>Nha2t(3,3-3,4)-BTCT</t>
  </si>
  <si>
    <t xml:space="preserve">Nhà 2 tầng, tường chịu lực xây gạch 220, mái BTCT, chiều cao  từ 3,3 đến 3,4m </t>
  </si>
  <si>
    <t>Nha2t(3,2-3,3)-BTCT</t>
  </si>
  <si>
    <t xml:space="preserve">Nhà 2 tầng, tường chịu lực xây gạch 220, mái BTCT, chiều cao  từ 3,2 đến 3,3m </t>
  </si>
  <si>
    <t>Nha2t(3,1-3,2)-BTCT</t>
  </si>
  <si>
    <t xml:space="preserve">Nhà 2 tầng, tường chịu lực xây gạch 220, mái BTCT, chiều cao  từ 3,1 đến 3,2m </t>
  </si>
  <si>
    <t>Nha2t(3,0-3,1)-BTCT</t>
  </si>
  <si>
    <t xml:space="preserve">Nhà 2 tầng, tường chịu lực xây gạch 220, mái BTCT, chiều cao  từ 3,0 đến 3,1m </t>
  </si>
  <si>
    <t>Chiều cao tầng dưới 3,0m (Cứ 0,1m trừ đi 37.000 đồng/m2)</t>
  </si>
  <si>
    <t>NHÀ 3 TẦNG KHUNG CHỊU LỰC</t>
  </si>
  <si>
    <t>Nhà 3 tầng, khung chịu lực BTCT, tường xây gạch 220, mái BTCT,cầu thang láng granitô, nền lót vữa XM, trát tường và quét vôi ve</t>
  </si>
  <si>
    <t>Nha3t.1(4,4-4,5)</t>
  </si>
  <si>
    <t xml:space="preserve">Nhà 3 tầng, khung chịu lực BTCT, tường xây gạch 220, mái BTCT, chiều cao  từ 4,4 đến 4,5m </t>
  </si>
  <si>
    <t>Nha3t.1(4,3-4,4)</t>
  </si>
  <si>
    <t xml:space="preserve">Nhà 3 tầng, khung chịu lực BTCT, tường xây gạch 220, mái BTCT, chiều cao  từ 4,3 đến 4,4m </t>
  </si>
  <si>
    <t>Nha3t.1(4,2-4,3)</t>
  </si>
  <si>
    <t xml:space="preserve">Nhà 3 tầng, khung chịu lực BTCT, tường xây gạch 220, mái BTCT, chiều cao  từ 4,2 đến 4,3m </t>
  </si>
  <si>
    <t>Nha3t.1(4,1-4,2)</t>
  </si>
  <si>
    <t xml:space="preserve">Nhà 3 tầng, khung chịu lực BTCT, tường xây gạch 220, mái BTCT, chiều cao  từ 4,1 đến 4,2m </t>
  </si>
  <si>
    <t>Nha3t.1(4,0-4,1)</t>
  </si>
  <si>
    <t xml:space="preserve">Nhà 3 tầng, khung chịu lực BTCT, tường xây gạch 220, mái BTCT, chiều cao  từ 4,0 đến 4,1m </t>
  </si>
  <si>
    <t>Nha3t.1(3,9-4,0)</t>
  </si>
  <si>
    <t xml:space="preserve">Nhà 3 tầng, khung chịu lực BTCT, tường xây gạch 220, mái BTCT, chiều cao  từ 3,9 đến 4,0m </t>
  </si>
  <si>
    <t>Nha3t.1(3,8-3,9)</t>
  </si>
  <si>
    <t xml:space="preserve">Nhà 3 tầng, khung chịu lực BTCT, tường xây gạch 220, mái BTCT, chiều cao  từ 3,8 đến 3,9m </t>
  </si>
  <si>
    <t>Nha3t.1(3,7-3,8)</t>
  </si>
  <si>
    <t xml:space="preserve">Nhà 3 tầng, khung chịu lực BTCT, tường xây gạch 220, mái BTCT, chiều cao  từ 3,7 đến 3,8m </t>
  </si>
  <si>
    <t>Nha3t.1(3,6-3,7)</t>
  </si>
  <si>
    <t xml:space="preserve">Nhà 3 tầng, khung chịu lực BTCT, tường xây gạch 220, mái BTCT, chiều cao  từ 3,6 đến 3,7m </t>
  </si>
  <si>
    <t>Nha3t.1(3,5-3,6)</t>
  </si>
  <si>
    <t xml:space="preserve">Nhà 3 tầng, khung chịu lực BTCT, tường xây gạch 220, mái BTCT, chiều cao  từ 3,5 đến 3,6m </t>
  </si>
  <si>
    <t>Nha3t.1(3,4-3,5)</t>
  </si>
  <si>
    <t xml:space="preserve">Nhà 3 tầng, khung chịu lực BTCT, tường xây gạch 220, mái BTCT, chiều cao  từ 3,4 đến 3,5m </t>
  </si>
  <si>
    <t>Nha3t.1(3,3-3,4)</t>
  </si>
  <si>
    <t xml:space="preserve">Nhà 3 tầng, khung chịu lực BTCT, tường xây gạch 220, mái BTCT, chiều cao  từ 3,3 đến 3,4m </t>
  </si>
  <si>
    <t>Nha3t.1(3,2-3,3)</t>
  </si>
  <si>
    <t xml:space="preserve">Nhà 3 tầng, khung chịu lực BTCT, tường xây gạch 220, mái BTCT, chiều cao  từ 3,2 đến 3,3m </t>
  </si>
  <si>
    <t>Nha3t.1(3,1-3,2)</t>
  </si>
  <si>
    <t xml:space="preserve">Nhà 3 tầng, khung chịu lực BTCT, tường xây gạch 220, mái BTCT, chiều cao  từ 3,1 đến 3,2m </t>
  </si>
  <si>
    <t>Nha3t.1(3,0-3,1)</t>
  </si>
  <si>
    <t xml:space="preserve">Nhà 3 tầng, khung chịu lực BTCT, tường xây gạch 220, mái BTCT, chiều cao  từ 3,0 đến 3,1m </t>
  </si>
  <si>
    <t>NHÀ 4 TẦNG KHUNG CHỊU LỰC</t>
  </si>
  <si>
    <t>Nhà 4 tầng, khung chịu lực BTCT, tường xây gạch 220, mái BTCT,cầu thang láng granitô, nền lót vữa XM, trát tường và quét vôi ve</t>
  </si>
  <si>
    <t>Chiều cao trung bình 1 tầng ≤ 4,5m cứ tăng 0,1m cộng thêm 31.000 đồng/m2</t>
  </si>
  <si>
    <t>Nha4t.1(4,4-4,5)</t>
  </si>
  <si>
    <t xml:space="preserve">Nhà 4 tầng, khung chịu lực BTCT, tường xây gạch 220, mái BTCT, chiều cao  từ 4,4 đến 4,5m </t>
  </si>
  <si>
    <t>Nha4t.1(4,3-4,4)</t>
  </si>
  <si>
    <t xml:space="preserve">Nhà 4 tầng, khung chịu lực BTCT, tường xây gạch 220, mái BTCT, chiều cao  từ 4,3 đến 4,4m </t>
  </si>
  <si>
    <t>Nha4t.1(4,2-4,3)</t>
  </si>
  <si>
    <t xml:space="preserve">Nhà 4 tầng, khung chịu lực BTCT, tường xây gạch 220, mái BTCT, chiều cao  từ 4,2 đến 4,3m </t>
  </si>
  <si>
    <t>Nha4t.1(4,1-4,2)</t>
  </si>
  <si>
    <t xml:space="preserve">Nhà 4 tầng, khung chịu lực BTCT, tường xây gạch 220, mái BTCT, chiều cao  từ 4,1 đến 4,2m </t>
  </si>
  <si>
    <t>Nha4t.1(4,0-4,1)</t>
  </si>
  <si>
    <t xml:space="preserve">Nhà 4 tầng, khung chịu lực BTCT, tường xây gạch 220, mái BTCT, chiều cao  từ 4,0 đến 4,1m </t>
  </si>
  <si>
    <t>Nha4t.1(3,9-4,0)</t>
  </si>
  <si>
    <t xml:space="preserve">Nhà 4 tầng, khung chịu lực BTCT, tường xây gạch 220, mái BTCT, chiều cao  từ 3,9 đến 4,0m </t>
  </si>
  <si>
    <t>Nha4t.1(3,8-3,9)</t>
  </si>
  <si>
    <t xml:space="preserve">Nhà 4 tầng, khung chịu lực BTCT, tường xây gạch 220, mái BTCT, chiều cao  từ 3,8 đến 3,9m </t>
  </si>
  <si>
    <t>Nha4t.1(3,7-3,8)</t>
  </si>
  <si>
    <t xml:space="preserve">Nhà 4 tầng, khung chịu lực BTCT, tường xây gạch 220, mái BTCT, chiều cao  từ 3,7 đến 3,8m </t>
  </si>
  <si>
    <t>Nha4t.1(3,6-3,7)</t>
  </si>
  <si>
    <t xml:space="preserve">Nhà 4 tầng, khung chịu lực BTCT, tường xây gạch 220, mái BTCT, chiều cao  từ 3,6 đến 3,7m </t>
  </si>
  <si>
    <t>Nha4t.1(3,5-3,6)</t>
  </si>
  <si>
    <t xml:space="preserve">Nhà 4 tầng, khung chịu lực BTCT, tường xây gạch 220, mái BTCT, chiều cao  từ 3,5 đến 3,6m </t>
  </si>
  <si>
    <t>Nha4t.1(3,4-3,5)</t>
  </si>
  <si>
    <t xml:space="preserve">Nhà 4 tầng, khung chịu lực BTCT, tường xây gạch 220, mái BTCT, chiều cao  từ 3,4 đến 3,5m </t>
  </si>
  <si>
    <t>Nha4t.1(3,3-3,4)</t>
  </si>
  <si>
    <t xml:space="preserve">Nhà 4 tầng, khung chịu lực BTCT, tường xây gạch 220, mái BTCT, chiều cao  từ 3,3 đến 3,4m </t>
  </si>
  <si>
    <t>Nha4t.1(3,2-3,3)</t>
  </si>
  <si>
    <t xml:space="preserve">Nhà 4 tầng, khung chịu lực BTCT, tường xây gạch 220, mái BTCT, chiều cao  từ 3,2 đến 3,3m </t>
  </si>
  <si>
    <t>Nha4t.1(3,1-3,2)</t>
  </si>
  <si>
    <t xml:space="preserve">Nhà 4 tầng, khung chịu lực BTCT, tường xây gạch 220, mái BTCT, chiều cao  từ 3,1 đến 3,2m </t>
  </si>
  <si>
    <t>Nha4t.1(3,0-3,1)</t>
  </si>
  <si>
    <t xml:space="preserve">Nhà 4 tầng, khung chịu lực BTCT, tường xây gạch 220, mái BTCT, chiều cao  từ 3,0 đến 3,1m </t>
  </si>
  <si>
    <t>Chiều cao tầng dưới 3,0m (Cứ 0,1m trừ đi 31.000 đồng/m2)</t>
  </si>
  <si>
    <t>VKT 1</t>
  </si>
  <si>
    <t>LAT NỀN</t>
  </si>
  <si>
    <t>Lát nền</t>
  </si>
  <si>
    <t>Lát gạch chỉ</t>
  </si>
  <si>
    <t>Lát gạch Ceramic 200x200</t>
  </si>
  <si>
    <t>Lát nền, sàn bằng gạch Ceramic 200x200mm</t>
  </si>
  <si>
    <t>Lát gạch Ceramic 300x300</t>
  </si>
  <si>
    <t>Lát nền, sàn bằng gạch Ceramic 300x300mm</t>
  </si>
  <si>
    <t>Lát gạch Ceramic 400x400</t>
  </si>
  <si>
    <t>Lát nền, sàn bằng gạch Ceramic 400x400mm</t>
  </si>
  <si>
    <t>Lát gạch Ceramic 500x500</t>
  </si>
  <si>
    <t>Lát nền, sàn bằng gạch Ceramic 500x500mm</t>
  </si>
  <si>
    <t>Lát gạch Ceramic 600x600</t>
  </si>
  <si>
    <t>Lát nền, sàn bằng gạch Ceramic 600x600mm</t>
  </si>
  <si>
    <t>Lát gạch Ceramic 800x800</t>
  </si>
  <si>
    <t>Lát nền, sàn bằng gạch Ceramic 800x800mm</t>
  </si>
  <si>
    <t>Lát gạch Granit 400x400</t>
  </si>
  <si>
    <t>Lát nền, sàn bằng gạch Granit 400x400mm</t>
  </si>
  <si>
    <t>Lát gạch Granit 500x500</t>
  </si>
  <si>
    <t>Lát nền, sàn bằng gạch Granit 500x500mm</t>
  </si>
  <si>
    <t>Lát gạch Granit 600x600</t>
  </si>
  <si>
    <t>Lát nền, sàn bằng gạch Granit 600x600mm</t>
  </si>
  <si>
    <t>Lát đá Granit kim sa 01</t>
  </si>
  <si>
    <t>Lát đá bậc tam cấp, đá Granit kim sa</t>
  </si>
  <si>
    <t>Lát đá Granit kim sa 02</t>
  </si>
  <si>
    <t>Lát đá bậc cầu thang, đá Granit kim sa</t>
  </si>
  <si>
    <t>Lát đá Granit kim sa</t>
  </si>
  <si>
    <t>Lát đá mặt bệ các loại (bệ bếp, bệ bàn, bệ lavabo…) đá Granit kim sa</t>
  </si>
  <si>
    <t>Lát gạch đất nung 300x300</t>
  </si>
  <si>
    <t>Lát gạch đất nung 300x300mm</t>
  </si>
  <si>
    <t>Lát gạch đất nung 400x400</t>
  </si>
  <si>
    <t>Lát gạch đất nung 400x400mm</t>
  </si>
  <si>
    <t>Lát gạch đất nung 500x500</t>
  </si>
  <si>
    <t>Lát gạch đất nung 500x500mm</t>
  </si>
  <si>
    <t>VKT 2</t>
  </si>
  <si>
    <t>ỐP GẠCH</t>
  </si>
  <si>
    <t>Ốp gạch</t>
  </si>
  <si>
    <t>Ốp gạch 200x200</t>
  </si>
  <si>
    <t>Ốp gạch vào tường, trụ, cột, kích thước gạch 200x200mm</t>
  </si>
  <si>
    <t>Ốp gạch 250x250</t>
  </si>
  <si>
    <t>Ốp gạch vào tường, trụ, cột, kích thước gạch 250x250mm</t>
  </si>
  <si>
    <t>Ốp gạch 250x400</t>
  </si>
  <si>
    <t>Ốp gạch vào tường, trụ, cột, kích thước gạch 250x400mm</t>
  </si>
  <si>
    <t>Ốp gạch 300x300</t>
  </si>
  <si>
    <t>Ốp gạch vào tường, trụ, cột, kích thước gạch 300x300mm</t>
  </si>
  <si>
    <t>Ốp gạch 300x450</t>
  </si>
  <si>
    <t>Ốp gạch vào tường, trụ, cột, kích thước gạch 300x450mm</t>
  </si>
  <si>
    <t>Ốp gạch 300x600</t>
  </si>
  <si>
    <t>Ốp gạch vào tường, trụ, cột, kích thước gạch 300x600mm</t>
  </si>
  <si>
    <t>Ốp gạch 500x500</t>
  </si>
  <si>
    <t>Ốp gạch vào tường, trụ, cột, kích thước gạch 500x500mm</t>
  </si>
  <si>
    <t>Ốp gạch 600x600</t>
  </si>
  <si>
    <t>Ốp gạch vào tường, trụ, cột, kích thước gạch 600x600mm</t>
  </si>
  <si>
    <t>Ốp gạch 800x800</t>
  </si>
  <si>
    <t>Ốp gạch vào tường, trụ, cột, kích thước gạch 800x800mm</t>
  </si>
  <si>
    <t>Ốp gạch chân tường 120x300</t>
  </si>
  <si>
    <t>Ốp gạch vào chân tường, viền tường, viền trụ, cột, kích thước gạch 120x300mm</t>
  </si>
  <si>
    <t>Ốp gạch chân tường 120x400</t>
  </si>
  <si>
    <t>Ốp gạch vào chân tường, viền tường, viền trụ, cột, kích thước gạch 120x400mm</t>
  </si>
  <si>
    <t>Ốp gạch chân tường 120x500</t>
  </si>
  <si>
    <t>Ốp gạch vào chân tường, viền tường, viền trụ, cột, kích thước gạch 120x500mm</t>
  </si>
  <si>
    <t>VKT 3</t>
  </si>
  <si>
    <t>Láng vữa, granito</t>
  </si>
  <si>
    <t>Sàn không đánh màu</t>
  </si>
  <si>
    <t>Láng nền, sàn không đánh màu</t>
  </si>
  <si>
    <t>Sàn có đánh màu</t>
  </si>
  <si>
    <t>Láng nền, sàn có đánh màu</t>
  </si>
  <si>
    <t>Nền Granito</t>
  </si>
  <si>
    <t>Láng granito nền sàn</t>
  </si>
  <si>
    <t>Cầu thang Granito</t>
  </si>
  <si>
    <t>Láng granito cầu thang</t>
  </si>
  <si>
    <t>VKT 4</t>
  </si>
  <si>
    <t>Bả, lăn sơn, vôi ve</t>
  </si>
  <si>
    <t>Sơn trong nhà 01</t>
  </si>
  <si>
    <t>Sơn dầm, trần cột, tường trong nhà đã bả (chưa tính bả)</t>
  </si>
  <si>
    <t>Sơn ngoài nhà 01</t>
  </si>
  <si>
    <t>Sơn dầm, trần cột, tường ngoài nhà đã bả (chưa tính bả)</t>
  </si>
  <si>
    <t>Sơn trong nhà 02</t>
  </si>
  <si>
    <t>Sơn dầm, trần cột, tường trong nhà không bả</t>
  </si>
  <si>
    <t>Sơn ngoài nhà 02</t>
  </si>
  <si>
    <t>Sơn dầm, trần cột, tường ngoài nhà không bả</t>
  </si>
  <si>
    <t>Bả matit 01</t>
  </si>
  <si>
    <t>Bả bằng matít vào tường</t>
  </si>
  <si>
    <t>Bả matit 02</t>
  </si>
  <si>
    <t>Bả bằng matít vào cột, dầm, trần</t>
  </si>
  <si>
    <t>Quét vôi ve</t>
  </si>
  <si>
    <t>Quét vôi ve trong và ngoài nhà</t>
  </si>
  <si>
    <t>Trát tường ngoài</t>
  </si>
  <si>
    <t>Trát tường ngoài nhà vữa XM</t>
  </si>
  <si>
    <t>Trát tường trong</t>
  </si>
  <si>
    <t>Trát tường trong nhà vữa XM</t>
  </si>
  <si>
    <t>Trát xà, dầm</t>
  </si>
  <si>
    <t>Trát xà, dầm, giằng vữa XM</t>
  </si>
  <si>
    <t>Trát trụ, cột</t>
  </si>
  <si>
    <t>Trát trụ, cột, lam đứng, cầu thang vữa XM</t>
  </si>
  <si>
    <t>Trát trần vữa</t>
  </si>
  <si>
    <t>Trát trần vữa XM</t>
  </si>
  <si>
    <t>TRẦN</t>
  </si>
  <si>
    <t>Trần, gác xép</t>
  </si>
  <si>
    <t>Trần thạch cao</t>
  </si>
  <si>
    <t>Làm trần bằng tấm thạch cao</t>
  </si>
  <si>
    <t>Trần nhựa</t>
  </si>
  <si>
    <t>Làm trần bằng tấm nhựa</t>
  </si>
  <si>
    <t>Trần cót ép</t>
  </si>
  <si>
    <t>Làm trần cót ép</t>
  </si>
  <si>
    <t>Trần gỗ dán</t>
  </si>
  <si>
    <t>Làm trần gỗ dán, ván ép</t>
  </si>
  <si>
    <t>Gáp xép gỗ</t>
  </si>
  <si>
    <t>Gác xép gỗ nhóm IV (Để chứa đồ)</t>
  </si>
  <si>
    <t>CHỐNG NÓNG</t>
  </si>
  <si>
    <t>Kết cấu chống nóng</t>
  </si>
  <si>
    <t>Chống nóng mái Fibroximang</t>
  </si>
  <si>
    <t>Chống nóng mái bằng tấm fibroximang</t>
  </si>
  <si>
    <t>Chống nóng mái tôn</t>
  </si>
  <si>
    <t>Chống nóng mái bằng tôn mạ màu</t>
  </si>
  <si>
    <t>Lát gạch chống nóng</t>
  </si>
  <si>
    <t>Lát gạch chống nóng bằng gạch 4 lỗ 22x10,5x15cm</t>
  </si>
  <si>
    <t>CỔNG</t>
  </si>
  <si>
    <t>Cánh cổng 01</t>
  </si>
  <si>
    <t>Cổng thép mặt bưng tôn, khung thép hộp, lan sắt vuông 10x10</t>
  </si>
  <si>
    <t>Cánh cổng 02</t>
  </si>
  <si>
    <t>Cổng thép mặt bưng tôn, khung thép hộp, lan sắt vuông 12x12</t>
  </si>
  <si>
    <t>Cánh cổng 03</t>
  </si>
  <si>
    <t>Cổng thép mặt bưng tôn, khung thép hộp, lan sắt vuông 14x14</t>
  </si>
  <si>
    <t>Cánh cổng 04</t>
  </si>
  <si>
    <t>Cổng thép mặt bưng tôn, khung thép hộp, lan sắt vuông 16x16</t>
  </si>
  <si>
    <t>TƯỜNG RÀO</t>
  </si>
  <si>
    <t>Tường 220</t>
  </si>
  <si>
    <t>Tường rào xây gạch 220, trát vữa XM, quét vôi ve, cao ≤ 2,5m</t>
  </si>
  <si>
    <t>Tường 110</t>
  </si>
  <si>
    <t>Tường rào xây gạch bổ trụ 220, xây tường 110, trát vữa XM, quét vôi ve, cao ≤ 2,5m</t>
  </si>
  <si>
    <t>Tường móng gạch 1</t>
  </si>
  <si>
    <t>Tường rào móng gạch, trát vữa XM, quét vôi vẻ. Khoang hoa sắt vuông 10x10</t>
  </si>
  <si>
    <t>Tường móng gạch 2</t>
  </si>
  <si>
    <t>Tường rào móng gạch, trát vữa XM, quét vôi vẻ. Khoang hoa sắt vuông 12x12</t>
  </si>
  <si>
    <t>Tường móng gạch 3</t>
  </si>
  <si>
    <t>Tường rào móng gạch, trát vữa XM, quét vôi vẻ. Khoang hoa sắt vuông 14x14</t>
  </si>
  <si>
    <t>Tường móng gạch 4</t>
  </si>
  <si>
    <t>Tường rào móng gạch, trát vữa XM, quét vôi vẻ. Khoang hoa sắt vuông 16x16</t>
  </si>
  <si>
    <t>Tường móng gạch 5</t>
  </si>
  <si>
    <t>Tường rào móng gạch, trát vữa XM, quét vôi vẻ. Khoang hoa sắt D &gt;= 10mm</t>
  </si>
  <si>
    <t>HRB40</t>
  </si>
  <si>
    <t>Hàng rào lưới B40</t>
  </si>
  <si>
    <t>HRB40.CK</t>
  </si>
  <si>
    <t>Hàng rào lưới B40 có khung thép</t>
  </si>
  <si>
    <t>Tường hoa, lan can</t>
  </si>
  <si>
    <t>Tường hoa</t>
  </si>
  <si>
    <t>Tường hoa xây gạch, con tiện sứ (con tiện xi măng), trát vữa XM, quét vôi ve</t>
  </si>
  <si>
    <t>Lan can inox</t>
  </si>
  <si>
    <t>Lan can bằng inox, cao &lt;=900</t>
  </si>
  <si>
    <t>md</t>
  </si>
  <si>
    <t>Lan can thép hộp</t>
  </si>
  <si>
    <t>Lan can bằng thép hộp, cao &lt;=900</t>
  </si>
  <si>
    <t>Lan can thép hình</t>
  </si>
  <si>
    <t>Lan can bằng thép hình, cao &lt;=900</t>
  </si>
  <si>
    <t>Bể nước, bể phốt</t>
  </si>
  <si>
    <t>Bể phốt 01</t>
  </si>
  <si>
    <t>Bể phốt đáy đổ BTCT, thành bể xây gạch, có nắp đậy BTCT</t>
  </si>
  <si>
    <t>Bể phốt 02</t>
  </si>
  <si>
    <t>Bể phốt đáy đổ BTCT, thành bể xây gạch, không nắp đậy BTCT</t>
  </si>
  <si>
    <t>Bể nước 01</t>
  </si>
  <si>
    <t>Bể nước đáy đổ BTCT, thành bể xây gạch, có bể lọc</t>
  </si>
  <si>
    <t>Bể nước 02</t>
  </si>
  <si>
    <t>Bể nước đáy đổ BTCT, thành bể xây gạch, có nắp đậy BTCT</t>
  </si>
  <si>
    <t>Bể nước 03</t>
  </si>
  <si>
    <t>Bể nước đáy đổ BTCT, thành bể xây gạch, không nắp đậy BTCT</t>
  </si>
  <si>
    <t>Bể nước 04</t>
  </si>
  <si>
    <t>Bể nước đáy, thành, nắp bể đổ BTCT</t>
  </si>
  <si>
    <t>Rãnh nước 01</t>
  </si>
  <si>
    <t>Rãnh thoát nước xây gạch 220, có nắp đậy BTCT, rộng B&lt;=400</t>
  </si>
  <si>
    <t>Rãnh nước 02</t>
  </si>
  <si>
    <t>Rãnh thoát nước xây gạch 220, không nắp đậy BTCT, rộng B&lt;=400</t>
  </si>
  <si>
    <t>Rãnh nước 03</t>
  </si>
  <si>
    <t>Rãnh thoát nước xây gạch 110, có nắp đậy BTCT, rộng B&lt;=300</t>
  </si>
  <si>
    <t>Rãnh nước 04</t>
  </si>
  <si>
    <t>Rãnh thoát nước xây gạch 110, không nắp đậy BTCT, rộng B&lt;=300</t>
  </si>
  <si>
    <t>Kè, san nền</t>
  </si>
  <si>
    <t>San nền</t>
  </si>
  <si>
    <t>Kè đá</t>
  </si>
  <si>
    <t>Kè xây đá hộc</t>
  </si>
  <si>
    <t>Kè gạch</t>
  </si>
  <si>
    <t>Sân, đường bê tông</t>
  </si>
  <si>
    <t>Sân BT100</t>
  </si>
  <si>
    <t>Sân bê tông dày 100, mác 200</t>
  </si>
  <si>
    <t>Sân BT150</t>
  </si>
  <si>
    <t>Sân bê tông dày 150, mác 200</t>
  </si>
  <si>
    <t>Sân lót</t>
  </si>
  <si>
    <t>Sân lót bê tông gạch vỡ, mặt láng vữa XMCV</t>
  </si>
  <si>
    <t>CỘT TRỤ</t>
  </si>
  <si>
    <t>Cột trụ, tấm đan, nan chớp</t>
  </si>
  <si>
    <t>Cột BTCT</t>
  </si>
  <si>
    <t>Cột BTCT, trát vữa XM, quét vôi ve</t>
  </si>
  <si>
    <t>Cột BT</t>
  </si>
  <si>
    <t>Cột bê tông, trát vữa XM, quét vôi ve</t>
  </si>
  <si>
    <t>Trụ xây gạch</t>
  </si>
  <si>
    <t>Trụ xây gạch, trát vữa XM, quét vôi ve</t>
  </si>
  <si>
    <t>Tấm đan, nan chớp</t>
  </si>
  <si>
    <t>Tấm đan, nan chớp BTCT</t>
  </si>
  <si>
    <t>GIẾNG</t>
  </si>
  <si>
    <t>Giếng khơi , giếng khoan</t>
  </si>
  <si>
    <t>GK 01</t>
  </si>
  <si>
    <t>Giếng khơi thành xây gạch</t>
  </si>
  <si>
    <t>GK 02</t>
  </si>
  <si>
    <t>Giếng khơi thành đất</t>
  </si>
  <si>
    <t>GK</t>
  </si>
  <si>
    <t>Giếng</t>
  </si>
  <si>
    <t>THÁO DỠ</t>
  </si>
  <si>
    <t>Tháo dỡ, di chuyển, lắp đặt thiết bị</t>
  </si>
  <si>
    <t>Cánh cổng</t>
  </si>
  <si>
    <t>ĐH 1</t>
  </si>
  <si>
    <t>Điều hòa 1 cục loại treo tường</t>
  </si>
  <si>
    <t>máy</t>
  </si>
  <si>
    <t>ĐH 2</t>
  </si>
  <si>
    <t>Điều hòa 2 cục loại treo tường</t>
  </si>
  <si>
    <t>ĐH 3</t>
  </si>
  <si>
    <t>Điều hòa 1 cục loại ốp trần</t>
  </si>
  <si>
    <t>ĐH 4</t>
  </si>
  <si>
    <t>Điều hòa 2 cục loại âm trần</t>
  </si>
  <si>
    <t>ĐH 5</t>
  </si>
  <si>
    <t>Điều hòa 2 cục loại tủ đứng</t>
  </si>
  <si>
    <t>BNL</t>
  </si>
  <si>
    <t>Bình nóng lạnh</t>
  </si>
  <si>
    <t>bộ</t>
  </si>
  <si>
    <t>XB</t>
  </si>
  <si>
    <t>CR</t>
  </si>
  <si>
    <t>Chậu rửa</t>
  </si>
  <si>
    <t>CT</t>
  </si>
  <si>
    <t>Chậu tiểu</t>
  </si>
  <si>
    <t>Quạt trần</t>
  </si>
  <si>
    <t>CỬA GỖ</t>
  </si>
  <si>
    <t>Cửa gỗ lim</t>
  </si>
  <si>
    <t>KC gỗ lim (Kép)</t>
  </si>
  <si>
    <t>Khuôn cửa gỗ lim, khuôn kép</t>
  </si>
  <si>
    <t>250x60mm</t>
  </si>
  <si>
    <t>KC gỗ lim (Đơn)</t>
  </si>
  <si>
    <t>Khuôn cửa gỗ lim, khuôn đơn</t>
  </si>
  <si>
    <t>130x60mm</t>
  </si>
  <si>
    <t>CC gỗ lim (cửa đi Pano đặc)</t>
  </si>
  <si>
    <t>Cửa đi gỗ lim Pano đặc</t>
  </si>
  <si>
    <t>CC gỗ lim (cửa đi Pano kính)</t>
  </si>
  <si>
    <t>Cửa đi gỗ lim Pano kính</t>
  </si>
  <si>
    <t>CC gỗ lim (cửa sổ Pano kính)</t>
  </si>
  <si>
    <t>Cửa sổ gỗ lim Pano kính</t>
  </si>
  <si>
    <t>CC gỗ lim (cửa chớp)</t>
  </si>
  <si>
    <t>Cửa chớp gỗ lim</t>
  </si>
  <si>
    <t>Song gỗ cửa sổ</t>
  </si>
  <si>
    <t>Cửa gỗ dổi</t>
  </si>
  <si>
    <t>KC gỗ dổi (Kép)</t>
  </si>
  <si>
    <t>Khuôn cửa gỗ dổi, khuôn kép</t>
  </si>
  <si>
    <t>KC gỗ dổi (Đơn)</t>
  </si>
  <si>
    <t>Khuôn cửa gỗ dổi, khuôn đơn</t>
  </si>
  <si>
    <t>CC gỗ dổi (cửa đi Pano đặc)</t>
  </si>
  <si>
    <t>Cửa đi gỗ dổi Pano đặc</t>
  </si>
  <si>
    <t>CC gỗ dổi (cửa đi Pano kính)</t>
  </si>
  <si>
    <t>Cửa đi gỗ dổi Pano kính</t>
  </si>
  <si>
    <t>CC gỗ dổi (cửa sổ Pano kính)</t>
  </si>
  <si>
    <t>Cửa sổ gỗ dổi Pano kính</t>
  </si>
  <si>
    <t>CC gỗ dổi (cửa chớp)</t>
  </si>
  <si>
    <t>Cửa chớp gỗ dổi</t>
  </si>
  <si>
    <t>CỬA NHÔM</t>
  </si>
  <si>
    <t>Cửa nhôm hệ Xingfa</t>
  </si>
  <si>
    <t>Của đi nhôm XF (1 cánh mở quay)-01</t>
  </si>
  <si>
    <t>Cửa đi 1 cánh mở quay XF55 thanh nhôm dày 2.0mm; kính an toàn 6,38mm; KT  700-900x2100-2400; phụ kiện đồng bộ</t>
  </si>
  <si>
    <t>Của đi nhôm XF (2 cánh mở quay)-02</t>
  </si>
  <si>
    <t>Cửa đi 2 cánh mở quay XF55 thanh nhôm dày 2.0mm; kính an toàn 6,38mm; KT  1200-1800x2100-2400; phụ kiện đồng bộ</t>
  </si>
  <si>
    <t>Của sổ nhôm XF (1 cánh mở quay)</t>
  </si>
  <si>
    <t>Cửa sổ 1 cánh mở quay XF55 thanh nhôm dày 1.4mm; kính an toàn 6,38mm; KT  600-1000x1000-1600; phụ kiện đồng bộ</t>
  </si>
  <si>
    <t>Của sổ nhôm XF (2 cánh mở quay)</t>
  </si>
  <si>
    <t>Cửa sổ 2 cánh mở quay XF55 thanh nhôm dày 1.4mm; kính an toàn 6,38mm; KT  1200-2000x1000-1600; phụ kiện đồng bộ</t>
  </si>
  <si>
    <t>Cửa nhôm hệ Việt Pháp</t>
  </si>
  <si>
    <t>Của đi nhôm VP (1 cánh mở quay)</t>
  </si>
  <si>
    <t>Cửa đi 1 cánh mở quay hệ Việt Pháp EU450 thanh nhôm dày 1,2mm; kính an toàn 6,38mm; KT 700-1000x2100-2400; phụ kiện đồng bộ</t>
  </si>
  <si>
    <t>Của đi nhôm VP (2 cánh mở quay)</t>
  </si>
  <si>
    <t>Cửa đi 2 cánh mở quay hệ Việt Pháp EU450 thanh nhôm dày 1,2mm; kính an toàn 6,38mm; KT 1200-1800x2100-2400; phụ kiện đồng bộ</t>
  </si>
  <si>
    <t>Của sổ nhôm VP (1 cánh mở quay)</t>
  </si>
  <si>
    <t>Cửa sổ 1 cánh mở quay hệ Việt Pháp EU4400 thanh nhôm dày 1,2mm; kính an toàn 6,38mm; KT 600-1000x1000-1600; phụ kiện đồng bộ</t>
  </si>
  <si>
    <t>Của sổ nhôm VP (2 cánh mở quay)</t>
  </si>
  <si>
    <t>Cửa sổ 1 cánh mở quay hệ Việt Pháp EU4400 thanh nhôm dày 1,2mm; kính an toàn 6,38mm; KT 1200-2000x1000-1600; phụ kiện đồng bộ</t>
  </si>
  <si>
    <t>CỬA NHỰA</t>
  </si>
  <si>
    <t>Cửa nhựa lõi thép Shide Đông Á</t>
  </si>
  <si>
    <t>Của nhựa ĐA (1 cánh mở quay)</t>
  </si>
  <si>
    <t>Cửa nhựa lõi thép Shide Đông Á, 1 cánh mở quay, kính an toàn 6,38mm. Phụ kiện GQ đồng bộ</t>
  </si>
  <si>
    <t>Thiết bị nước, thiết bị vệ sinh</t>
  </si>
  <si>
    <t>Tiểu nam</t>
  </si>
  <si>
    <t>Sen vòi</t>
  </si>
  <si>
    <t>Téc nhựa đứng 500L</t>
  </si>
  <si>
    <t>Téc nhựa đứng 1000L</t>
  </si>
  <si>
    <t>Téc nhựa đứng 1500L</t>
  </si>
  <si>
    <t>Téc nhựa đứng 2000L</t>
  </si>
  <si>
    <t>Téc nhựa ngang 500L</t>
  </si>
  <si>
    <t>Téc nhựa ngang 1000L</t>
  </si>
  <si>
    <t>Téc nhựa ngang 1500L</t>
  </si>
  <si>
    <t>Téc nhựa ngang 2000L</t>
  </si>
  <si>
    <t>Téc Inox đứng 500L</t>
  </si>
  <si>
    <t>Téc inox đứng 500L</t>
  </si>
  <si>
    <t>Téc Inox đứng 1000L</t>
  </si>
  <si>
    <t>Téc inox đứng 1000L</t>
  </si>
  <si>
    <t>Téc Inox đứng 1500L</t>
  </si>
  <si>
    <t>Téc inox đứng 1500L</t>
  </si>
  <si>
    <t>Téc Inox đứng 2000L</t>
  </si>
  <si>
    <t>Téc inox đứng 2000L</t>
  </si>
  <si>
    <t>Téc Inox ngang 500L</t>
  </si>
  <si>
    <t>Téc inox ngang 500L</t>
  </si>
  <si>
    <t>Téc Inox ngang 1000L</t>
  </si>
  <si>
    <t>Téc inox ngang 1000L</t>
  </si>
  <si>
    <t>Téc Inox ngang 1500L</t>
  </si>
  <si>
    <t>Téc inox ngang 1500L</t>
  </si>
  <si>
    <t>Téc Inox ngang 2000L</t>
  </si>
  <si>
    <t>Téc inox ngang 2000L</t>
  </si>
  <si>
    <t>MÁI</t>
  </si>
  <si>
    <t>Mái ngói 01</t>
  </si>
  <si>
    <t>Mái ngói đỏ Hạ Long (22v/m2)</t>
  </si>
  <si>
    <t>Mái ngói 02</t>
  </si>
  <si>
    <t>Mái ngói mũi hài Hạ Long (85v/m2)</t>
  </si>
  <si>
    <t>Cột tuýp</t>
  </si>
  <si>
    <t>Tuyp21</t>
  </si>
  <si>
    <t>Cột tuýp ɸ21 dày 1,9mm</t>
  </si>
  <si>
    <t>Tuyp27</t>
  </si>
  <si>
    <t>Cột tuýp ɸ27 dày 1,9mm</t>
  </si>
  <si>
    <t>Tuyp34</t>
  </si>
  <si>
    <t>Tuyp42</t>
  </si>
  <si>
    <t>Cột tuýp ɸ42 dày 1,9mm</t>
  </si>
  <si>
    <t>Tuyp48</t>
  </si>
  <si>
    <t>Cột tuýp ɸ48 dày 1.9mm</t>
  </si>
  <si>
    <t>Tuyp60</t>
  </si>
  <si>
    <t>Cột tuýp ɸ60 dày 1.9mm</t>
  </si>
  <si>
    <t>Tuyp76</t>
  </si>
  <si>
    <t>Cột tuýp ɸ76 dày 1.9mm</t>
  </si>
  <si>
    <t>Tuyp90</t>
  </si>
  <si>
    <t>Cột tuýp ɸ90 dày 1.9mm</t>
  </si>
  <si>
    <t>Sắt hộp</t>
  </si>
  <si>
    <t>Ống nước</t>
  </si>
  <si>
    <t>PVCD27</t>
  </si>
  <si>
    <t>Ống thoát nước PVC D27 Pn10</t>
  </si>
  <si>
    <t>PVCD34</t>
  </si>
  <si>
    <t>Ống thoát nước PVC D34 Pn10</t>
  </si>
  <si>
    <t>PVCD48</t>
  </si>
  <si>
    <t>Ống thoát nước PVC D48 Pn10</t>
  </si>
  <si>
    <t>PVCD110</t>
  </si>
  <si>
    <t>Ống thoát nước PVC D110 Pn10</t>
  </si>
  <si>
    <t>DĐ 2x2,5mm</t>
  </si>
  <si>
    <t>Dây điện 2x2,5mm</t>
  </si>
  <si>
    <t>DĐ 2x4mm</t>
  </si>
  <si>
    <t>Dây điện 2x4mm</t>
  </si>
  <si>
    <t>DĐ 2x6mm</t>
  </si>
  <si>
    <t>Dây điện 2x6mm</t>
  </si>
  <si>
    <t>DĐ 2x10mm</t>
  </si>
  <si>
    <t>Dây điện 2x10mm</t>
  </si>
  <si>
    <t>DĐ 2x35mm</t>
  </si>
  <si>
    <t>Dây điện 2x35mm</t>
  </si>
  <si>
    <t>DĐ 2x50mm</t>
  </si>
  <si>
    <t>Dây điện 2x50mm</t>
  </si>
  <si>
    <t>DĐ an90</t>
  </si>
  <si>
    <t>Dây điện AN90</t>
  </si>
  <si>
    <t>DĐ ac90</t>
  </si>
  <si>
    <t>Dây điện AC90</t>
  </si>
  <si>
    <t>Khác</t>
  </si>
  <si>
    <t>Gác xép WC mái BTCT</t>
  </si>
  <si>
    <t>Gác xép nhà vệ sinh mái BTCT</t>
  </si>
  <si>
    <t>Tôn quây</t>
  </si>
  <si>
    <t>Tôn quây EK106 (6 sóng) dày 0,4mm</t>
  </si>
  <si>
    <t>Dây thép gai</t>
  </si>
  <si>
    <t>CỐNG</t>
  </si>
  <si>
    <t>Cống tròn rung ép</t>
  </si>
  <si>
    <t>Cống D300</t>
  </si>
  <si>
    <t>Cống D300 M300</t>
  </si>
  <si>
    <t>Cống D400</t>
  </si>
  <si>
    <t>Cống D400 M300</t>
  </si>
  <si>
    <t>Cống D500</t>
  </si>
  <si>
    <t>Cống D500 M300</t>
  </si>
  <si>
    <t>Cống D600</t>
  </si>
  <si>
    <t>Cống D600 M300</t>
  </si>
  <si>
    <t>Cống D800</t>
  </si>
  <si>
    <t>Cống D800 M300</t>
  </si>
  <si>
    <t>Cống D1000</t>
  </si>
  <si>
    <t>Cống D1000 M300</t>
  </si>
  <si>
    <t>Cống D1250</t>
  </si>
  <si>
    <t>Cống D1250 M300</t>
  </si>
  <si>
    <t xml:space="preserve">Giếng khoan </t>
  </si>
  <si>
    <t>Cây</t>
  </si>
  <si>
    <t>Ống nhựa PVC Ø34</t>
  </si>
  <si>
    <r>
      <t xml:space="preserve">MẬT ĐỘ
</t>
    </r>
    <r>
      <rPr>
        <b/>
        <sz val="9"/>
        <color indexed="8"/>
        <rFont val="Times New Roman"/>
        <family val="1"/>
      </rPr>
      <t>(M2/ CÂY)</t>
    </r>
  </si>
  <si>
    <r>
      <t>cao</t>
    </r>
    <r>
      <rPr>
        <sz val="10.5"/>
        <color indexed="8"/>
        <rFont val="Times New Roman"/>
        <family val="1"/>
      </rPr>
      <t xml:space="preserve"> ≥ 0,5m, chưa có quả</t>
    </r>
  </si>
  <si>
    <r>
      <t>cao</t>
    </r>
    <r>
      <rPr>
        <sz val="10.5"/>
        <color indexed="8"/>
        <rFont val="Times New Roman"/>
        <family val="1"/>
      </rPr>
      <t xml:space="preserve"> ≥ 0,5m, đang có quả</t>
    </r>
  </si>
  <si>
    <r>
      <t>đk gốc</t>
    </r>
    <r>
      <rPr>
        <sz val="10.5"/>
        <color indexed="8"/>
        <rFont val="Times New Roman"/>
        <family val="1"/>
      </rPr>
      <t xml:space="preserve"> ≥ 10cm</t>
    </r>
  </si>
  <si>
    <t>Ống nhựa PVC Ø48</t>
  </si>
  <si>
    <t>50m x 1 cái</t>
  </si>
  <si>
    <t>Tổng tiền BT,HT chưa có hỗ trợ của CĐT</t>
  </si>
  <si>
    <t>Hỗ Trợ của CĐT dự án</t>
  </si>
  <si>
    <t/>
  </si>
  <si>
    <t>Tổng 1 + 2</t>
  </si>
  <si>
    <t>45 cột x 1,5m</t>
  </si>
  <si>
    <t>40m x 1 cái</t>
  </si>
  <si>
    <t>298: 299</t>
  </si>
  <si>
    <t>50</t>
  </si>
  <si>
    <t>Ao thả cá rô</t>
  </si>
  <si>
    <t>17</t>
  </si>
  <si>
    <t>16</t>
  </si>
  <si>
    <t>17: 16</t>
  </si>
  <si>
    <t>1,8 x 195m</t>
  </si>
  <si>
    <t>50m</t>
  </si>
  <si>
    <t>110m</t>
  </si>
  <si>
    <t>Kg</t>
  </si>
  <si>
    <t>298</t>
  </si>
  <si>
    <t>299</t>
  </si>
  <si>
    <t>BBTS …</t>
  </si>
  <si>
    <t>BBTS 01</t>
  </si>
  <si>
    <t>Cột tuýp sắt Ø27</t>
  </si>
  <si>
    <t>Cột tuýp sắt Ø34</t>
  </si>
  <si>
    <t>39 cột</t>
  </si>
  <si>
    <t>450m2</t>
  </si>
  <si>
    <t>2cm ≤ ĐK gốc &lt; 4cm</t>
  </si>
  <si>
    <t>4cm &lt; ĐK gốc ≤ 8cm</t>
  </si>
  <si>
    <t>20 cm ≤ Đk ≤ 30 cm</t>
  </si>
  <si>
    <t>12 cm ≤ Đk &lt; 20 cm</t>
  </si>
  <si>
    <t>Nguyễn Văn A</t>
  </si>
  <si>
    <t>Lê Văn H</t>
  </si>
  <si>
    <t>Thửa 298 tờ 50, diện tích 876m2. Chủ hộ :Nguyễn Văn A
Thửa 299 tờ 50, diện tích 720,4m2, Chủ hộ :Lê Văn H</t>
  </si>
  <si>
    <t>Lê Văn Hg</t>
  </si>
  <si>
    <t>Thửa 298 tờ 50, diện tích 876m2, Chủ tài sản Lê Văn Hg(BBTS 109)</t>
  </si>
  <si>
    <t>Thửa 299 tờ 50, diện tích 720,4m2, Chủ tài sản Lê Văn Hg(BBTS kh thấy ở file exel)</t>
  </si>
  <si>
    <t>Lê Văn B</t>
  </si>
  <si>
    <t>Lê Thị X</t>
  </si>
  <si>
    <t>Thửa 17 tờ 50, diện tích 672m2. Chủ hộ :Lê Văn B
Thửa 16 tờ 50, diện tích 528m2, Chủ hộ :Lê Thị X
Tổng diện tích canh tác 1200 m2</t>
  </si>
  <si>
    <t>Nguyễn Văn H</t>
  </si>
  <si>
    <t>Thửa 17 tờ 50, diện tích 672m2, Chủ tài sản Nguyễn Văn H(BBTS 01)</t>
  </si>
  <si>
    <t>Thửa 16 tờ 50, diện tích 528m2, Chủ tài sản Nguyễn Văn H(BBTS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</si>
</sst>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_-* #,##0.00\ _₫_-;\-* #,##0.00\ _₫_-;_-* &quot;-&quot;??\ _₫_-;_-@_-"/>
    <numFmt numFmtId="167" formatCode="_(* #,##0_);_(* \(#,##0\);_(* &quot;-&quot;??_);_(@_)"/>
    <numFmt numFmtId="168" formatCode="0.0"/>
    <numFmt numFmtId="169" formatCode="_(* #,##0.0_);_(* \(#,##0.0\);_(* &quot;-&quot;??_);_(@_)"/>
    <numFmt numFmtId="170" formatCode="_(* #,##0.000_);_(* \(#,##0.000\);_(* &quot;-&quot;??_);_(@_)"/>
    <numFmt numFmtId="171" formatCode="0.0%"/>
    <numFmt numFmtId="172" formatCode="_-* #,##0.0_-;\-* #,##0.0_-;_-* &quot;-&quot;??_-;_-@_-"/>
    <numFmt numFmtId="173" formatCode="#,##0.0"/>
    <numFmt numFmtId="174" formatCode="_-* #,##0.0_-;\-* #,##0.0_-;_-* &quot;-&quot;_-;_-@_-"/>
  </numFmts>
  <fonts count="40">
    <font>
      <sz val="11"/>
      <color theme="1"/>
      <name val="Calibri"/>
      <charset val="134"/>
      <scheme val="minor"/>
    </font>
    <font>
      <sz val="11"/>
      <color theme="1"/>
      <name val="Calibri"/>
      <family val="2"/>
      <scheme val="minor"/>
    </font>
    <font>
      <sz val="9"/>
      <color theme="1"/>
      <name val="Times New Roman"/>
      <family val="1"/>
    </font>
    <font>
      <sz val="11"/>
      <color theme="1"/>
      <name val="Times New Roman"/>
      <family val="1"/>
    </font>
    <font>
      <sz val="8"/>
      <color theme="1"/>
      <name val="Times New Roman"/>
      <family val="1"/>
    </font>
    <font>
      <b/>
      <sz val="11"/>
      <color theme="1"/>
      <name val="Times New Roman"/>
      <family val="1"/>
    </font>
    <font>
      <b/>
      <sz val="9"/>
      <color theme="1"/>
      <name val="Times New Roman"/>
      <family val="1"/>
    </font>
    <font>
      <b/>
      <sz val="10"/>
      <color theme="1"/>
      <name val="Times New Roman"/>
      <family val="1"/>
    </font>
    <font>
      <sz val="10.5"/>
      <name val="Times New Roman"/>
      <family val="1"/>
    </font>
    <font>
      <sz val="10.5"/>
      <color theme="1"/>
      <name val="Times New Roman"/>
      <family val="1"/>
    </font>
    <font>
      <sz val="10.5"/>
      <color rgb="FFFF0000"/>
      <name val="Times New Roman"/>
      <family val="1"/>
    </font>
    <font>
      <sz val="8"/>
      <name val="Times New Roman"/>
      <family val="1"/>
    </font>
    <font>
      <sz val="9"/>
      <name val="Times New Roman"/>
      <family val="1"/>
    </font>
    <font>
      <sz val="11"/>
      <name val="Times New Roman"/>
      <family val="1"/>
    </font>
    <font>
      <sz val="9.5"/>
      <color theme="1"/>
      <name val="Times New Roman"/>
      <family val="1"/>
    </font>
    <font>
      <b/>
      <sz val="11"/>
      <name val="Times New Roman"/>
      <family val="1"/>
    </font>
    <font>
      <b/>
      <sz val="9.5"/>
      <color theme="1"/>
      <name val="Times New Roman"/>
      <family val="1"/>
    </font>
    <font>
      <b/>
      <sz val="8"/>
      <color theme="1"/>
      <name val="Times New Roman"/>
      <family val="1"/>
    </font>
    <font>
      <b/>
      <sz val="10.5"/>
      <color theme="1"/>
      <name val="Times New Roman"/>
      <family val="1"/>
    </font>
    <font>
      <b/>
      <sz val="9"/>
      <name val="Times New Roman"/>
      <family val="1"/>
    </font>
    <font>
      <b/>
      <sz val="10.5"/>
      <name val="Times New Roman"/>
      <family val="1"/>
    </font>
    <font>
      <b/>
      <sz val="16"/>
      <color theme="1"/>
      <name val="Times New Roman"/>
      <family val="1"/>
    </font>
    <font>
      <sz val="11"/>
      <color theme="1"/>
      <name val="Calibri"/>
      <family val="2"/>
      <scheme val="minor"/>
    </font>
    <font>
      <sz val="10"/>
      <name val="Arial"/>
      <family val="2"/>
    </font>
    <font>
      <sz val="11"/>
      <color theme="1"/>
      <name val="Calibri"/>
      <family val="2"/>
      <scheme val="minor"/>
    </font>
    <font>
      <sz val="10"/>
      <name val="Arial"/>
      <family val="2"/>
    </font>
    <font>
      <b/>
      <sz val="9"/>
      <name val="Tahoma"/>
      <family val="2"/>
    </font>
    <font>
      <sz val="9"/>
      <name val="Tahoma"/>
      <family val="2"/>
    </font>
    <font>
      <b/>
      <sz val="9"/>
      <color indexed="8"/>
      <name val="Times New Roman"/>
      <family val="1"/>
    </font>
    <font>
      <sz val="10.5"/>
      <color indexed="8"/>
      <name val="Times New Roman"/>
      <family val="1"/>
    </font>
    <font>
      <b/>
      <sz val="9"/>
      <color indexed="81"/>
      <name val="Tahoma"/>
      <family val="2"/>
    </font>
    <font>
      <sz val="9"/>
      <color indexed="81"/>
      <name val="Tahoma"/>
      <family val="2"/>
    </font>
    <font>
      <b/>
      <sz val="14"/>
      <name val="Times New Roman"/>
      <family val="1"/>
    </font>
    <font>
      <b/>
      <i/>
      <sz val="14"/>
      <name val="Times New Roman"/>
      <family val="1"/>
    </font>
    <font>
      <b/>
      <sz val="14"/>
      <color theme="1"/>
      <name val="Times New Roman"/>
      <family val="1"/>
    </font>
    <font>
      <sz val="14"/>
      <name val="Times New Roman"/>
      <family val="1"/>
    </font>
    <font>
      <sz val="14"/>
      <color theme="1"/>
      <name val="Times New Roman"/>
      <family val="1"/>
    </font>
    <font>
      <sz val="11"/>
      <color theme="1"/>
      <name val="Calibri"/>
      <family val="2"/>
      <scheme val="minor"/>
    </font>
    <font>
      <b/>
      <sz val="14"/>
      <color rgb="FFFF0000"/>
      <name val="Times New Roman"/>
      <family val="1"/>
    </font>
    <font>
      <sz val="14"/>
      <color rgb="FFFF0000"/>
      <name val="Times New Roman"/>
      <family val="1"/>
    </font>
  </fonts>
  <fills count="17">
    <fill>
      <patternFill patternType="none"/>
    </fill>
    <fill>
      <patternFill patternType="gray125"/>
    </fill>
    <fill>
      <patternFill patternType="solid">
        <fgColor theme="4" tint="0.79995117038483843"/>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79995117038483843"/>
        <bgColor indexed="64"/>
      </patternFill>
    </fill>
    <fill>
      <patternFill patternType="solid">
        <fgColor rgb="FFFFC000"/>
        <bgColor indexed="64"/>
      </patternFill>
    </fill>
    <fill>
      <patternFill patternType="solid">
        <fgColor theme="9" tint="0.39994506668294322"/>
        <bgColor indexed="64"/>
      </patternFill>
    </fill>
    <fill>
      <patternFill patternType="solid">
        <fgColor theme="9" tint="0.79995117038483843"/>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rgb="FFFF0000"/>
        <bgColor indexed="64"/>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style="thin">
        <color auto="1"/>
      </right>
      <top/>
      <bottom style="hair">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5">
    <xf numFmtId="0" fontId="0" fillId="0" borderId="0"/>
    <xf numFmtId="43" fontId="22" fillId="0" borderId="0" applyFont="0" applyFill="0" applyBorder="0" applyAlignment="0" applyProtection="0"/>
    <xf numFmtId="9" fontId="22" fillId="0" borderId="0" applyFont="0" applyFill="0" applyBorder="0" applyAlignment="0" applyProtection="0"/>
    <xf numFmtId="43" fontId="23" fillId="0" borderId="0" applyFont="0" applyFill="0" applyBorder="0" applyAlignment="0" applyProtection="0"/>
    <xf numFmtId="43" fontId="22" fillId="0" borderId="0" applyFont="0" applyFill="0" applyBorder="0" applyAlignment="0" applyProtection="0"/>
    <xf numFmtId="165" fontId="24" fillId="0" borderId="0" applyFont="0" applyFill="0" applyBorder="0" applyAlignment="0" applyProtection="0"/>
    <xf numFmtId="43" fontId="25" fillId="0" borderId="0" applyFont="0" applyFill="0" applyBorder="0" applyAlignment="0" applyProtection="0"/>
    <xf numFmtId="166" fontId="24" fillId="0" borderId="0" applyFont="0" applyFill="0" applyBorder="0" applyAlignment="0" applyProtection="0"/>
    <xf numFmtId="0" fontId="23" fillId="0" borderId="0"/>
    <xf numFmtId="0" fontId="23" fillId="0" borderId="0"/>
    <xf numFmtId="0" fontId="25" fillId="0" borderId="0"/>
    <xf numFmtId="0" fontId="22" fillId="0" borderId="0"/>
    <xf numFmtId="0" fontId="25" fillId="0" borderId="0"/>
    <xf numFmtId="0" fontId="22" fillId="0" borderId="0"/>
    <xf numFmtId="0" fontId="22" fillId="0" borderId="0"/>
    <xf numFmtId="0" fontId="24" fillId="0" borderId="0"/>
    <xf numFmtId="0" fontId="23" fillId="0" borderId="0"/>
    <xf numFmtId="0" fontId="22" fillId="0" borderId="0"/>
    <xf numFmtId="9" fontId="23" fillId="0" borderId="0" applyFont="0" applyFill="0" applyBorder="0" applyAlignment="0" applyProtection="0"/>
    <xf numFmtId="9" fontId="23" fillId="0" borderId="0" applyFont="0" applyFill="0" applyBorder="0" applyAlignment="0" applyProtection="0"/>
    <xf numFmtId="9" fontId="24"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64" fontId="37" fillId="0" borderId="0" applyFont="0" applyFill="0" applyBorder="0" applyAlignment="0" applyProtection="0"/>
  </cellStyleXfs>
  <cellXfs count="689">
    <xf numFmtId="0" fontId="0" fillId="0" borderId="0" xfId="0"/>
    <xf numFmtId="0" fontId="2" fillId="0" borderId="0" xfId="0" applyFont="1" applyAlignment="1">
      <alignment vertical="center"/>
    </xf>
    <xf numFmtId="9" fontId="3" fillId="0" borderId="0" xfId="2"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167" fontId="3" fillId="0" borderId="0" xfId="1" applyNumberFormat="1" applyFont="1" applyAlignment="1">
      <alignment vertical="center"/>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167" fontId="6" fillId="2" borderId="2" xfId="1" applyNumberFormat="1" applyFont="1" applyFill="1" applyBorder="1" applyAlignment="1">
      <alignment horizontal="center" vertical="center" wrapText="1"/>
    </xf>
    <xf numFmtId="9" fontId="6" fillId="2" borderId="2" xfId="2"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167" fontId="7" fillId="3" borderId="2" xfId="1" applyNumberFormat="1" applyFont="1" applyFill="1" applyBorder="1" applyAlignment="1">
      <alignment horizontal="center" vertical="center"/>
    </xf>
    <xf numFmtId="9" fontId="7" fillId="3" borderId="2" xfId="2" applyFont="1" applyFill="1"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left" vertical="center" wrapText="1"/>
    </xf>
    <xf numFmtId="49" fontId="8" fillId="4" borderId="2" xfId="0" applyNumberFormat="1" applyFont="1" applyFill="1" applyBorder="1" applyAlignment="1">
      <alignment horizontal="left" vertical="center" wrapText="1"/>
    </xf>
    <xf numFmtId="49" fontId="8" fillId="4" borderId="2" xfId="0" applyNumberFormat="1" applyFont="1" applyFill="1" applyBorder="1" applyAlignment="1">
      <alignment vertical="center" wrapText="1"/>
    </xf>
    <xf numFmtId="0" fontId="9" fillId="0" borderId="2" xfId="0" applyFont="1" applyBorder="1" applyAlignment="1">
      <alignment horizontal="center" vertical="center"/>
    </xf>
    <xf numFmtId="167" fontId="9" fillId="0" borderId="2" xfId="1" applyNumberFormat="1" applyFont="1" applyBorder="1" applyAlignment="1">
      <alignment vertical="center"/>
    </xf>
    <xf numFmtId="9" fontId="9" fillId="0" borderId="2" xfId="2" applyFont="1" applyBorder="1" applyAlignment="1">
      <alignment horizontal="center" vertical="center"/>
    </xf>
    <xf numFmtId="0" fontId="2" fillId="4" borderId="2" xfId="0" applyFont="1" applyFill="1" applyBorder="1" applyAlignment="1">
      <alignment horizontal="center" vertical="center"/>
    </xf>
    <xf numFmtId="0" fontId="4" fillId="4" borderId="2" xfId="0" applyFont="1" applyFill="1" applyBorder="1" applyAlignment="1">
      <alignment horizontal="left" vertical="center" wrapText="1"/>
    </xf>
    <xf numFmtId="0" fontId="9" fillId="4" borderId="2" xfId="0" applyFont="1" applyFill="1" applyBorder="1" applyAlignment="1">
      <alignment horizontal="center" vertical="center"/>
    </xf>
    <xf numFmtId="167" fontId="9" fillId="4" borderId="2" xfId="1" applyNumberFormat="1" applyFont="1" applyFill="1" applyBorder="1" applyAlignment="1">
      <alignment vertical="center"/>
    </xf>
    <xf numFmtId="9" fontId="9" fillId="4" borderId="2" xfId="2" applyFont="1" applyFill="1" applyBorder="1" applyAlignment="1">
      <alignment horizontal="center" vertical="center"/>
    </xf>
    <xf numFmtId="167" fontId="10" fillId="4" borderId="2" xfId="1" applyNumberFormat="1" applyFont="1" applyFill="1" applyBorder="1" applyAlignment="1">
      <alignment vertical="center"/>
    </xf>
    <xf numFmtId="167" fontId="10" fillId="0" borderId="2" xfId="1" applyNumberFormat="1" applyFont="1" applyBorder="1" applyAlignment="1">
      <alignment vertical="center"/>
    </xf>
    <xf numFmtId="0" fontId="7" fillId="3" borderId="2" xfId="0" applyFont="1" applyFill="1" applyBorder="1" applyAlignment="1">
      <alignment horizontal="left" vertical="center"/>
    </xf>
    <xf numFmtId="0" fontId="11" fillId="0" borderId="2" xfId="0" applyFont="1" applyBorder="1" applyAlignment="1">
      <alignment horizontal="left" vertical="center" wrapText="1"/>
    </xf>
    <xf numFmtId="0" fontId="12" fillId="0" borderId="2" xfId="0" applyFont="1" applyBorder="1" applyAlignment="1">
      <alignment horizontal="center" vertical="center"/>
    </xf>
    <xf numFmtId="0" fontId="8" fillId="0" borderId="2" xfId="0" applyFont="1" applyBorder="1" applyAlignment="1">
      <alignment horizontal="center" vertical="center"/>
    </xf>
    <xf numFmtId="3" fontId="3" fillId="4" borderId="2" xfId="8" applyNumberFormat="1" applyFont="1" applyFill="1" applyBorder="1" applyAlignment="1">
      <alignment vertical="center"/>
    </xf>
    <xf numFmtId="9" fontId="3" fillId="4" borderId="2" xfId="18" applyFont="1" applyFill="1" applyBorder="1" applyAlignment="1">
      <alignment horizontal="center" vertical="center"/>
    </xf>
    <xf numFmtId="3" fontId="3" fillId="0" borderId="2" xfId="8" applyNumberFormat="1" applyFont="1" applyBorder="1" applyAlignment="1">
      <alignment vertical="center"/>
    </xf>
    <xf numFmtId="9" fontId="3" fillId="0" borderId="2" xfId="18" applyFont="1" applyFill="1" applyBorder="1" applyAlignment="1">
      <alignment horizontal="center" vertical="center"/>
    </xf>
    <xf numFmtId="9" fontId="13" fillId="0" borderId="2" xfId="18" applyFont="1" applyFill="1" applyBorder="1" applyAlignment="1">
      <alignment vertical="center"/>
    </xf>
    <xf numFmtId="3" fontId="13" fillId="4" borderId="2" xfId="8" applyNumberFormat="1" applyFont="1" applyFill="1" applyBorder="1" applyAlignment="1">
      <alignment vertical="center"/>
    </xf>
    <xf numFmtId="0" fontId="9" fillId="0" borderId="0" xfId="0" applyFont="1" applyAlignment="1">
      <alignment vertical="center"/>
    </xf>
    <xf numFmtId="49" fontId="8" fillId="4" borderId="0" xfId="0" applyNumberFormat="1" applyFont="1" applyFill="1" applyAlignment="1">
      <alignment vertical="center" wrapText="1"/>
    </xf>
    <xf numFmtId="0" fontId="9" fillId="0" borderId="0" xfId="0" applyFont="1" applyAlignment="1">
      <alignment horizontal="center" vertical="center"/>
    </xf>
    <xf numFmtId="167" fontId="9" fillId="0" borderId="0" xfId="1" applyNumberFormat="1" applyFont="1" applyBorder="1" applyAlignment="1">
      <alignment vertical="center"/>
    </xf>
    <xf numFmtId="9" fontId="9" fillId="0" borderId="0" xfId="2" applyFont="1" applyAlignment="1">
      <alignment horizontal="center" vertical="center"/>
    </xf>
    <xf numFmtId="49" fontId="13" fillId="4" borderId="0" xfId="0" applyNumberFormat="1" applyFont="1" applyFill="1" applyAlignment="1">
      <alignment vertical="center" wrapText="1"/>
    </xf>
    <xf numFmtId="167" fontId="3" fillId="0" borderId="0" xfId="1" applyNumberFormat="1" applyFont="1" applyBorder="1" applyAlignment="1">
      <alignment vertical="center"/>
    </xf>
    <xf numFmtId="0" fontId="14" fillId="0" borderId="0" xfId="0" applyFont="1" applyAlignment="1">
      <alignment vertical="center"/>
    </xf>
    <xf numFmtId="0" fontId="7"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5" fillId="0" borderId="0" xfId="0" applyFont="1" applyAlignment="1">
      <alignment vertical="center"/>
    </xf>
    <xf numFmtId="0" fontId="3" fillId="5" borderId="0" xfId="0" applyFont="1" applyFill="1" applyAlignment="1">
      <alignment vertical="center"/>
    </xf>
    <xf numFmtId="0" fontId="5" fillId="6" borderId="0" xfId="0" applyFont="1" applyFill="1" applyAlignment="1">
      <alignment vertical="center"/>
    </xf>
    <xf numFmtId="0" fontId="3" fillId="0" borderId="2" xfId="0" applyFont="1" applyBorder="1" applyAlignment="1">
      <alignment vertical="center"/>
    </xf>
    <xf numFmtId="0" fontId="3" fillId="7" borderId="0" xfId="0" applyFont="1" applyFill="1" applyAlignment="1">
      <alignment vertical="center"/>
    </xf>
    <xf numFmtId="0" fontId="4" fillId="0" borderId="0" xfId="0" applyFont="1" applyAlignment="1">
      <alignment horizontal="center" vertical="center"/>
    </xf>
    <xf numFmtId="167" fontId="3" fillId="0" borderId="0" xfId="1" applyNumberFormat="1" applyFont="1" applyAlignment="1">
      <alignment horizontal="center" vertical="center"/>
    </xf>
    <xf numFmtId="0" fontId="16" fillId="2" borderId="2" xfId="0" applyFont="1" applyFill="1" applyBorder="1" applyAlignment="1">
      <alignment horizontal="center" vertical="center" wrapText="1"/>
    </xf>
    <xf numFmtId="0" fontId="16" fillId="2" borderId="2" xfId="0" applyFont="1" applyFill="1" applyBorder="1" applyAlignment="1">
      <alignment horizontal="center" vertical="center"/>
    </xf>
    <xf numFmtId="167" fontId="16" fillId="2" borderId="2" xfId="1" applyNumberFormat="1" applyFont="1" applyFill="1" applyBorder="1" applyAlignment="1">
      <alignment horizontal="center" vertical="center"/>
    </xf>
    <xf numFmtId="9" fontId="16" fillId="2" borderId="2" xfId="2" applyFont="1" applyFill="1" applyBorder="1" applyAlignment="1">
      <alignment horizontal="center" vertical="center" wrapText="1"/>
    </xf>
    <xf numFmtId="167" fontId="16" fillId="2" borderId="2" xfId="1" applyNumberFormat="1" applyFont="1" applyFill="1" applyBorder="1" applyAlignment="1">
      <alignment horizontal="center" vertical="center" wrapText="1"/>
    </xf>
    <xf numFmtId="0" fontId="6" fillId="8" borderId="2" xfId="0" applyFont="1" applyFill="1" applyBorder="1" applyAlignment="1">
      <alignment horizontal="center" vertical="center"/>
    </xf>
    <xf numFmtId="0" fontId="17" fillId="8" borderId="2" xfId="0" applyFont="1" applyFill="1" applyBorder="1" applyAlignment="1">
      <alignment horizontal="center" vertical="center"/>
    </xf>
    <xf numFmtId="0" fontId="18" fillId="8" borderId="2" xfId="0" applyFont="1" applyFill="1" applyBorder="1" applyAlignment="1">
      <alignment horizontal="left" vertical="center"/>
    </xf>
    <xf numFmtId="0" fontId="18" fillId="8" borderId="2" xfId="0" applyFont="1" applyFill="1" applyBorder="1" applyAlignment="1">
      <alignment horizontal="center" vertical="center"/>
    </xf>
    <xf numFmtId="0" fontId="18" fillId="8" borderId="2" xfId="0" applyFont="1" applyFill="1" applyBorder="1" applyAlignment="1">
      <alignment horizontal="center" vertical="center" wrapText="1"/>
    </xf>
    <xf numFmtId="167" fontId="18" fillId="8" borderId="2" xfId="1" applyNumberFormat="1" applyFont="1" applyFill="1" applyBorder="1" applyAlignment="1">
      <alignment horizontal="center" vertical="center"/>
    </xf>
    <xf numFmtId="9" fontId="18" fillId="8" borderId="2" xfId="2" applyFont="1" applyFill="1" applyBorder="1" applyAlignment="1">
      <alignment horizontal="center" vertical="center"/>
    </xf>
    <xf numFmtId="0" fontId="2" fillId="0" borderId="3" xfId="0" applyFont="1" applyBorder="1" applyAlignment="1">
      <alignment horizontal="center" vertical="center"/>
    </xf>
    <xf numFmtId="0" fontId="4" fillId="0" borderId="3" xfId="0" applyFont="1" applyBorder="1" applyAlignment="1">
      <alignment horizontal="left" vertical="center"/>
    </xf>
    <xf numFmtId="49" fontId="8" fillId="4" borderId="3" xfId="0" applyNumberFormat="1" applyFont="1" applyFill="1" applyBorder="1" applyAlignment="1">
      <alignment horizontal="left" vertical="center" wrapText="1"/>
    </xf>
    <xf numFmtId="49" fontId="8" fillId="4" borderId="3" xfId="0" applyNumberFormat="1" applyFont="1" applyFill="1" applyBorder="1" applyAlignment="1">
      <alignment vertical="center" wrapText="1"/>
    </xf>
    <xf numFmtId="0" fontId="9" fillId="0" borderId="3" xfId="0" applyFont="1" applyBorder="1" applyAlignment="1">
      <alignment horizontal="center" vertical="center"/>
    </xf>
    <xf numFmtId="167" fontId="9" fillId="0" borderId="3" xfId="1" applyNumberFormat="1" applyFont="1" applyBorder="1" applyAlignment="1">
      <alignment vertical="center"/>
    </xf>
    <xf numFmtId="9" fontId="9" fillId="0" borderId="3" xfId="2" applyFont="1" applyBorder="1" applyAlignment="1">
      <alignment horizontal="center" vertical="center"/>
    </xf>
    <xf numFmtId="167" fontId="9" fillId="0" borderId="3" xfId="1" applyNumberFormat="1" applyFont="1" applyBorder="1" applyAlignment="1">
      <alignment horizontal="center" vertical="center"/>
    </xf>
    <xf numFmtId="0" fontId="2" fillId="0" borderId="4" xfId="0" applyFont="1" applyBorder="1" applyAlignment="1">
      <alignment horizontal="center" vertical="center"/>
    </xf>
    <xf numFmtId="0" fontId="4" fillId="0" borderId="4" xfId="0" applyFont="1" applyBorder="1" applyAlignment="1">
      <alignment horizontal="left" vertical="center"/>
    </xf>
    <xf numFmtId="49" fontId="8" fillId="4" borderId="4" xfId="0" applyNumberFormat="1" applyFont="1" applyFill="1" applyBorder="1" applyAlignment="1">
      <alignment horizontal="left" vertical="center" wrapText="1"/>
    </xf>
    <xf numFmtId="49" fontId="8" fillId="4" borderId="4" xfId="0" applyNumberFormat="1" applyFont="1" applyFill="1" applyBorder="1" applyAlignment="1">
      <alignment vertical="center" wrapText="1"/>
    </xf>
    <xf numFmtId="0" fontId="9" fillId="0" borderId="4" xfId="0" applyFont="1" applyBorder="1" applyAlignment="1">
      <alignment horizontal="center" vertical="center"/>
    </xf>
    <xf numFmtId="167" fontId="9" fillId="0" borderId="4" xfId="1" applyNumberFormat="1" applyFont="1" applyBorder="1" applyAlignment="1">
      <alignment vertical="center"/>
    </xf>
    <xf numFmtId="167" fontId="9" fillId="0" borderId="4" xfId="1" applyNumberFormat="1" applyFont="1" applyBorder="1" applyAlignment="1">
      <alignment horizontal="center" vertical="center"/>
    </xf>
    <xf numFmtId="0" fontId="2" fillId="0" borderId="5" xfId="0" applyFont="1" applyBorder="1" applyAlignment="1">
      <alignment horizontal="center" vertical="center"/>
    </xf>
    <xf numFmtId="0" fontId="4" fillId="0" borderId="5" xfId="0" applyFont="1" applyBorder="1" applyAlignment="1">
      <alignment horizontal="left" vertical="center"/>
    </xf>
    <xf numFmtId="49" fontId="8" fillId="4" borderId="5" xfId="0" applyNumberFormat="1" applyFont="1" applyFill="1" applyBorder="1" applyAlignment="1">
      <alignment horizontal="left" vertical="center" wrapText="1"/>
    </xf>
    <xf numFmtId="49" fontId="8" fillId="4" borderId="5" xfId="0" applyNumberFormat="1" applyFont="1" applyFill="1" applyBorder="1" applyAlignment="1">
      <alignment vertical="center" wrapText="1"/>
    </xf>
    <xf numFmtId="0" fontId="9" fillId="0" borderId="5" xfId="0" applyFont="1" applyBorder="1" applyAlignment="1">
      <alignment horizontal="center" vertical="center"/>
    </xf>
    <xf numFmtId="167" fontId="9" fillId="0" borderId="5" xfId="1" applyNumberFormat="1" applyFont="1" applyBorder="1" applyAlignment="1">
      <alignment vertical="center"/>
    </xf>
    <xf numFmtId="167" fontId="9" fillId="0" borderId="5" xfId="1" applyNumberFormat="1" applyFont="1" applyBorder="1" applyAlignment="1">
      <alignment horizontal="center" vertical="center"/>
    </xf>
    <xf numFmtId="0" fontId="12" fillId="0" borderId="3" xfId="0" applyFont="1" applyBorder="1" applyAlignment="1">
      <alignment horizontal="center" vertical="center"/>
    </xf>
    <xf numFmtId="0" fontId="11" fillId="0" borderId="3" xfId="0" applyFont="1" applyBorder="1" applyAlignment="1">
      <alignment horizontal="left" vertical="center"/>
    </xf>
    <xf numFmtId="0" fontId="8" fillId="0" borderId="3" xfId="0" applyFont="1" applyBorder="1" applyAlignment="1">
      <alignment horizontal="center" vertical="center"/>
    </xf>
    <xf numFmtId="9" fontId="8" fillId="0" borderId="3" xfId="2" applyFont="1" applyBorder="1" applyAlignment="1">
      <alignment horizontal="center" vertical="center"/>
    </xf>
    <xf numFmtId="0" fontId="12" fillId="0" borderId="4" xfId="0" applyFont="1" applyBorder="1" applyAlignment="1">
      <alignment horizontal="center" vertical="center"/>
    </xf>
    <xf numFmtId="0" fontId="11" fillId="0" borderId="4" xfId="0" applyFont="1" applyBorder="1" applyAlignment="1">
      <alignment horizontal="left" vertical="center"/>
    </xf>
    <xf numFmtId="0" fontId="8" fillId="0" borderId="4" xfId="0" applyFont="1" applyBorder="1" applyAlignment="1">
      <alignment horizontal="center" vertical="center"/>
    </xf>
    <xf numFmtId="167" fontId="8" fillId="0" borderId="4" xfId="1" applyNumberFormat="1" applyFont="1" applyBorder="1" applyAlignment="1">
      <alignment horizontal="center" vertical="center"/>
    </xf>
    <xf numFmtId="0" fontId="19" fillId="0" borderId="5" xfId="0" applyFont="1" applyBorder="1" applyAlignment="1">
      <alignment horizontal="center" vertical="center"/>
    </xf>
    <xf numFmtId="0" fontId="11" fillId="0" borderId="5" xfId="0" applyFont="1" applyBorder="1" applyAlignment="1">
      <alignment horizontal="left" vertical="center"/>
    </xf>
    <xf numFmtId="0" fontId="8" fillId="0" borderId="5" xfId="0" applyFont="1" applyBorder="1" applyAlignment="1">
      <alignment horizontal="center" vertical="center"/>
    </xf>
    <xf numFmtId="167" fontId="8" fillId="0" borderId="5" xfId="1" applyNumberFormat="1" applyFont="1" applyBorder="1" applyAlignment="1">
      <alignment horizontal="center" vertical="center"/>
    </xf>
    <xf numFmtId="167" fontId="8" fillId="0" borderId="4" xfId="1" applyNumberFormat="1" applyFont="1" applyBorder="1" applyAlignment="1">
      <alignment vertical="center"/>
    </xf>
    <xf numFmtId="9" fontId="8" fillId="0" borderId="4" xfId="2" applyFont="1" applyBorder="1" applyAlignment="1">
      <alignment horizontal="center" vertical="center"/>
    </xf>
    <xf numFmtId="0" fontId="17" fillId="8" borderId="2" xfId="0" applyFont="1" applyFill="1" applyBorder="1" applyAlignment="1">
      <alignment horizontal="left" vertical="center"/>
    </xf>
    <xf numFmtId="49" fontId="20" fillId="8" borderId="2" xfId="0" applyNumberFormat="1" applyFont="1" applyFill="1" applyBorder="1" applyAlignment="1">
      <alignment horizontal="left" vertical="center" wrapText="1"/>
    </xf>
    <xf numFmtId="49" fontId="20" fillId="8" borderId="2" xfId="0" applyNumberFormat="1" applyFont="1" applyFill="1" applyBorder="1" applyAlignment="1">
      <alignment vertical="center" wrapText="1"/>
    </xf>
    <xf numFmtId="167" fontId="18" fillId="8" borderId="2" xfId="1" applyNumberFormat="1" applyFont="1" applyFill="1" applyBorder="1" applyAlignment="1">
      <alignment vertical="center"/>
    </xf>
    <xf numFmtId="9" fontId="9" fillId="0" borderId="4" xfId="2" applyFont="1" applyBorder="1" applyAlignment="1">
      <alignment horizontal="center" vertical="center"/>
    </xf>
    <xf numFmtId="9" fontId="9" fillId="0" borderId="5" xfId="2" applyFont="1" applyBorder="1" applyAlignment="1">
      <alignment horizontal="center" vertical="center"/>
    </xf>
    <xf numFmtId="167" fontId="10" fillId="4" borderId="4" xfId="1" applyNumberFormat="1" applyFont="1" applyFill="1" applyBorder="1" applyAlignment="1">
      <alignment vertical="center"/>
    </xf>
    <xf numFmtId="167" fontId="10" fillId="4" borderId="6" xfId="1" applyNumberFormat="1" applyFont="1" applyFill="1" applyBorder="1" applyAlignment="1">
      <alignment vertical="center"/>
    </xf>
    <xf numFmtId="167" fontId="10" fillId="9" borderId="4" xfId="1" applyNumberFormat="1" applyFont="1" applyFill="1" applyBorder="1" applyAlignment="1">
      <alignment vertical="center"/>
    </xf>
    <xf numFmtId="0" fontId="6" fillId="0" borderId="2" xfId="0" applyFont="1" applyBorder="1" applyAlignment="1">
      <alignment horizontal="center" vertical="center"/>
    </xf>
    <xf numFmtId="0" fontId="17" fillId="0" borderId="2" xfId="0" applyFont="1" applyBorder="1" applyAlignment="1">
      <alignment horizontal="left" vertical="center"/>
    </xf>
    <xf numFmtId="49" fontId="20" fillId="4" borderId="2" xfId="0" applyNumberFormat="1" applyFont="1" applyFill="1" applyBorder="1" applyAlignment="1">
      <alignment horizontal="left" vertical="center" wrapText="1"/>
    </xf>
    <xf numFmtId="49" fontId="20" fillId="4" borderId="2" xfId="0" applyNumberFormat="1" applyFont="1" applyFill="1" applyBorder="1" applyAlignment="1">
      <alignment vertical="center" wrapText="1"/>
    </xf>
    <xf numFmtId="0" fontId="18" fillId="0" borderId="2" xfId="0" applyFont="1" applyBorder="1" applyAlignment="1">
      <alignment horizontal="center" vertical="center"/>
    </xf>
    <xf numFmtId="167" fontId="18" fillId="0" borderId="2" xfId="1" applyNumberFormat="1" applyFont="1" applyBorder="1" applyAlignment="1">
      <alignment vertical="center"/>
    </xf>
    <xf numFmtId="9" fontId="18" fillId="0" borderId="2" xfId="2" applyFont="1" applyBorder="1" applyAlignment="1">
      <alignment horizontal="center" vertical="center"/>
    </xf>
    <xf numFmtId="167" fontId="18" fillId="0" borderId="2" xfId="1" applyNumberFormat="1" applyFont="1" applyBorder="1" applyAlignment="1">
      <alignment horizontal="center" vertical="center"/>
    </xf>
    <xf numFmtId="0" fontId="9" fillId="0" borderId="3" xfId="0" applyFont="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167" fontId="10" fillId="8" borderId="3" xfId="1" applyNumberFormat="1" applyFont="1" applyFill="1" applyBorder="1" applyAlignment="1">
      <alignment vertical="center"/>
    </xf>
    <xf numFmtId="167" fontId="10" fillId="8" borderId="4" xfId="1" applyNumberFormat="1" applyFont="1" applyFill="1" applyBorder="1" applyAlignment="1">
      <alignment vertical="center"/>
    </xf>
    <xf numFmtId="0" fontId="2" fillId="0" borderId="6" xfId="0" applyFont="1" applyBorder="1" applyAlignment="1">
      <alignment horizontal="center" vertical="center"/>
    </xf>
    <xf numFmtId="0" fontId="4" fillId="0" borderId="6" xfId="0" applyFont="1" applyBorder="1" applyAlignment="1">
      <alignment horizontal="left" vertical="center"/>
    </xf>
    <xf numFmtId="0" fontId="9" fillId="0" borderId="6" xfId="0" applyFont="1" applyBorder="1" applyAlignment="1">
      <alignment vertical="center"/>
    </xf>
    <xf numFmtId="49" fontId="8" fillId="4" borderId="6" xfId="0" applyNumberFormat="1" applyFont="1" applyFill="1" applyBorder="1" applyAlignment="1">
      <alignment vertical="center" wrapText="1"/>
    </xf>
    <xf numFmtId="0" fontId="9" fillId="0" borderId="6" xfId="0" applyFont="1" applyBorder="1" applyAlignment="1">
      <alignment horizontal="center" vertical="center"/>
    </xf>
    <xf numFmtId="167" fontId="10" fillId="8" borderId="6" xfId="1" applyNumberFormat="1" applyFont="1" applyFill="1" applyBorder="1" applyAlignment="1">
      <alignment vertical="center"/>
    </xf>
    <xf numFmtId="9" fontId="9" fillId="0" borderId="6" xfId="2" applyFont="1" applyBorder="1" applyAlignment="1">
      <alignment horizontal="center" vertical="center"/>
    </xf>
    <xf numFmtId="167" fontId="9" fillId="0" borderId="6" xfId="1" applyNumberFormat="1" applyFont="1" applyBorder="1" applyAlignment="1">
      <alignment horizontal="center" vertical="center"/>
    </xf>
    <xf numFmtId="0" fontId="9" fillId="0" borderId="3" xfId="0" applyFont="1" applyBorder="1" applyAlignment="1">
      <alignment vertical="center" wrapText="1"/>
    </xf>
    <xf numFmtId="0" fontId="2" fillId="0" borderId="7" xfId="0" applyFont="1" applyBorder="1" applyAlignment="1">
      <alignment horizontal="center" vertical="center"/>
    </xf>
    <xf numFmtId="0" fontId="4" fillId="0" borderId="7" xfId="0" applyFont="1" applyBorder="1" applyAlignment="1">
      <alignment horizontal="left" vertical="center"/>
    </xf>
    <xf numFmtId="0" fontId="9" fillId="0" borderId="7" xfId="0" applyFont="1" applyBorder="1" applyAlignment="1">
      <alignment horizontal="center" vertical="center"/>
    </xf>
    <xf numFmtId="167" fontId="9" fillId="7" borderId="7" xfId="1" applyNumberFormat="1" applyFont="1" applyFill="1" applyBorder="1" applyAlignment="1">
      <alignment vertical="center"/>
    </xf>
    <xf numFmtId="167" fontId="9" fillId="0" borderId="7" xfId="1" applyNumberFormat="1" applyFont="1" applyBorder="1" applyAlignment="1">
      <alignment horizontal="center" vertical="center"/>
    </xf>
    <xf numFmtId="167" fontId="10" fillId="4" borderId="7" xfId="1" applyNumberFormat="1" applyFont="1" applyFill="1" applyBorder="1" applyAlignment="1">
      <alignment vertical="center"/>
    </xf>
    <xf numFmtId="0" fontId="2" fillId="0" borderId="8" xfId="0" applyFont="1" applyBorder="1" applyAlignment="1">
      <alignment horizontal="center" vertical="center"/>
    </xf>
    <xf numFmtId="0" fontId="4" fillId="0" borderId="8" xfId="0" applyFont="1" applyBorder="1" applyAlignment="1">
      <alignment horizontal="left" vertical="center"/>
    </xf>
    <xf numFmtId="49" fontId="8" fillId="4" borderId="8" xfId="0" applyNumberFormat="1" applyFont="1" applyFill="1" applyBorder="1" applyAlignment="1">
      <alignment vertical="center" wrapText="1"/>
    </xf>
    <xf numFmtId="167" fontId="9" fillId="0" borderId="8" xfId="1" applyNumberFormat="1" applyFont="1" applyBorder="1" applyAlignment="1">
      <alignment horizontal="center" vertical="center"/>
    </xf>
    <xf numFmtId="0" fontId="2" fillId="5" borderId="3" xfId="0" applyFont="1" applyFill="1" applyBorder="1" applyAlignment="1">
      <alignment horizontal="center" vertical="center"/>
    </xf>
    <xf numFmtId="0" fontId="4" fillId="5" borderId="3" xfId="0" applyFont="1" applyFill="1" applyBorder="1" applyAlignment="1">
      <alignment horizontal="left" vertical="center"/>
    </xf>
    <xf numFmtId="0" fontId="9" fillId="5" borderId="3" xfId="0" applyFont="1" applyFill="1" applyBorder="1" applyAlignment="1">
      <alignment vertical="center"/>
    </xf>
    <xf numFmtId="49" fontId="8" fillId="5" borderId="3" xfId="0" applyNumberFormat="1" applyFont="1" applyFill="1" applyBorder="1" applyAlignment="1">
      <alignment vertical="center" wrapText="1"/>
    </xf>
    <xf numFmtId="0" fontId="9" fillId="5" borderId="3" xfId="0" applyFont="1" applyFill="1" applyBorder="1" applyAlignment="1">
      <alignment horizontal="center" vertical="center"/>
    </xf>
    <xf numFmtId="167" fontId="9" fillId="5" borderId="3" xfId="1" applyNumberFormat="1" applyFont="1" applyFill="1" applyBorder="1" applyAlignment="1">
      <alignment vertical="center"/>
    </xf>
    <xf numFmtId="9" fontId="9" fillId="5" borderId="3" xfId="2" applyFont="1" applyFill="1" applyBorder="1" applyAlignment="1">
      <alignment horizontal="center" vertical="center"/>
    </xf>
    <xf numFmtId="167" fontId="9" fillId="5" borderId="3" xfId="1" applyNumberFormat="1" applyFont="1" applyFill="1" applyBorder="1" applyAlignment="1">
      <alignment horizontal="center" vertical="center"/>
    </xf>
    <xf numFmtId="0" fontId="2" fillId="5" borderId="4" xfId="0" applyFont="1" applyFill="1" applyBorder="1" applyAlignment="1">
      <alignment horizontal="center" vertical="center"/>
    </xf>
    <xf numFmtId="0" fontId="4" fillId="5" borderId="4" xfId="0" applyFont="1" applyFill="1" applyBorder="1" applyAlignment="1">
      <alignment horizontal="left" vertical="center"/>
    </xf>
    <xf numFmtId="0" fontId="9" fillId="5" borderId="4" xfId="0" applyFont="1" applyFill="1" applyBorder="1" applyAlignment="1">
      <alignment vertical="center"/>
    </xf>
    <xf numFmtId="49" fontId="8" fillId="5" borderId="4" xfId="0" applyNumberFormat="1" applyFont="1" applyFill="1" applyBorder="1" applyAlignment="1">
      <alignment vertical="center" wrapText="1"/>
    </xf>
    <xf numFmtId="0" fontId="9" fillId="5" borderId="4" xfId="0" applyFont="1" applyFill="1" applyBorder="1" applyAlignment="1">
      <alignment horizontal="center" vertical="center"/>
    </xf>
    <xf numFmtId="167" fontId="9" fillId="5" borderId="4" xfId="1" applyNumberFormat="1" applyFont="1" applyFill="1" applyBorder="1" applyAlignment="1">
      <alignment vertical="center"/>
    </xf>
    <xf numFmtId="167" fontId="9" fillId="5" borderId="4" xfId="1" applyNumberFormat="1" applyFont="1" applyFill="1" applyBorder="1" applyAlignment="1">
      <alignment horizontal="center" vertical="center"/>
    </xf>
    <xf numFmtId="0" fontId="2" fillId="5" borderId="5" xfId="0" applyFont="1" applyFill="1" applyBorder="1" applyAlignment="1">
      <alignment horizontal="center" vertical="center"/>
    </xf>
    <xf numFmtId="0" fontId="4" fillId="5" borderId="5" xfId="0" applyFont="1" applyFill="1" applyBorder="1" applyAlignment="1">
      <alignment horizontal="left" vertical="center"/>
    </xf>
    <xf numFmtId="0" fontId="9" fillId="5" borderId="5" xfId="0" applyFont="1" applyFill="1" applyBorder="1" applyAlignment="1">
      <alignment vertical="center"/>
    </xf>
    <xf numFmtId="49" fontId="8" fillId="5" borderId="5" xfId="0" applyNumberFormat="1" applyFont="1" applyFill="1" applyBorder="1" applyAlignment="1">
      <alignment vertical="center" wrapText="1"/>
    </xf>
    <xf numFmtId="0" fontId="9" fillId="5" borderId="5" xfId="0" applyFont="1" applyFill="1" applyBorder="1" applyAlignment="1">
      <alignment horizontal="center" vertical="center"/>
    </xf>
    <xf numFmtId="167" fontId="9" fillId="5" borderId="5" xfId="1" applyNumberFormat="1" applyFont="1" applyFill="1" applyBorder="1" applyAlignment="1">
      <alignment vertical="center"/>
    </xf>
    <xf numFmtId="167" fontId="9" fillId="5" borderId="5" xfId="1" applyNumberFormat="1" applyFont="1" applyFill="1" applyBorder="1" applyAlignment="1">
      <alignment horizontal="center" vertical="center"/>
    </xf>
    <xf numFmtId="9" fontId="9" fillId="5" borderId="4" xfId="2" applyFont="1" applyFill="1" applyBorder="1" applyAlignment="1">
      <alignment horizontal="center" vertical="center"/>
    </xf>
    <xf numFmtId="9" fontId="9" fillId="0" borderId="8" xfId="2" applyFont="1" applyBorder="1" applyAlignment="1">
      <alignment horizontal="center" vertical="center"/>
    </xf>
    <xf numFmtId="0" fontId="6" fillId="6" borderId="2" xfId="0" applyFont="1" applyFill="1" applyBorder="1" applyAlignment="1">
      <alignment horizontal="center" vertical="center"/>
    </xf>
    <xf numFmtId="0" fontId="17" fillId="6" borderId="2" xfId="0" applyFont="1" applyFill="1" applyBorder="1" applyAlignment="1">
      <alignment horizontal="left" vertical="center"/>
    </xf>
    <xf numFmtId="49" fontId="20" fillId="6" borderId="2" xfId="0" applyNumberFormat="1" applyFont="1" applyFill="1" applyBorder="1" applyAlignment="1">
      <alignment horizontal="left" vertical="center" wrapText="1"/>
    </xf>
    <xf numFmtId="49" fontId="20" fillId="6" borderId="2" xfId="0" applyNumberFormat="1" applyFont="1" applyFill="1" applyBorder="1" applyAlignment="1">
      <alignment vertical="center" wrapText="1"/>
    </xf>
    <xf numFmtId="0" fontId="18" fillId="6" borderId="2" xfId="0" applyFont="1" applyFill="1" applyBorder="1" applyAlignment="1">
      <alignment horizontal="center" vertical="center"/>
    </xf>
    <xf numFmtId="167" fontId="18" fillId="6" borderId="2" xfId="1" applyNumberFormat="1" applyFont="1" applyFill="1" applyBorder="1" applyAlignment="1">
      <alignment vertical="center"/>
    </xf>
    <xf numFmtId="9" fontId="18" fillId="6" borderId="2" xfId="2" applyFont="1" applyFill="1" applyBorder="1" applyAlignment="1">
      <alignment horizontal="center" vertical="center"/>
    </xf>
    <xf numFmtId="167" fontId="18" fillId="6" borderId="2" xfId="1" applyNumberFormat="1" applyFont="1" applyFill="1" applyBorder="1" applyAlignment="1">
      <alignment horizontal="center" vertical="center"/>
    </xf>
    <xf numFmtId="0" fontId="4" fillId="0" borderId="2" xfId="0" applyFont="1" applyBorder="1" applyAlignment="1">
      <alignment horizontal="left" vertical="center"/>
    </xf>
    <xf numFmtId="0" fontId="9" fillId="0" borderId="2" xfId="0" applyFont="1" applyBorder="1" applyAlignment="1">
      <alignment vertical="center"/>
    </xf>
    <xf numFmtId="167" fontId="18" fillId="4" borderId="2" xfId="1" applyNumberFormat="1" applyFont="1" applyFill="1" applyBorder="1" applyAlignment="1">
      <alignment horizontal="center" vertical="center"/>
    </xf>
    <xf numFmtId="167" fontId="9" fillId="4" borderId="4" xfId="1" applyNumberFormat="1" applyFont="1" applyFill="1" applyBorder="1" applyAlignment="1">
      <alignment horizontal="center" vertical="center"/>
    </xf>
    <xf numFmtId="167" fontId="9" fillId="4" borderId="5" xfId="1" applyNumberFormat="1" applyFont="1" applyFill="1" applyBorder="1" applyAlignment="1">
      <alignment horizontal="center" vertical="center"/>
    </xf>
    <xf numFmtId="0" fontId="9" fillId="0" borderId="8" xfId="0" applyFont="1" applyBorder="1" applyAlignment="1">
      <alignment vertical="center"/>
    </xf>
    <xf numFmtId="0" fontId="9" fillId="0" borderId="8" xfId="0" applyFont="1" applyBorder="1" applyAlignment="1">
      <alignment horizontal="center" vertical="center"/>
    </xf>
    <xf numFmtId="167" fontId="9" fillId="0" borderId="8" xfId="1" applyNumberFormat="1" applyFont="1" applyFill="1" applyBorder="1" applyAlignment="1">
      <alignment vertical="center"/>
    </xf>
    <xf numFmtId="9" fontId="9" fillId="0" borderId="8" xfId="2" applyFont="1" applyFill="1" applyBorder="1" applyAlignment="1">
      <alignment horizontal="center" vertical="center"/>
    </xf>
    <xf numFmtId="0" fontId="6" fillId="8" borderId="4" xfId="0" applyFont="1" applyFill="1" applyBorder="1" applyAlignment="1">
      <alignment horizontal="center" vertical="center"/>
    </xf>
    <xf numFmtId="0" fontId="17" fillId="8" borderId="4" xfId="0" applyFont="1" applyFill="1" applyBorder="1" applyAlignment="1">
      <alignment horizontal="left" vertical="center"/>
    </xf>
    <xf numFmtId="0" fontId="18" fillId="8" borderId="4" xfId="0" applyFont="1" applyFill="1" applyBorder="1" applyAlignment="1">
      <alignment vertical="center"/>
    </xf>
    <xf numFmtId="49" fontId="20" fillId="8" borderId="4" xfId="0" applyNumberFormat="1" applyFont="1" applyFill="1" applyBorder="1" applyAlignment="1">
      <alignment vertical="center" wrapText="1"/>
    </xf>
    <xf numFmtId="0" fontId="18" fillId="8" borderId="4" xfId="0" applyFont="1" applyFill="1" applyBorder="1" applyAlignment="1">
      <alignment horizontal="center" vertical="center"/>
    </xf>
    <xf numFmtId="167" fontId="18" fillId="8" borderId="4" xfId="1" applyNumberFormat="1" applyFont="1" applyFill="1" applyBorder="1" applyAlignment="1">
      <alignment vertical="center"/>
    </xf>
    <xf numFmtId="9" fontId="18" fillId="8" borderId="8" xfId="2" applyFont="1" applyFill="1" applyBorder="1" applyAlignment="1">
      <alignment horizontal="center" vertical="center"/>
    </xf>
    <xf numFmtId="167" fontId="9" fillId="8" borderId="4" xfId="1" applyNumberFormat="1" applyFont="1" applyFill="1" applyBorder="1" applyAlignment="1">
      <alignment horizontal="center" vertical="center"/>
    </xf>
    <xf numFmtId="167" fontId="9" fillId="0" borderId="4" xfId="1" applyNumberFormat="1" applyFont="1" applyFill="1" applyBorder="1" applyAlignment="1">
      <alignment horizontal="center" vertical="center"/>
    </xf>
    <xf numFmtId="0" fontId="18" fillId="8" borderId="2" xfId="0" applyFont="1" applyFill="1" applyBorder="1" applyAlignment="1">
      <alignment vertical="center"/>
    </xf>
    <xf numFmtId="167" fontId="9" fillId="0" borderId="2" xfId="1" applyNumberFormat="1" applyFont="1" applyBorder="1" applyAlignment="1">
      <alignment horizontal="center" vertical="center"/>
    </xf>
    <xf numFmtId="0" fontId="6" fillId="8" borderId="9" xfId="0" applyFont="1" applyFill="1" applyBorder="1" applyAlignment="1">
      <alignment horizontal="center" vertical="center"/>
    </xf>
    <xf numFmtId="0" fontId="17" fillId="8" borderId="9" xfId="0" applyFont="1" applyFill="1" applyBorder="1" applyAlignment="1">
      <alignment horizontal="left" vertical="center"/>
    </xf>
    <xf numFmtId="0" fontId="18" fillId="8" borderId="9" xfId="0" applyFont="1" applyFill="1" applyBorder="1" applyAlignment="1">
      <alignment vertical="center"/>
    </xf>
    <xf numFmtId="49" fontId="20" fillId="8" borderId="9" xfId="0" applyNumberFormat="1" applyFont="1" applyFill="1" applyBorder="1" applyAlignment="1">
      <alignment vertical="center" wrapText="1"/>
    </xf>
    <xf numFmtId="0" fontId="18" fillId="8" borderId="9" xfId="0" applyFont="1" applyFill="1" applyBorder="1" applyAlignment="1">
      <alignment horizontal="center" vertical="center"/>
    </xf>
    <xf numFmtId="167" fontId="18" fillId="8" borderId="9" xfId="1" applyNumberFormat="1" applyFont="1" applyFill="1" applyBorder="1" applyAlignment="1">
      <alignment vertical="center"/>
    </xf>
    <xf numFmtId="9" fontId="18" fillId="8" borderId="9" xfId="2" applyFont="1" applyFill="1" applyBorder="1" applyAlignment="1">
      <alignment horizontal="center" vertical="center"/>
    </xf>
    <xf numFmtId="167" fontId="18" fillId="8" borderId="9" xfId="1" applyNumberFormat="1" applyFont="1" applyFill="1" applyBorder="1" applyAlignment="1">
      <alignment horizontal="center" vertical="center"/>
    </xf>
    <xf numFmtId="167" fontId="9" fillId="0" borderId="8" xfId="1" applyNumberFormat="1" applyFont="1" applyBorder="1" applyAlignment="1">
      <alignment vertical="center"/>
    </xf>
    <xf numFmtId="167" fontId="9" fillId="9" borderId="4" xfId="1" applyNumberFormat="1" applyFont="1" applyFill="1" applyBorder="1" applyAlignment="1">
      <alignment vertical="center"/>
    </xf>
    <xf numFmtId="167" fontId="9" fillId="7" borderId="4" xfId="1" applyNumberFormat="1" applyFont="1" applyFill="1" applyBorder="1" applyAlignment="1">
      <alignment vertical="center"/>
    </xf>
    <xf numFmtId="167" fontId="9" fillId="4" borderId="4" xfId="1" applyNumberFormat="1" applyFont="1" applyFill="1" applyBorder="1" applyAlignment="1">
      <alignment vertical="center"/>
    </xf>
    <xf numFmtId="9" fontId="9" fillId="0" borderId="4" xfId="2" applyFont="1" applyFill="1" applyBorder="1" applyAlignment="1">
      <alignment horizontal="center" vertical="center"/>
    </xf>
    <xf numFmtId="168" fontId="9" fillId="0" borderId="4" xfId="0" applyNumberFormat="1" applyFont="1" applyBorder="1" applyAlignment="1">
      <alignment horizontal="center" vertical="center"/>
    </xf>
    <xf numFmtId="49" fontId="8" fillId="0" borderId="6" xfId="0" applyNumberFormat="1" applyFont="1" applyBorder="1" applyAlignment="1">
      <alignment vertical="center" wrapText="1"/>
    </xf>
    <xf numFmtId="167" fontId="9" fillId="10" borderId="4" xfId="1" applyNumberFormat="1" applyFont="1" applyFill="1" applyBorder="1" applyAlignment="1">
      <alignment vertical="center"/>
    </xf>
    <xf numFmtId="0" fontId="2" fillId="8" borderId="10" xfId="0" applyFont="1" applyFill="1" applyBorder="1" applyAlignment="1">
      <alignment horizontal="center" vertical="center"/>
    </xf>
    <xf numFmtId="0" fontId="4" fillId="8" borderId="10" xfId="0" applyFont="1" applyFill="1" applyBorder="1" applyAlignment="1">
      <alignment horizontal="left" vertical="center"/>
    </xf>
    <xf numFmtId="0" fontId="9" fillId="8" borderId="10" xfId="0" applyFont="1" applyFill="1" applyBorder="1" applyAlignment="1">
      <alignment vertical="center"/>
    </xf>
    <xf numFmtId="49" fontId="8" fillId="8" borderId="10" xfId="0" applyNumberFormat="1" applyFont="1" applyFill="1" applyBorder="1" applyAlignment="1">
      <alignment vertical="center" wrapText="1"/>
    </xf>
    <xf numFmtId="0" fontId="9" fillId="8" borderId="10" xfId="0" applyFont="1" applyFill="1" applyBorder="1" applyAlignment="1">
      <alignment horizontal="center" vertical="center"/>
    </xf>
    <xf numFmtId="167" fontId="9" fillId="8" borderId="10" xfId="1" applyNumberFormat="1" applyFont="1" applyFill="1" applyBorder="1" applyAlignment="1">
      <alignment vertical="center"/>
    </xf>
    <xf numFmtId="9" fontId="9" fillId="8" borderId="10" xfId="2" applyFont="1" applyFill="1" applyBorder="1" applyAlignment="1">
      <alignment horizontal="center" vertical="center"/>
    </xf>
    <xf numFmtId="167" fontId="9" fillId="8" borderId="10" xfId="1" applyNumberFormat="1" applyFont="1" applyFill="1" applyBorder="1" applyAlignment="1">
      <alignment horizontal="center" vertical="center"/>
    </xf>
    <xf numFmtId="49" fontId="8" fillId="0" borderId="3" xfId="0" applyNumberFormat="1" applyFont="1" applyBorder="1" applyAlignment="1">
      <alignment vertical="center" wrapText="1"/>
    </xf>
    <xf numFmtId="167" fontId="9" fillId="0" borderId="3" xfId="1" applyNumberFormat="1" applyFont="1" applyFill="1" applyBorder="1" applyAlignment="1">
      <alignment vertical="center"/>
    </xf>
    <xf numFmtId="9" fontId="9" fillId="0" borderId="3" xfId="2" applyFont="1" applyFill="1" applyBorder="1" applyAlignment="1">
      <alignment horizontal="center" vertical="center"/>
    </xf>
    <xf numFmtId="167" fontId="9" fillId="0" borderId="3" xfId="1" applyNumberFormat="1" applyFont="1" applyFill="1" applyBorder="1" applyAlignment="1">
      <alignment horizontal="center" vertical="center"/>
    </xf>
    <xf numFmtId="49" fontId="8" fillId="0" borderId="4" xfId="0" applyNumberFormat="1" applyFont="1" applyBorder="1" applyAlignment="1">
      <alignment vertical="center" wrapText="1"/>
    </xf>
    <xf numFmtId="49" fontId="8" fillId="0" borderId="5" xfId="0" applyNumberFormat="1" applyFont="1" applyBorder="1" applyAlignment="1">
      <alignment vertical="center" wrapText="1"/>
    </xf>
    <xf numFmtId="167" fontId="9" fillId="10" borderId="5" xfId="1" applyNumberFormat="1" applyFont="1" applyFill="1" applyBorder="1" applyAlignment="1">
      <alignment vertical="center"/>
    </xf>
    <xf numFmtId="0" fontId="7" fillId="11" borderId="2" xfId="0" applyFont="1" applyFill="1" applyBorder="1" applyAlignment="1">
      <alignment horizontal="center" vertical="center"/>
    </xf>
    <xf numFmtId="0" fontId="7" fillId="11" borderId="2" xfId="0" applyFont="1" applyFill="1" applyBorder="1" applyAlignment="1">
      <alignment horizontal="center" vertical="center" wrapText="1"/>
    </xf>
    <xf numFmtId="167" fontId="7" fillId="11" borderId="2" xfId="1" applyNumberFormat="1" applyFont="1" applyFill="1" applyBorder="1" applyAlignment="1">
      <alignment horizontal="center" vertical="center"/>
    </xf>
    <xf numFmtId="9" fontId="7" fillId="11" borderId="2" xfId="2" applyFont="1" applyFill="1" applyBorder="1" applyAlignment="1">
      <alignment horizontal="center" vertical="center"/>
    </xf>
    <xf numFmtId="0" fontId="2" fillId="7" borderId="6" xfId="0" applyFont="1" applyFill="1" applyBorder="1" applyAlignment="1">
      <alignment horizontal="center" vertical="center"/>
    </xf>
    <xf numFmtId="0" fontId="4" fillId="7" borderId="6" xfId="0" applyFont="1" applyFill="1" applyBorder="1" applyAlignment="1">
      <alignment horizontal="left" vertical="center"/>
    </xf>
    <xf numFmtId="0" fontId="21" fillId="7" borderId="6" xfId="0" applyFont="1" applyFill="1" applyBorder="1" applyAlignment="1">
      <alignment horizontal="left" vertical="center"/>
    </xf>
    <xf numFmtId="49" fontId="8" fillId="7" borderId="4" xfId="0" applyNumberFormat="1" applyFont="1" applyFill="1" applyBorder="1" applyAlignment="1">
      <alignment vertical="center" wrapText="1"/>
    </xf>
    <xf numFmtId="0" fontId="9" fillId="7" borderId="6" xfId="0" applyFont="1" applyFill="1" applyBorder="1" applyAlignment="1">
      <alignment horizontal="center" vertical="center"/>
    </xf>
    <xf numFmtId="0" fontId="9" fillId="7" borderId="4" xfId="0" applyFont="1" applyFill="1" applyBorder="1" applyAlignment="1">
      <alignment horizontal="center" vertical="center"/>
    </xf>
    <xf numFmtId="9" fontId="9" fillId="7" borderId="4" xfId="2" applyFont="1" applyFill="1" applyBorder="1" applyAlignment="1">
      <alignment horizontal="center" vertical="center"/>
    </xf>
    <xf numFmtId="167" fontId="9" fillId="7" borderId="4" xfId="1" applyNumberFormat="1" applyFont="1" applyFill="1" applyBorder="1" applyAlignment="1">
      <alignment horizontal="center" vertical="center"/>
    </xf>
    <xf numFmtId="167" fontId="9" fillId="0" borderId="4" xfId="1" applyNumberFormat="1" applyFont="1" applyFill="1" applyBorder="1" applyAlignment="1">
      <alignment vertical="center"/>
    </xf>
    <xf numFmtId="49" fontId="8" fillId="0" borderId="2" xfId="0" applyNumberFormat="1" applyFont="1" applyBorder="1" applyAlignment="1">
      <alignment vertical="center" wrapText="1"/>
    </xf>
    <xf numFmtId="0" fontId="2" fillId="7" borderId="10" xfId="0" applyFont="1" applyFill="1" applyBorder="1" applyAlignment="1">
      <alignment horizontal="center" vertical="center"/>
    </xf>
    <xf numFmtId="0" fontId="4" fillId="7" borderId="10" xfId="0" applyFont="1" applyFill="1" applyBorder="1" applyAlignment="1">
      <alignment horizontal="left" vertical="center"/>
    </xf>
    <xf numFmtId="0" fontId="21" fillId="7" borderId="10" xfId="0" applyFont="1" applyFill="1" applyBorder="1" applyAlignment="1">
      <alignment vertical="center"/>
    </xf>
    <xf numFmtId="49" fontId="8" fillId="7" borderId="10" xfId="0" applyNumberFormat="1" applyFont="1" applyFill="1" applyBorder="1" applyAlignment="1">
      <alignment vertical="center" wrapText="1"/>
    </xf>
    <xf numFmtId="0" fontId="9" fillId="7" borderId="10" xfId="0" applyFont="1" applyFill="1" applyBorder="1" applyAlignment="1">
      <alignment horizontal="center" vertical="center"/>
    </xf>
    <xf numFmtId="167" fontId="9" fillId="7" borderId="8" xfId="1" applyNumberFormat="1" applyFont="1" applyFill="1" applyBorder="1" applyAlignment="1">
      <alignment vertical="center"/>
    </xf>
    <xf numFmtId="9" fontId="9" fillId="7" borderId="8" xfId="2" applyFont="1" applyFill="1" applyBorder="1" applyAlignment="1">
      <alignment horizontal="center" vertical="center"/>
    </xf>
    <xf numFmtId="167" fontId="9" fillId="7" borderId="0" xfId="1" applyNumberFormat="1" applyFont="1" applyFill="1" applyBorder="1" applyAlignment="1">
      <alignment horizontal="center" vertical="center"/>
    </xf>
    <xf numFmtId="167" fontId="9" fillId="0" borderId="0" xfId="1" applyNumberFormat="1" applyFont="1" applyAlignment="1">
      <alignment horizontal="center" vertical="center"/>
    </xf>
    <xf numFmtId="0" fontId="7" fillId="3" borderId="2" xfId="0" quotePrefix="1" applyFont="1" applyFill="1" applyBorder="1" applyAlignment="1">
      <alignment horizontal="left" vertical="center"/>
    </xf>
    <xf numFmtId="0" fontId="4" fillId="0" borderId="5" xfId="0" quotePrefix="1" applyFont="1" applyBorder="1" applyAlignment="1">
      <alignment horizontal="left" vertical="center"/>
    </xf>
    <xf numFmtId="0" fontId="7" fillId="11" borderId="2" xfId="0" quotePrefix="1" applyFont="1" applyFill="1" applyBorder="1" applyAlignment="1">
      <alignment horizontal="left" vertical="center"/>
    </xf>
    <xf numFmtId="0" fontId="7" fillId="3" borderId="2" xfId="0" quotePrefix="1" applyFont="1" applyFill="1" applyBorder="1" applyAlignment="1">
      <alignment horizontal="center" vertical="center" wrapText="1"/>
    </xf>
    <xf numFmtId="0" fontId="7" fillId="3" borderId="2" xfId="0" quotePrefix="1" applyFont="1" applyFill="1" applyBorder="1" applyAlignment="1">
      <alignment horizontal="left" vertical="center" wrapText="1"/>
    </xf>
    <xf numFmtId="49" fontId="8" fillId="4" borderId="2" xfId="0" quotePrefix="1" applyNumberFormat="1" applyFont="1" applyFill="1" applyBorder="1" applyAlignment="1">
      <alignment horizontal="left" vertical="center" wrapText="1"/>
    </xf>
    <xf numFmtId="167" fontId="3" fillId="0" borderId="0" xfId="22" applyNumberFormat="1" applyFont="1" applyAlignment="1">
      <alignment vertical="center"/>
    </xf>
    <xf numFmtId="0" fontId="3" fillId="0" borderId="0" xfId="21" applyFont="1" applyAlignment="1">
      <alignment vertical="center"/>
    </xf>
    <xf numFmtId="0" fontId="16" fillId="12" borderId="2" xfId="21" applyFont="1" applyFill="1" applyBorder="1" applyAlignment="1">
      <alignment horizontal="center" vertical="center" wrapText="1"/>
    </xf>
    <xf numFmtId="0" fontId="16" fillId="12" borderId="2" xfId="21" applyFont="1" applyFill="1" applyBorder="1" applyAlignment="1">
      <alignment horizontal="center" vertical="center"/>
    </xf>
    <xf numFmtId="167" fontId="16" fillId="12" borderId="2" xfId="22" applyNumberFormat="1" applyFont="1" applyFill="1" applyBorder="1" applyAlignment="1">
      <alignment horizontal="center" vertical="center"/>
    </xf>
    <xf numFmtId="9" fontId="16" fillId="12" borderId="2" xfId="23" applyFont="1" applyFill="1" applyBorder="1" applyAlignment="1">
      <alignment horizontal="center" vertical="center" wrapText="1"/>
    </xf>
    <xf numFmtId="167" fontId="16" fillId="12" borderId="2" xfId="22" applyNumberFormat="1" applyFont="1" applyFill="1" applyBorder="1" applyAlignment="1">
      <alignment horizontal="center" vertical="center" wrapText="1"/>
    </xf>
    <xf numFmtId="0" fontId="14" fillId="0" borderId="0" xfId="21" applyFont="1" applyAlignment="1">
      <alignment vertical="center"/>
    </xf>
    <xf numFmtId="0" fontId="7" fillId="3" borderId="2" xfId="21" applyFont="1" applyFill="1" applyBorder="1" applyAlignment="1">
      <alignment horizontal="center" vertical="center"/>
    </xf>
    <xf numFmtId="0" fontId="7" fillId="3" borderId="2" xfId="21" quotePrefix="1" applyFont="1" applyFill="1" applyBorder="1" applyAlignment="1">
      <alignment horizontal="center" vertical="center"/>
    </xf>
    <xf numFmtId="0" fontId="7" fillId="3" borderId="2" xfId="21" quotePrefix="1" applyFont="1" applyFill="1" applyBorder="1" applyAlignment="1">
      <alignment horizontal="left" vertical="center"/>
    </xf>
    <xf numFmtId="0" fontId="7" fillId="3" borderId="2" xfId="21" quotePrefix="1" applyFont="1" applyFill="1" applyBorder="1" applyAlignment="1">
      <alignment horizontal="center" vertical="center" wrapText="1"/>
    </xf>
    <xf numFmtId="167" fontId="7" fillId="3" borderId="2" xfId="22" quotePrefix="1" applyNumberFormat="1" applyFont="1" applyFill="1" applyBorder="1" applyAlignment="1">
      <alignment horizontal="center" vertical="center"/>
    </xf>
    <xf numFmtId="9" fontId="7" fillId="3" borderId="2" xfId="23" quotePrefix="1" applyFont="1" applyFill="1" applyBorder="1" applyAlignment="1">
      <alignment horizontal="center" vertical="center"/>
    </xf>
    <xf numFmtId="0" fontId="7" fillId="0" borderId="0" xfId="21" applyFont="1" applyAlignment="1">
      <alignment vertical="center"/>
    </xf>
    <xf numFmtId="0" fontId="6" fillId="13" borderId="2" xfId="21" applyFont="1" applyFill="1" applyBorder="1" applyAlignment="1">
      <alignment horizontal="center" vertical="center"/>
    </xf>
    <xf numFmtId="0" fontId="17" fillId="13" borderId="2" xfId="21" applyFont="1" applyFill="1" applyBorder="1" applyAlignment="1">
      <alignment horizontal="center" vertical="center"/>
    </xf>
    <xf numFmtId="0" fontId="18" fillId="13" borderId="2" xfId="21" applyFont="1" applyFill="1" applyBorder="1" applyAlignment="1">
      <alignment horizontal="left" vertical="center"/>
    </xf>
    <xf numFmtId="0" fontId="18" fillId="13" borderId="2" xfId="21" applyFont="1" applyFill="1" applyBorder="1" applyAlignment="1">
      <alignment horizontal="center" vertical="center"/>
    </xf>
    <xf numFmtId="0" fontId="18" fillId="13" borderId="2" xfId="21" applyFont="1" applyFill="1" applyBorder="1" applyAlignment="1">
      <alignment horizontal="center" vertical="center" wrapText="1"/>
    </xf>
    <xf numFmtId="167" fontId="18" fillId="13" borderId="2" xfId="22" applyNumberFormat="1" applyFont="1" applyFill="1" applyBorder="1" applyAlignment="1">
      <alignment horizontal="center" vertical="center"/>
    </xf>
    <xf numFmtId="9" fontId="18" fillId="13" borderId="2" xfId="23" applyFont="1" applyFill="1" applyBorder="1" applyAlignment="1">
      <alignment horizontal="center" vertical="center"/>
    </xf>
    <xf numFmtId="0" fontId="2" fillId="0" borderId="3" xfId="21" applyFont="1" applyBorder="1" applyAlignment="1">
      <alignment horizontal="center" vertical="center"/>
    </xf>
    <xf numFmtId="0" fontId="4" fillId="0" borderId="3" xfId="21" applyFont="1" applyBorder="1" applyAlignment="1">
      <alignment horizontal="left" vertical="center"/>
    </xf>
    <xf numFmtId="49" fontId="8" fillId="4" borderId="3" xfId="21" applyNumberFormat="1" applyFont="1" applyFill="1" applyBorder="1" applyAlignment="1">
      <alignment horizontal="left" vertical="center" wrapText="1"/>
    </xf>
    <xf numFmtId="49" fontId="8" fillId="4" borderId="3" xfId="21" applyNumberFormat="1" applyFont="1" applyFill="1" applyBorder="1" applyAlignment="1">
      <alignment vertical="center" wrapText="1"/>
    </xf>
    <xf numFmtId="0" fontId="9" fillId="0" borderId="3" xfId="21" applyFont="1" applyBorder="1" applyAlignment="1">
      <alignment horizontal="center" vertical="center"/>
    </xf>
    <xf numFmtId="167" fontId="9" fillId="0" borderId="3" xfId="22" applyNumberFormat="1" applyFont="1" applyBorder="1" applyAlignment="1">
      <alignment vertical="center"/>
    </xf>
    <xf numFmtId="9" fontId="9" fillId="0" borderId="3" xfId="23" applyFont="1" applyBorder="1" applyAlignment="1">
      <alignment horizontal="center" vertical="center"/>
    </xf>
    <xf numFmtId="167" fontId="9" fillId="0" borderId="3" xfId="22" applyNumberFormat="1" applyFont="1" applyBorder="1" applyAlignment="1">
      <alignment horizontal="center" vertical="center"/>
    </xf>
    <xf numFmtId="0" fontId="2" fillId="0" borderId="4" xfId="21" applyFont="1" applyBorder="1" applyAlignment="1">
      <alignment horizontal="center" vertical="center"/>
    </xf>
    <xf numFmtId="0" fontId="4" fillId="0" borderId="4" xfId="21" applyFont="1" applyBorder="1" applyAlignment="1">
      <alignment horizontal="left" vertical="center"/>
    </xf>
    <xf numFmtId="49" fontId="8" fillId="4" borderId="4" xfId="21" applyNumberFormat="1" applyFont="1" applyFill="1" applyBorder="1" applyAlignment="1">
      <alignment horizontal="left" vertical="center" wrapText="1"/>
    </xf>
    <xf numFmtId="49" fontId="8" fillId="4" borderId="4" xfId="21" applyNumberFormat="1" applyFont="1" applyFill="1" applyBorder="1" applyAlignment="1">
      <alignment vertical="center" wrapText="1"/>
    </xf>
    <xf numFmtId="0" fontId="9" fillId="0" borderId="4" xfId="21" applyFont="1" applyBorder="1" applyAlignment="1">
      <alignment horizontal="center" vertical="center"/>
    </xf>
    <xf numFmtId="167" fontId="9" fillId="0" borderId="4" xfId="22" applyNumberFormat="1" applyFont="1" applyBorder="1" applyAlignment="1">
      <alignment vertical="center"/>
    </xf>
    <xf numFmtId="167" fontId="9" fillId="0" borderId="4" xfId="22" applyNumberFormat="1" applyFont="1" applyBorder="1" applyAlignment="1">
      <alignment horizontal="center" vertical="center"/>
    </xf>
    <xf numFmtId="0" fontId="2" fillId="0" borderId="5" xfId="21" applyFont="1" applyBorder="1" applyAlignment="1">
      <alignment horizontal="center" vertical="center"/>
    </xf>
    <xf numFmtId="0" fontId="4" fillId="0" borderId="5" xfId="21" applyFont="1" applyBorder="1" applyAlignment="1">
      <alignment horizontal="left" vertical="center"/>
    </xf>
    <xf numFmtId="49" fontId="8" fillId="4" borderId="5" xfId="21" applyNumberFormat="1" applyFont="1" applyFill="1" applyBorder="1" applyAlignment="1">
      <alignment horizontal="left" vertical="center" wrapText="1"/>
    </xf>
    <xf numFmtId="49" fontId="8" fillId="4" borderId="5" xfId="21" applyNumberFormat="1" applyFont="1" applyFill="1" applyBorder="1" applyAlignment="1">
      <alignment vertical="center" wrapText="1"/>
    </xf>
    <xf numFmtId="0" fontId="9" fillId="0" borderId="5" xfId="21" applyFont="1" applyBorder="1" applyAlignment="1">
      <alignment horizontal="center" vertical="center"/>
    </xf>
    <xf numFmtId="167" fontId="9" fillId="0" borderId="5" xfId="22" applyNumberFormat="1" applyFont="1" applyBorder="1" applyAlignment="1">
      <alignment vertical="center"/>
    </xf>
    <xf numFmtId="167" fontId="9" fillId="0" borderId="5" xfId="22" applyNumberFormat="1" applyFont="1" applyBorder="1" applyAlignment="1">
      <alignment horizontal="center" vertical="center"/>
    </xf>
    <xf numFmtId="0" fontId="12" fillId="0" borderId="3" xfId="21" applyFont="1" applyBorder="1" applyAlignment="1">
      <alignment horizontal="center" vertical="center"/>
    </xf>
    <xf numFmtId="0" fontId="11" fillId="0" borderId="3" xfId="21" applyFont="1" applyBorder="1" applyAlignment="1">
      <alignment horizontal="left" vertical="center"/>
    </xf>
    <xf numFmtId="0" fontId="8" fillId="0" borderId="3" xfId="21" applyFont="1" applyBorder="1" applyAlignment="1">
      <alignment horizontal="center" vertical="center"/>
    </xf>
    <xf numFmtId="9" fontId="8" fillId="0" borderId="3" xfId="23" applyFont="1" applyBorder="1" applyAlignment="1">
      <alignment horizontal="center" vertical="center"/>
    </xf>
    <xf numFmtId="0" fontId="13" fillId="0" borderId="0" xfId="21" applyFont="1" applyAlignment="1">
      <alignment vertical="center"/>
    </xf>
    <xf numFmtId="0" fontId="12" fillId="0" borderId="4" xfId="21" applyFont="1" applyBorder="1" applyAlignment="1">
      <alignment horizontal="center" vertical="center"/>
    </xf>
    <xf numFmtId="0" fontId="11" fillId="0" borderId="4" xfId="21" applyFont="1" applyBorder="1" applyAlignment="1">
      <alignment horizontal="left" vertical="center"/>
    </xf>
    <xf numFmtId="0" fontId="8" fillId="0" borderId="4" xfId="21" applyFont="1" applyBorder="1" applyAlignment="1">
      <alignment horizontal="center" vertical="center"/>
    </xf>
    <xf numFmtId="167" fontId="8" fillId="0" borderId="4" xfId="22" applyNumberFormat="1" applyFont="1" applyBorder="1" applyAlignment="1">
      <alignment horizontal="center" vertical="center"/>
    </xf>
    <xf numFmtId="0" fontId="19" fillId="0" borderId="5" xfId="21" applyFont="1" applyBorder="1" applyAlignment="1">
      <alignment horizontal="center" vertical="center"/>
    </xf>
    <xf numFmtId="0" fontId="11" fillId="0" borderId="5" xfId="21" applyFont="1" applyBorder="1" applyAlignment="1">
      <alignment horizontal="left" vertical="center"/>
    </xf>
    <xf numFmtId="0" fontId="8" fillId="0" borderId="5" xfId="21" applyFont="1" applyBorder="1" applyAlignment="1">
      <alignment horizontal="center" vertical="center"/>
    </xf>
    <xf numFmtId="167" fontId="8" fillId="0" borderId="5" xfId="22" applyNumberFormat="1" applyFont="1" applyBorder="1" applyAlignment="1">
      <alignment horizontal="center" vertical="center"/>
    </xf>
    <xf numFmtId="0" fontId="15" fillId="0" borderId="0" xfId="21" applyFont="1" applyAlignment="1">
      <alignment vertical="center"/>
    </xf>
    <xf numFmtId="167" fontId="8" fillId="0" borderId="4" xfId="22" applyNumberFormat="1" applyFont="1" applyBorder="1" applyAlignment="1">
      <alignment vertical="center"/>
    </xf>
    <xf numFmtId="9" fontId="8" fillId="0" borderId="4" xfId="23" applyFont="1" applyBorder="1" applyAlignment="1">
      <alignment horizontal="center" vertical="center"/>
    </xf>
    <xf numFmtId="0" fontId="17" fillId="13" borderId="2" xfId="21" applyFont="1" applyFill="1" applyBorder="1" applyAlignment="1">
      <alignment horizontal="left" vertical="center"/>
    </xf>
    <xf numFmtId="49" fontId="20" fillId="13" borderId="2" xfId="21" applyNumberFormat="1" applyFont="1" applyFill="1" applyBorder="1" applyAlignment="1">
      <alignment horizontal="left" vertical="center" wrapText="1"/>
    </xf>
    <xf numFmtId="49" fontId="20" fillId="13" borderId="2" xfId="21" applyNumberFormat="1" applyFont="1" applyFill="1" applyBorder="1" applyAlignment="1">
      <alignment vertical="center" wrapText="1"/>
    </xf>
    <xf numFmtId="167" fontId="18" fillId="13" borderId="2" xfId="22" applyNumberFormat="1" applyFont="1" applyFill="1" applyBorder="1" applyAlignment="1">
      <alignment vertical="center"/>
    </xf>
    <xf numFmtId="0" fontId="5" fillId="0" borderId="0" xfId="21" applyFont="1" applyAlignment="1">
      <alignment vertical="center"/>
    </xf>
    <xf numFmtId="0" fontId="4" fillId="0" borderId="5" xfId="21" quotePrefix="1" applyFont="1" applyBorder="1" applyAlignment="1">
      <alignment horizontal="left" vertical="center"/>
    </xf>
    <xf numFmtId="9" fontId="9" fillId="0" borderId="4" xfId="23" applyFont="1" applyBorder="1" applyAlignment="1">
      <alignment horizontal="center" vertical="center"/>
    </xf>
    <xf numFmtId="9" fontId="9" fillId="0" borderId="5" xfId="23" applyFont="1" applyBorder="1" applyAlignment="1">
      <alignment horizontal="center" vertical="center"/>
    </xf>
    <xf numFmtId="167" fontId="10" fillId="4" borderId="4" xfId="22" applyNumberFormat="1" applyFont="1" applyFill="1" applyBorder="1" applyAlignment="1">
      <alignment vertical="center"/>
    </xf>
    <xf numFmtId="167" fontId="10" fillId="4" borderId="6" xfId="22" applyNumberFormat="1" applyFont="1" applyFill="1" applyBorder="1" applyAlignment="1">
      <alignment vertical="center"/>
    </xf>
    <xf numFmtId="167" fontId="10" fillId="9" borderId="4" xfId="22" applyNumberFormat="1" applyFont="1" applyFill="1" applyBorder="1" applyAlignment="1">
      <alignment vertical="center"/>
    </xf>
    <xf numFmtId="0" fontId="6" fillId="0" borderId="2" xfId="21" applyFont="1" applyBorder="1" applyAlignment="1">
      <alignment horizontal="center" vertical="center"/>
    </xf>
    <xf numFmtId="0" fontId="17" fillId="0" borderId="2" xfId="21" applyFont="1" applyBorder="1" applyAlignment="1">
      <alignment horizontal="left" vertical="center"/>
    </xf>
    <xf numFmtId="49" fontId="20" fillId="4" borderId="2" xfId="21" applyNumberFormat="1" applyFont="1" applyFill="1" applyBorder="1" applyAlignment="1">
      <alignment horizontal="left" vertical="center" wrapText="1"/>
    </xf>
    <xf numFmtId="49" fontId="20" fillId="4" borderId="2" xfId="21" applyNumberFormat="1" applyFont="1" applyFill="1" applyBorder="1" applyAlignment="1">
      <alignment vertical="center" wrapText="1"/>
    </xf>
    <xf numFmtId="0" fontId="18" fillId="0" borderId="2" xfId="21" applyFont="1" applyBorder="1" applyAlignment="1">
      <alignment horizontal="center" vertical="center"/>
    </xf>
    <xf numFmtId="167" fontId="18" fillId="0" borderId="2" xfId="22" applyNumberFormat="1" applyFont="1" applyBorder="1" applyAlignment="1">
      <alignment vertical="center"/>
    </xf>
    <xf numFmtId="9" fontId="18" fillId="0" borderId="2" xfId="23" applyFont="1" applyBorder="1" applyAlignment="1">
      <alignment horizontal="center" vertical="center"/>
    </xf>
    <xf numFmtId="167" fontId="18" fillId="0" borderId="2" xfId="22" applyNumberFormat="1" applyFont="1" applyBorder="1" applyAlignment="1">
      <alignment horizontal="center" vertical="center"/>
    </xf>
    <xf numFmtId="0" fontId="9" fillId="0" borderId="3" xfId="21" applyFont="1" applyBorder="1" applyAlignment="1">
      <alignment vertical="center"/>
    </xf>
    <xf numFmtId="0" fontId="9" fillId="0" borderId="4" xfId="21" applyFont="1" applyBorder="1" applyAlignment="1">
      <alignment vertical="center"/>
    </xf>
    <xf numFmtId="0" fontId="9" fillId="0" borderId="5" xfId="21" applyFont="1" applyBorder="1" applyAlignment="1">
      <alignment vertical="center"/>
    </xf>
    <xf numFmtId="167" fontId="10" fillId="13" borderId="3" xfId="22" applyNumberFormat="1" applyFont="1" applyFill="1" applyBorder="1" applyAlignment="1">
      <alignment vertical="center"/>
    </xf>
    <xf numFmtId="167" fontId="10" fillId="13" borderId="4" xfId="22" applyNumberFormat="1" applyFont="1" applyFill="1" applyBorder="1" applyAlignment="1">
      <alignment vertical="center"/>
    </xf>
    <xf numFmtId="0" fontId="2" fillId="0" borderId="6" xfId="21" applyFont="1" applyBorder="1" applyAlignment="1">
      <alignment horizontal="center" vertical="center"/>
    </xf>
    <xf numFmtId="0" fontId="4" fillId="0" borderId="6" xfId="21" applyFont="1" applyBorder="1" applyAlignment="1">
      <alignment horizontal="left" vertical="center"/>
    </xf>
    <xf numFmtId="0" fontId="9" fillId="0" borderId="6" xfId="21" applyFont="1" applyBorder="1" applyAlignment="1">
      <alignment vertical="center"/>
    </xf>
    <xf numFmtId="49" fontId="8" fillId="4" borderId="6" xfId="21" applyNumberFormat="1" applyFont="1" applyFill="1" applyBorder="1" applyAlignment="1">
      <alignment vertical="center" wrapText="1"/>
    </xf>
    <xf numFmtId="0" fontId="9" fillId="0" borderId="6" xfId="21" applyFont="1" applyBorder="1" applyAlignment="1">
      <alignment horizontal="center" vertical="center"/>
    </xf>
    <xf numFmtId="167" fontId="10" fillId="13" borderId="6" xfId="22" applyNumberFormat="1" applyFont="1" applyFill="1" applyBorder="1" applyAlignment="1">
      <alignment vertical="center"/>
    </xf>
    <xf numFmtId="9" fontId="9" fillId="0" borderId="6" xfId="23" applyFont="1" applyBorder="1" applyAlignment="1">
      <alignment horizontal="center" vertical="center"/>
    </xf>
    <xf numFmtId="167" fontId="9" fillId="0" borderId="6" xfId="22" applyNumberFormat="1" applyFont="1" applyBorder="1" applyAlignment="1">
      <alignment horizontal="center" vertical="center"/>
    </xf>
    <xf numFmtId="0" fontId="9" fillId="0" borderId="3" xfId="21" applyFont="1" applyBorder="1" applyAlignment="1">
      <alignment vertical="center" wrapText="1"/>
    </xf>
    <xf numFmtId="0" fontId="2" fillId="0" borderId="7" xfId="21" applyFont="1" applyBorder="1" applyAlignment="1">
      <alignment horizontal="center" vertical="center"/>
    </xf>
    <xf numFmtId="0" fontId="4" fillId="0" borderId="7" xfId="21" applyFont="1" applyBorder="1" applyAlignment="1">
      <alignment horizontal="left" vertical="center"/>
    </xf>
    <xf numFmtId="0" fontId="9" fillId="0" borderId="7" xfId="21" applyFont="1" applyBorder="1" applyAlignment="1">
      <alignment horizontal="center" vertical="center"/>
    </xf>
    <xf numFmtId="167" fontId="9" fillId="14" borderId="7" xfId="22" applyNumberFormat="1" applyFont="1" applyFill="1" applyBorder="1" applyAlignment="1">
      <alignment vertical="center"/>
    </xf>
    <xf numFmtId="167" fontId="9" fillId="0" borderId="7" xfId="22" applyNumberFormat="1" applyFont="1" applyBorder="1" applyAlignment="1">
      <alignment horizontal="center" vertical="center"/>
    </xf>
    <xf numFmtId="167" fontId="10" fillId="4" borderId="7" xfId="22" applyNumberFormat="1" applyFont="1" applyFill="1" applyBorder="1" applyAlignment="1">
      <alignment vertical="center"/>
    </xf>
    <xf numFmtId="0" fontId="2" fillId="0" borderId="8" xfId="21" applyFont="1" applyBorder="1" applyAlignment="1">
      <alignment horizontal="center" vertical="center"/>
    </xf>
    <xf numFmtId="0" fontId="4" fillId="0" borderId="8" xfId="21" applyFont="1" applyBorder="1" applyAlignment="1">
      <alignment horizontal="left" vertical="center"/>
    </xf>
    <xf numFmtId="49" fontId="8" fillId="4" borderId="8" xfId="21" applyNumberFormat="1" applyFont="1" applyFill="1" applyBorder="1" applyAlignment="1">
      <alignment vertical="center" wrapText="1"/>
    </xf>
    <xf numFmtId="167" fontId="9" fillId="0" borderId="8" xfId="22" applyNumberFormat="1" applyFont="1" applyBorder="1" applyAlignment="1">
      <alignment horizontal="center" vertical="center"/>
    </xf>
    <xf numFmtId="0" fontId="2" fillId="15" borderId="3" xfId="21" applyFont="1" applyFill="1" applyBorder="1" applyAlignment="1">
      <alignment horizontal="center" vertical="center"/>
    </xf>
    <xf numFmtId="0" fontId="4" fillId="15" borderId="3" xfId="21" applyFont="1" applyFill="1" applyBorder="1" applyAlignment="1">
      <alignment horizontal="left" vertical="center"/>
    </xf>
    <xf numFmtId="0" fontId="9" fillId="15" borderId="3" xfId="21" applyFont="1" applyFill="1" applyBorder="1" applyAlignment="1">
      <alignment vertical="center"/>
    </xf>
    <xf numFmtId="49" fontId="8" fillId="15" borderId="3" xfId="21" applyNumberFormat="1" applyFont="1" applyFill="1" applyBorder="1" applyAlignment="1">
      <alignment vertical="center" wrapText="1"/>
    </xf>
    <xf numFmtId="0" fontId="9" fillId="15" borderId="3" xfId="21" applyFont="1" applyFill="1" applyBorder="1" applyAlignment="1">
      <alignment horizontal="center" vertical="center"/>
    </xf>
    <xf numFmtId="167" fontId="9" fillId="15" borderId="3" xfId="22" applyNumberFormat="1" applyFont="1" applyFill="1" applyBorder="1" applyAlignment="1">
      <alignment vertical="center"/>
    </xf>
    <xf numFmtId="9" fontId="9" fillId="15" borderId="3" xfId="23" applyFont="1" applyFill="1" applyBorder="1" applyAlignment="1">
      <alignment horizontal="center" vertical="center"/>
    </xf>
    <xf numFmtId="167" fontId="9" fillId="15" borderId="3" xfId="22" applyNumberFormat="1" applyFont="1" applyFill="1" applyBorder="1" applyAlignment="1">
      <alignment horizontal="center" vertical="center"/>
    </xf>
    <xf numFmtId="0" fontId="3" fillId="15" borderId="0" xfId="21" applyFont="1" applyFill="1" applyAlignment="1">
      <alignment vertical="center"/>
    </xf>
    <xf numFmtId="0" fontId="2" fillId="15" borderId="4" xfId="21" applyFont="1" applyFill="1" applyBorder="1" applyAlignment="1">
      <alignment horizontal="center" vertical="center"/>
    </xf>
    <xf numFmtId="0" fontId="4" fillId="15" borderId="4" xfId="21" applyFont="1" applyFill="1" applyBorder="1" applyAlignment="1">
      <alignment horizontal="left" vertical="center"/>
    </xf>
    <xf numFmtId="0" fontId="9" fillId="15" borderId="4" xfId="21" applyFont="1" applyFill="1" applyBorder="1" applyAlignment="1">
      <alignment vertical="center"/>
    </xf>
    <xf numFmtId="49" fontId="8" fillId="15" borderId="4" xfId="21" applyNumberFormat="1" applyFont="1" applyFill="1" applyBorder="1" applyAlignment="1">
      <alignment vertical="center" wrapText="1"/>
    </xf>
    <xf numFmtId="0" fontId="9" fillId="15" borderId="4" xfId="21" applyFont="1" applyFill="1" applyBorder="1" applyAlignment="1">
      <alignment horizontal="center" vertical="center"/>
    </xf>
    <xf numFmtId="167" fontId="9" fillId="15" borderId="4" xfId="22" applyNumberFormat="1" applyFont="1" applyFill="1" applyBorder="1" applyAlignment="1">
      <alignment vertical="center"/>
    </xf>
    <xf numFmtId="167" fontId="9" fillId="15" borderId="4" xfId="22" applyNumberFormat="1" applyFont="1" applyFill="1" applyBorder="1" applyAlignment="1">
      <alignment horizontal="center" vertical="center"/>
    </xf>
    <xf numFmtId="0" fontId="2" fillId="15" borderId="5" xfId="21" applyFont="1" applyFill="1" applyBorder="1" applyAlignment="1">
      <alignment horizontal="center" vertical="center"/>
    </xf>
    <xf numFmtId="0" fontId="4" fillId="15" borderId="5" xfId="21" applyFont="1" applyFill="1" applyBorder="1" applyAlignment="1">
      <alignment horizontal="left" vertical="center"/>
    </xf>
    <xf numFmtId="0" fontId="9" fillId="15" borderId="5" xfId="21" applyFont="1" applyFill="1" applyBorder="1" applyAlignment="1">
      <alignment vertical="center"/>
    </xf>
    <xf numFmtId="49" fontId="8" fillId="15" borderId="5" xfId="21" applyNumberFormat="1" applyFont="1" applyFill="1" applyBorder="1" applyAlignment="1">
      <alignment vertical="center" wrapText="1"/>
    </xf>
    <xf numFmtId="0" fontId="9" fillId="15" borderId="5" xfId="21" applyFont="1" applyFill="1" applyBorder="1" applyAlignment="1">
      <alignment horizontal="center" vertical="center"/>
    </xf>
    <xf numFmtId="167" fontId="9" fillId="15" borderId="5" xfId="22" applyNumberFormat="1" applyFont="1" applyFill="1" applyBorder="1" applyAlignment="1">
      <alignment vertical="center"/>
    </xf>
    <xf numFmtId="167" fontId="9" fillId="15" borderId="5" xfId="22" applyNumberFormat="1" applyFont="1" applyFill="1" applyBorder="1" applyAlignment="1">
      <alignment horizontal="center" vertical="center"/>
    </xf>
    <xf numFmtId="49" fontId="8" fillId="4" borderId="2" xfId="21" applyNumberFormat="1" applyFont="1" applyFill="1" applyBorder="1" applyAlignment="1">
      <alignment vertical="center" wrapText="1"/>
    </xf>
    <xf numFmtId="9" fontId="9" fillId="15" borderId="4" xfId="23" applyFont="1" applyFill="1" applyBorder="1" applyAlignment="1">
      <alignment horizontal="center" vertical="center"/>
    </xf>
    <xf numFmtId="9" fontId="9" fillId="0" borderId="8" xfId="23" applyFont="1" applyBorder="1" applyAlignment="1">
      <alignment horizontal="center" vertical="center"/>
    </xf>
    <xf numFmtId="0" fontId="6" fillId="6" borderId="2" xfId="21" applyFont="1" applyFill="1" applyBorder="1" applyAlignment="1">
      <alignment horizontal="center" vertical="center"/>
    </xf>
    <xf numFmtId="0" fontId="17" fillId="6" borderId="2" xfId="21" applyFont="1" applyFill="1" applyBorder="1" applyAlignment="1">
      <alignment horizontal="left" vertical="center"/>
    </xf>
    <xf numFmtId="49" fontId="20" fillId="6" borderId="2" xfId="21" applyNumberFormat="1" applyFont="1" applyFill="1" applyBorder="1" applyAlignment="1">
      <alignment horizontal="left" vertical="center" wrapText="1"/>
    </xf>
    <xf numFmtId="49" fontId="20" fillId="6" borderId="2" xfId="21" applyNumberFormat="1" applyFont="1" applyFill="1" applyBorder="1" applyAlignment="1">
      <alignment vertical="center" wrapText="1"/>
    </xf>
    <xf numFmtId="0" fontId="18" fillId="6" borderId="2" xfId="21" applyFont="1" applyFill="1" applyBorder="1" applyAlignment="1">
      <alignment horizontal="center" vertical="center"/>
    </xf>
    <xf numFmtId="167" fontId="18" fillId="6" borderId="2" xfId="22" applyNumberFormat="1" applyFont="1" applyFill="1" applyBorder="1" applyAlignment="1">
      <alignment vertical="center"/>
    </xf>
    <xf numFmtId="9" fontId="18" fillId="6" borderId="2" xfId="23" applyFont="1" applyFill="1" applyBorder="1" applyAlignment="1">
      <alignment horizontal="center" vertical="center"/>
    </xf>
    <xf numFmtId="167" fontId="18" fillId="6" borderId="2" xfId="22" applyNumberFormat="1" applyFont="1" applyFill="1" applyBorder="1" applyAlignment="1">
      <alignment horizontal="center" vertical="center"/>
    </xf>
    <xf numFmtId="0" fontId="5" fillId="6" borderId="0" xfId="21" applyFont="1" applyFill="1" applyAlignment="1">
      <alignment vertical="center"/>
    </xf>
    <xf numFmtId="0" fontId="2" fillId="0" borderId="2" xfId="21" applyFont="1" applyBorder="1" applyAlignment="1">
      <alignment horizontal="center" vertical="center"/>
    </xf>
    <xf numFmtId="0" fontId="4" fillId="0" borderId="2" xfId="21" applyFont="1" applyBorder="1" applyAlignment="1">
      <alignment horizontal="left" vertical="center"/>
    </xf>
    <xf numFmtId="0" fontId="9" fillId="0" borderId="2" xfId="21" applyFont="1" applyBorder="1" applyAlignment="1">
      <alignment vertical="center"/>
    </xf>
    <xf numFmtId="0" fontId="9" fillId="0" borderId="2" xfId="21" applyFont="1" applyBorder="1" applyAlignment="1">
      <alignment horizontal="center" vertical="center"/>
    </xf>
    <xf numFmtId="167" fontId="9" fillId="0" borderId="2" xfId="22" applyNumberFormat="1" applyFont="1" applyBorder="1" applyAlignment="1">
      <alignment vertical="center"/>
    </xf>
    <xf numFmtId="167" fontId="18" fillId="4" borderId="2" xfId="22" applyNumberFormat="1" applyFont="1" applyFill="1" applyBorder="1" applyAlignment="1">
      <alignment horizontal="center" vertical="center"/>
    </xf>
    <xf numFmtId="167" fontId="9" fillId="4" borderId="4" xfId="22" applyNumberFormat="1" applyFont="1" applyFill="1" applyBorder="1" applyAlignment="1">
      <alignment horizontal="center" vertical="center"/>
    </xf>
    <xf numFmtId="167" fontId="9" fillId="4" borderId="5" xfId="22" applyNumberFormat="1" applyFont="1" applyFill="1" applyBorder="1" applyAlignment="1">
      <alignment horizontal="center" vertical="center"/>
    </xf>
    <xf numFmtId="0" fontId="9" fillId="0" borderId="8" xfId="21" applyFont="1" applyBorder="1" applyAlignment="1">
      <alignment vertical="center"/>
    </xf>
    <xf numFmtId="0" fontId="9" fillId="0" borderId="8" xfId="21" applyFont="1" applyBorder="1" applyAlignment="1">
      <alignment horizontal="center" vertical="center"/>
    </xf>
    <xf numFmtId="167" fontId="9" fillId="0" borderId="8" xfId="22" applyNumberFormat="1" applyFont="1" applyFill="1" applyBorder="1" applyAlignment="1">
      <alignment vertical="center"/>
    </xf>
    <xf numFmtId="9" fontId="9" fillId="0" borderId="8" xfId="23" applyFont="1" applyFill="1" applyBorder="1" applyAlignment="1">
      <alignment horizontal="center" vertical="center"/>
    </xf>
    <xf numFmtId="0" fontId="6" fillId="13" borderId="4" xfId="21" applyFont="1" applyFill="1" applyBorder="1" applyAlignment="1">
      <alignment horizontal="center" vertical="center"/>
    </xf>
    <xf numFmtId="0" fontId="17" fillId="13" borderId="4" xfId="21" applyFont="1" applyFill="1" applyBorder="1" applyAlignment="1">
      <alignment horizontal="left" vertical="center"/>
    </xf>
    <xf numFmtId="0" fontId="18" fillId="13" borderId="4" xfId="21" applyFont="1" applyFill="1" applyBorder="1" applyAlignment="1">
      <alignment vertical="center"/>
    </xf>
    <xf numFmtId="49" fontId="20" fillId="13" borderId="4" xfId="21" applyNumberFormat="1" applyFont="1" applyFill="1" applyBorder="1" applyAlignment="1">
      <alignment vertical="center" wrapText="1"/>
    </xf>
    <xf numFmtId="0" fontId="18" fillId="13" borderId="4" xfId="21" applyFont="1" applyFill="1" applyBorder="1" applyAlignment="1">
      <alignment horizontal="center" vertical="center"/>
    </xf>
    <xf numFmtId="167" fontId="18" fillId="13" borderId="4" xfId="22" applyNumberFormat="1" applyFont="1" applyFill="1" applyBorder="1" applyAlignment="1">
      <alignment vertical="center"/>
    </xf>
    <xf numFmtId="9" fontId="18" fillId="13" borderId="8" xfId="23" applyFont="1" applyFill="1" applyBorder="1" applyAlignment="1">
      <alignment horizontal="center" vertical="center"/>
    </xf>
    <xf numFmtId="167" fontId="9" fillId="13" borderId="4" xfId="22" applyNumberFormat="1" applyFont="1" applyFill="1" applyBorder="1" applyAlignment="1">
      <alignment horizontal="center" vertical="center"/>
    </xf>
    <xf numFmtId="167" fontId="9" fillId="0" borderId="4" xfId="22" applyNumberFormat="1" applyFont="1" applyFill="1" applyBorder="1" applyAlignment="1">
      <alignment horizontal="center" vertical="center"/>
    </xf>
    <xf numFmtId="0" fontId="18" fillId="13" borderId="2" xfId="21" applyFont="1" applyFill="1" applyBorder="1" applyAlignment="1">
      <alignment vertical="center"/>
    </xf>
    <xf numFmtId="167" fontId="9" fillId="0" borderId="2" xfId="22" applyNumberFormat="1" applyFont="1" applyBorder="1" applyAlignment="1">
      <alignment horizontal="center" vertical="center"/>
    </xf>
    <xf numFmtId="0" fontId="3" fillId="0" borderId="2" xfId="21" applyFont="1" applyBorder="1" applyAlignment="1">
      <alignment vertical="center"/>
    </xf>
    <xf numFmtId="0" fontId="6" fillId="13" borderId="9" xfId="21" applyFont="1" applyFill="1" applyBorder="1" applyAlignment="1">
      <alignment horizontal="center" vertical="center"/>
    </xf>
    <xf numFmtId="0" fontId="17" fillId="13" borderId="9" xfId="21" applyFont="1" applyFill="1" applyBorder="1" applyAlignment="1">
      <alignment horizontal="left" vertical="center"/>
    </xf>
    <xf numFmtId="0" fontId="18" fillId="13" borderId="9" xfId="21" applyFont="1" applyFill="1" applyBorder="1" applyAlignment="1">
      <alignment vertical="center"/>
    </xf>
    <xf numFmtId="49" fontId="20" fillId="13" borderId="9" xfId="21" applyNumberFormat="1" applyFont="1" applyFill="1" applyBorder="1" applyAlignment="1">
      <alignment vertical="center" wrapText="1"/>
    </xf>
    <xf numFmtId="0" fontId="18" fillId="13" borderId="9" xfId="21" applyFont="1" applyFill="1" applyBorder="1" applyAlignment="1">
      <alignment horizontal="center" vertical="center"/>
    </xf>
    <xf numFmtId="167" fontId="18" fillId="13" borderId="9" xfId="22" applyNumberFormat="1" applyFont="1" applyFill="1" applyBorder="1" applyAlignment="1">
      <alignment vertical="center"/>
    </xf>
    <xf numFmtId="9" fontId="18" fillId="13" borderId="9" xfId="23" applyFont="1" applyFill="1" applyBorder="1" applyAlignment="1">
      <alignment horizontal="center" vertical="center"/>
    </xf>
    <xf numFmtId="167" fontId="18" fillId="13" borderId="9" xfId="22" applyNumberFormat="1" applyFont="1" applyFill="1" applyBorder="1" applyAlignment="1">
      <alignment horizontal="center" vertical="center"/>
    </xf>
    <xf numFmtId="9" fontId="9" fillId="0" borderId="2" xfId="23" applyFont="1" applyBorder="1" applyAlignment="1">
      <alignment horizontal="center" vertical="center"/>
    </xf>
    <xf numFmtId="167" fontId="9" fillId="0" borderId="8" xfId="22" applyNumberFormat="1" applyFont="1" applyBorder="1" applyAlignment="1">
      <alignment vertical="center"/>
    </xf>
    <xf numFmtId="167" fontId="9" fillId="9" borderId="4" xfId="22" applyNumberFormat="1" applyFont="1" applyFill="1" applyBorder="1" applyAlignment="1">
      <alignment vertical="center"/>
    </xf>
    <xf numFmtId="167" fontId="9" fillId="14" borderId="4" xfId="22" applyNumberFormat="1" applyFont="1" applyFill="1" applyBorder="1" applyAlignment="1">
      <alignment vertical="center"/>
    </xf>
    <xf numFmtId="167" fontId="9" fillId="4" borderId="4" xfId="22" applyNumberFormat="1" applyFont="1" applyFill="1" applyBorder="1" applyAlignment="1">
      <alignment vertical="center"/>
    </xf>
    <xf numFmtId="9" fontId="9" fillId="0" borderId="4" xfId="23" applyFont="1" applyFill="1" applyBorder="1" applyAlignment="1">
      <alignment horizontal="center" vertical="center"/>
    </xf>
    <xf numFmtId="168" fontId="9" fillId="0" borderId="4" xfId="21" applyNumberFormat="1" applyFont="1" applyBorder="1" applyAlignment="1">
      <alignment horizontal="center" vertical="center"/>
    </xf>
    <xf numFmtId="49" fontId="8" fillId="0" borderId="6" xfId="21" applyNumberFormat="1" applyFont="1" applyBorder="1" applyAlignment="1">
      <alignment vertical="center" wrapText="1"/>
    </xf>
    <xf numFmtId="167" fontId="9" fillId="10" borderId="4" xfId="22" applyNumberFormat="1" applyFont="1" applyFill="1" applyBorder="1" applyAlignment="1">
      <alignment vertical="center"/>
    </xf>
    <xf numFmtId="0" fontId="2" fillId="13" borderId="10" xfId="21" applyFont="1" applyFill="1" applyBorder="1" applyAlignment="1">
      <alignment horizontal="center" vertical="center"/>
    </xf>
    <xf numFmtId="0" fontId="4" fillId="13" borderId="10" xfId="21" applyFont="1" applyFill="1" applyBorder="1" applyAlignment="1">
      <alignment horizontal="left" vertical="center"/>
    </xf>
    <xf numFmtId="0" fontId="9" fillId="13" borderId="10" xfId="21" applyFont="1" applyFill="1" applyBorder="1" applyAlignment="1">
      <alignment vertical="center"/>
    </xf>
    <xf numFmtId="49" fontId="8" fillId="13" borderId="10" xfId="21" applyNumberFormat="1" applyFont="1" applyFill="1" applyBorder="1" applyAlignment="1">
      <alignment vertical="center" wrapText="1"/>
    </xf>
    <xf numFmtId="0" fontId="9" fillId="13" borderId="10" xfId="21" applyFont="1" applyFill="1" applyBorder="1" applyAlignment="1">
      <alignment horizontal="center" vertical="center"/>
    </xf>
    <xf numFmtId="167" fontId="9" fillId="13" borderId="10" xfId="22" applyNumberFormat="1" applyFont="1" applyFill="1" applyBorder="1" applyAlignment="1">
      <alignment vertical="center"/>
    </xf>
    <xf numFmtId="9" fontId="9" fillId="13" borderId="10" xfId="23" applyFont="1" applyFill="1" applyBorder="1" applyAlignment="1">
      <alignment horizontal="center" vertical="center"/>
    </xf>
    <xf numFmtId="167" fontId="9" fillId="13" borderId="10" xfId="22" applyNumberFormat="1" applyFont="1" applyFill="1" applyBorder="1" applyAlignment="1">
      <alignment horizontal="center" vertical="center"/>
    </xf>
    <xf numFmtId="49" fontId="8" fillId="0" borderId="3" xfId="21" applyNumberFormat="1" applyFont="1" applyBorder="1" applyAlignment="1">
      <alignment vertical="center" wrapText="1"/>
    </xf>
    <xf numFmtId="167" fontId="9" fillId="0" borderId="3" xfId="22" applyNumberFormat="1" applyFont="1" applyFill="1" applyBorder="1" applyAlignment="1">
      <alignment vertical="center"/>
    </xf>
    <xf numFmtId="9" fontId="9" fillId="0" borderId="3" xfId="23" applyFont="1" applyFill="1" applyBorder="1" applyAlignment="1">
      <alignment horizontal="center" vertical="center"/>
    </xf>
    <xf numFmtId="167" fontId="9" fillId="0" borderId="3" xfId="22" applyNumberFormat="1" applyFont="1" applyFill="1" applyBorder="1" applyAlignment="1">
      <alignment horizontal="center" vertical="center"/>
    </xf>
    <xf numFmtId="49" fontId="8" fillId="0" borderId="4" xfId="21" applyNumberFormat="1" applyFont="1" applyBorder="1" applyAlignment="1">
      <alignment vertical="center" wrapText="1"/>
    </xf>
    <xf numFmtId="49" fontId="8" fillId="0" borderId="5" xfId="21" applyNumberFormat="1" applyFont="1" applyBorder="1" applyAlignment="1">
      <alignment vertical="center" wrapText="1"/>
    </xf>
    <xf numFmtId="167" fontId="9" fillId="10" borderId="5" xfId="22" applyNumberFormat="1" applyFont="1" applyFill="1" applyBorder="1" applyAlignment="1">
      <alignment vertical="center"/>
    </xf>
    <xf numFmtId="0" fontId="7" fillId="11" borderId="2" xfId="21" applyFont="1" applyFill="1" applyBorder="1" applyAlignment="1">
      <alignment horizontal="center" vertical="center"/>
    </xf>
    <xf numFmtId="0" fontId="7" fillId="11" borderId="2" xfId="21" quotePrefix="1" applyFont="1" applyFill="1" applyBorder="1" applyAlignment="1">
      <alignment horizontal="center" vertical="center"/>
    </xf>
    <xf numFmtId="0" fontId="7" fillId="11" borderId="2" xfId="21" quotePrefix="1" applyFont="1" applyFill="1" applyBorder="1" applyAlignment="1">
      <alignment horizontal="left" vertical="center"/>
    </xf>
    <xf numFmtId="0" fontId="7" fillId="11" borderId="2" xfId="21" quotePrefix="1" applyFont="1" applyFill="1" applyBorder="1" applyAlignment="1">
      <alignment horizontal="center" vertical="center" wrapText="1"/>
    </xf>
    <xf numFmtId="167" fontId="7" fillId="11" borderId="2" xfId="22" quotePrefix="1" applyNumberFormat="1" applyFont="1" applyFill="1" applyBorder="1" applyAlignment="1">
      <alignment horizontal="center" vertical="center"/>
    </xf>
    <xf numFmtId="9" fontId="7" fillId="11" borderId="2" xfId="23" quotePrefix="1" applyFont="1" applyFill="1" applyBorder="1" applyAlignment="1">
      <alignment horizontal="center" vertical="center"/>
    </xf>
    <xf numFmtId="0" fontId="2" fillId="14" borderId="6" xfId="21" applyFont="1" applyFill="1" applyBorder="1" applyAlignment="1">
      <alignment horizontal="center" vertical="center"/>
    </xf>
    <xf numFmtId="0" fontId="4" fillId="14" borderId="6" xfId="21" applyFont="1" applyFill="1" applyBorder="1" applyAlignment="1">
      <alignment horizontal="left" vertical="center"/>
    </xf>
    <xf numFmtId="0" fontId="21" fillId="14" borderId="6" xfId="21" applyFont="1" applyFill="1" applyBorder="1" applyAlignment="1">
      <alignment horizontal="left" vertical="center"/>
    </xf>
    <xf numFmtId="49" fontId="8" fillId="14" borderId="4" xfId="21" applyNumberFormat="1" applyFont="1" applyFill="1" applyBorder="1" applyAlignment="1">
      <alignment vertical="center" wrapText="1"/>
    </xf>
    <xf numFmtId="0" fontId="9" fillId="14" borderId="6" xfId="21" applyFont="1" applyFill="1" applyBorder="1" applyAlignment="1">
      <alignment horizontal="center" vertical="center"/>
    </xf>
    <xf numFmtId="0" fontId="9" fillId="14" borderId="4" xfId="21" applyFont="1" applyFill="1" applyBorder="1" applyAlignment="1">
      <alignment horizontal="center" vertical="center"/>
    </xf>
    <xf numFmtId="9" fontId="9" fillId="14" borderId="4" xfId="23" applyFont="1" applyFill="1" applyBorder="1" applyAlignment="1">
      <alignment horizontal="center" vertical="center"/>
    </xf>
    <xf numFmtId="167" fontId="9" fillId="14" borderId="4" xfId="22" applyNumberFormat="1" applyFont="1" applyFill="1" applyBorder="1" applyAlignment="1">
      <alignment horizontal="center" vertical="center"/>
    </xf>
    <xf numFmtId="0" fontId="3" fillId="14" borderId="0" xfId="21" applyFont="1" applyFill="1" applyAlignment="1">
      <alignment vertical="center"/>
    </xf>
    <xf numFmtId="167" fontId="9" fillId="0" borderId="4" xfId="22" applyNumberFormat="1" applyFont="1" applyFill="1" applyBorder="1" applyAlignment="1">
      <alignment vertical="center"/>
    </xf>
    <xf numFmtId="49" fontId="8" fillId="0" borderId="2" xfId="21" applyNumberFormat="1" applyFont="1" applyBorder="1" applyAlignment="1">
      <alignment vertical="center" wrapText="1"/>
    </xf>
    <xf numFmtId="0" fontId="2" fillId="14" borderId="10" xfId="21" applyFont="1" applyFill="1" applyBorder="1" applyAlignment="1">
      <alignment horizontal="center" vertical="center"/>
    </xf>
    <xf numFmtId="0" fontId="4" fillId="14" borderId="10" xfId="21" applyFont="1" applyFill="1" applyBorder="1" applyAlignment="1">
      <alignment horizontal="left" vertical="center"/>
    </xf>
    <xf numFmtId="0" fontId="21" fillId="14" borderId="10" xfId="21" applyFont="1" applyFill="1" applyBorder="1" applyAlignment="1">
      <alignment vertical="center"/>
    </xf>
    <xf numFmtId="49" fontId="8" fillId="14" borderId="10" xfId="21" applyNumberFormat="1" applyFont="1" applyFill="1" applyBorder="1" applyAlignment="1">
      <alignment vertical="center" wrapText="1"/>
    </xf>
    <xf numFmtId="0" fontId="9" fillId="14" borderId="10" xfId="21" applyFont="1" applyFill="1" applyBorder="1" applyAlignment="1">
      <alignment horizontal="center" vertical="center"/>
    </xf>
    <xf numFmtId="167" fontId="9" fillId="14" borderId="8" xfId="22" applyNumberFormat="1" applyFont="1" applyFill="1" applyBorder="1" applyAlignment="1">
      <alignment vertical="center"/>
    </xf>
    <xf numFmtId="9" fontId="9" fillId="14" borderId="8" xfId="23" applyFont="1" applyFill="1" applyBorder="1" applyAlignment="1">
      <alignment horizontal="center" vertical="center"/>
    </xf>
    <xf numFmtId="167" fontId="9" fillId="14" borderId="0" xfId="22" applyNumberFormat="1" applyFont="1" applyFill="1" applyBorder="1" applyAlignment="1">
      <alignment horizontal="center" vertical="center"/>
    </xf>
    <xf numFmtId="167" fontId="9" fillId="0" borderId="0" xfId="22" applyNumberFormat="1" applyFont="1" applyAlignment="1">
      <alignment horizontal="center" vertical="center"/>
    </xf>
    <xf numFmtId="0" fontId="2" fillId="0" borderId="0" xfId="21" applyFont="1" applyAlignment="1">
      <alignment horizontal="center" vertical="center"/>
    </xf>
    <xf numFmtId="0" fontId="4" fillId="0" borderId="0" xfId="21" applyFont="1" applyAlignment="1">
      <alignment horizontal="center" vertical="center"/>
    </xf>
    <xf numFmtId="0" fontId="9" fillId="0" borderId="0" xfId="21" applyFont="1" applyAlignment="1">
      <alignment vertical="center"/>
    </xf>
    <xf numFmtId="49" fontId="8" fillId="4" borderId="0" xfId="21" applyNumberFormat="1" applyFont="1" applyFill="1" applyAlignment="1">
      <alignment vertical="center" wrapText="1"/>
    </xf>
    <xf numFmtId="0" fontId="9" fillId="0" borderId="0" xfId="21" applyFont="1" applyAlignment="1">
      <alignment horizontal="center" vertical="center"/>
    </xf>
    <xf numFmtId="167" fontId="9" fillId="0" borderId="0" xfId="22" applyNumberFormat="1" applyFont="1" applyBorder="1" applyAlignment="1">
      <alignment vertical="center"/>
    </xf>
    <xf numFmtId="9" fontId="9" fillId="0" borderId="0" xfId="23" applyFont="1" applyAlignment="1">
      <alignment horizontal="center" vertical="center"/>
    </xf>
    <xf numFmtId="49" fontId="13" fillId="4" borderId="0" xfId="21" applyNumberFormat="1" applyFont="1" applyFill="1" applyAlignment="1">
      <alignment vertical="center" wrapText="1"/>
    </xf>
    <xf numFmtId="0" fontId="3" fillId="0" borderId="0" xfId="21" applyFont="1" applyAlignment="1">
      <alignment horizontal="center" vertical="center"/>
    </xf>
    <xf numFmtId="167" fontId="3" fillId="0" borderId="0" xfId="22" applyNumberFormat="1" applyFont="1" applyBorder="1" applyAlignment="1">
      <alignment vertical="center"/>
    </xf>
    <xf numFmtId="9" fontId="3" fillId="0" borderId="0" xfId="23" applyFont="1" applyAlignment="1">
      <alignment horizontal="center" vertical="center"/>
    </xf>
    <xf numFmtId="167" fontId="3" fillId="0" borderId="0" xfId="22" applyNumberFormat="1" applyFont="1" applyAlignment="1">
      <alignment horizontal="center" vertical="center"/>
    </xf>
    <xf numFmtId="1" fontId="32" fillId="9" borderId="2" xfId="15" applyNumberFormat="1" applyFont="1" applyFill="1" applyBorder="1" applyAlignment="1">
      <alignment horizontal="center" vertical="center"/>
    </xf>
    <xf numFmtId="49" fontId="32" fillId="9" borderId="2" xfId="15" applyNumberFormat="1" applyFont="1" applyFill="1" applyBorder="1" applyAlignment="1">
      <alignment horizontal="center" vertical="center"/>
    </xf>
    <xf numFmtId="0" fontId="32" fillId="9" borderId="0" xfId="15" applyFont="1" applyFill="1" applyAlignment="1">
      <alignment vertical="center"/>
    </xf>
    <xf numFmtId="0" fontId="33" fillId="14" borderId="0" xfId="15" applyFont="1" applyFill="1" applyAlignment="1">
      <alignment vertical="center"/>
    </xf>
    <xf numFmtId="0" fontId="33" fillId="16" borderId="0" xfId="15" applyFont="1" applyFill="1" applyAlignment="1">
      <alignment vertical="center"/>
    </xf>
    <xf numFmtId="1" fontId="32" fillId="16" borderId="2" xfId="15" applyNumberFormat="1" applyFont="1" applyFill="1" applyBorder="1" applyAlignment="1">
      <alignment horizontal="center" vertical="center"/>
    </xf>
    <xf numFmtId="49" fontId="32" fillId="16" borderId="2" xfId="15" applyNumberFormat="1" applyFont="1" applyFill="1" applyBorder="1" applyAlignment="1">
      <alignment horizontal="center" vertical="center"/>
    </xf>
    <xf numFmtId="0" fontId="32" fillId="16" borderId="0" xfId="15" applyFont="1" applyFill="1" applyAlignment="1">
      <alignment vertical="center"/>
    </xf>
    <xf numFmtId="0" fontId="32" fillId="9" borderId="2" xfId="0" applyFont="1" applyFill="1" applyBorder="1" applyAlignment="1">
      <alignment horizontal="center" vertical="center"/>
    </xf>
    <xf numFmtId="3" fontId="32" fillId="9" borderId="2" xfId="0" applyNumberFormat="1" applyFont="1" applyFill="1" applyBorder="1" applyAlignment="1">
      <alignment horizontal="center" vertical="center" wrapText="1"/>
    </xf>
    <xf numFmtId="169" fontId="34" fillId="9" borderId="2" xfId="1" applyNumberFormat="1" applyFont="1" applyFill="1" applyBorder="1" applyAlignment="1">
      <alignment horizontal="center" vertical="center"/>
    </xf>
    <xf numFmtId="49" fontId="32" fillId="9" borderId="2" xfId="0" applyNumberFormat="1" applyFont="1" applyFill="1" applyBorder="1" applyAlignment="1">
      <alignment horizontal="center" vertical="center" wrapText="1"/>
    </xf>
    <xf numFmtId="171" fontId="32" fillId="9" borderId="2" xfId="20" applyNumberFormat="1" applyFont="1" applyFill="1" applyBorder="1" applyAlignment="1">
      <alignment horizontal="center" vertical="center" wrapText="1"/>
    </xf>
    <xf numFmtId="3" fontId="32" fillId="9" borderId="11" xfId="1" applyNumberFormat="1" applyFont="1" applyFill="1" applyBorder="1" applyAlignment="1">
      <alignment horizontal="center" vertical="center" wrapText="1"/>
    </xf>
    <xf numFmtId="167" fontId="32" fillId="9" borderId="11" xfId="5" applyNumberFormat="1" applyFont="1" applyFill="1" applyBorder="1" applyAlignment="1">
      <alignment horizontal="center" vertical="center" wrapText="1"/>
    </xf>
    <xf numFmtId="49" fontId="32" fillId="9" borderId="2" xfId="15" applyNumberFormat="1" applyFont="1" applyFill="1" applyBorder="1" applyAlignment="1">
      <alignment vertical="center" wrapText="1"/>
    </xf>
    <xf numFmtId="49" fontId="32" fillId="9" borderId="2" xfId="15" applyNumberFormat="1" applyFont="1" applyFill="1" applyBorder="1" applyAlignment="1">
      <alignment horizontal="center" vertical="center" wrapText="1"/>
    </xf>
    <xf numFmtId="3" fontId="32" fillId="9" borderId="2" xfId="15" applyNumberFormat="1" applyFont="1" applyFill="1" applyBorder="1" applyAlignment="1">
      <alignment horizontal="center" vertical="center"/>
    </xf>
    <xf numFmtId="4" fontId="32" fillId="9" borderId="2" xfId="5" applyNumberFormat="1" applyFont="1" applyFill="1" applyBorder="1" applyAlignment="1">
      <alignment horizontal="center" vertical="center"/>
    </xf>
    <xf numFmtId="173" fontId="32" fillId="9" borderId="2" xfId="15" applyNumberFormat="1" applyFont="1" applyFill="1" applyBorder="1" applyAlignment="1">
      <alignment horizontal="center" vertical="center"/>
    </xf>
    <xf numFmtId="9" fontId="32" fillId="9" borderId="2" xfId="20" applyFont="1" applyFill="1" applyBorder="1" applyAlignment="1">
      <alignment horizontal="center" vertical="center"/>
    </xf>
    <xf numFmtId="3" fontId="32" fillId="9" borderId="2" xfId="15" applyNumberFormat="1" applyFont="1" applyFill="1" applyBorder="1" applyAlignment="1">
      <alignment vertical="center"/>
    </xf>
    <xf numFmtId="9" fontId="35" fillId="9" borderId="2" xfId="2" applyFont="1" applyFill="1" applyBorder="1" applyAlignment="1">
      <alignment horizontal="center" vertical="center"/>
    </xf>
    <xf numFmtId="3" fontId="32" fillId="9" borderId="2" xfId="15" applyNumberFormat="1" applyFont="1" applyFill="1" applyBorder="1" applyAlignment="1">
      <alignment horizontal="right" vertical="center" wrapText="1"/>
    </xf>
    <xf numFmtId="3" fontId="32" fillId="9" borderId="2" xfId="15" applyNumberFormat="1" applyFont="1" applyFill="1" applyBorder="1" applyAlignment="1">
      <alignment horizontal="center" vertical="center" wrapText="1"/>
    </xf>
    <xf numFmtId="3" fontId="32" fillId="9" borderId="2" xfId="5" applyNumberFormat="1" applyFont="1" applyFill="1" applyBorder="1" applyAlignment="1">
      <alignment horizontal="right" vertical="center" wrapText="1"/>
    </xf>
    <xf numFmtId="3" fontId="32" fillId="9" borderId="2" xfId="0" applyNumberFormat="1" applyFont="1" applyFill="1" applyBorder="1" applyAlignment="1">
      <alignment horizontal="right" vertical="center"/>
    </xf>
    <xf numFmtId="0" fontId="35" fillId="9" borderId="2" xfId="0" applyFont="1" applyFill="1" applyBorder="1" applyAlignment="1">
      <alignment vertical="center"/>
    </xf>
    <xf numFmtId="0" fontId="33" fillId="14" borderId="12" xfId="15" applyFont="1" applyFill="1" applyBorder="1" applyAlignment="1">
      <alignment horizontal="center" vertical="center"/>
    </xf>
    <xf numFmtId="0" fontId="33" fillId="14" borderId="2" xfId="15" applyFont="1" applyFill="1" applyBorder="1" applyAlignment="1">
      <alignment horizontal="left" vertical="center" wrapText="1"/>
    </xf>
    <xf numFmtId="0" fontId="32" fillId="14" borderId="2" xfId="15" applyFont="1" applyFill="1" applyBorder="1" applyAlignment="1">
      <alignment horizontal="center" vertical="center" wrapText="1"/>
    </xf>
    <xf numFmtId="172" fontId="33" fillId="14" borderId="2" xfId="5" applyNumberFormat="1" applyFont="1" applyFill="1" applyBorder="1" applyAlignment="1">
      <alignment horizontal="center" vertical="center" wrapText="1"/>
    </xf>
    <xf numFmtId="0" fontId="33" fillId="14" borderId="2" xfId="15" applyFont="1" applyFill="1" applyBorder="1" applyAlignment="1">
      <alignment horizontal="center" vertical="center" wrapText="1"/>
    </xf>
    <xf numFmtId="167" fontId="33" fillId="14" borderId="11" xfId="1" applyNumberFormat="1" applyFont="1" applyFill="1" applyBorder="1" applyAlignment="1">
      <alignment horizontal="center" vertical="center" wrapText="1"/>
    </xf>
    <xf numFmtId="0" fontId="33" fillId="14" borderId="11" xfId="15" applyFont="1" applyFill="1" applyBorder="1" applyAlignment="1">
      <alignment horizontal="center" vertical="center" wrapText="1"/>
    </xf>
    <xf numFmtId="167" fontId="32" fillId="14" borderId="2" xfId="5" applyNumberFormat="1" applyFont="1" applyFill="1" applyBorder="1" applyAlignment="1">
      <alignment horizontal="center" vertical="center" wrapText="1"/>
    </xf>
    <xf numFmtId="49" fontId="33" fillId="14" borderId="2" xfId="15" applyNumberFormat="1" applyFont="1" applyFill="1" applyBorder="1" applyAlignment="1">
      <alignment horizontal="center" vertical="center" wrapText="1"/>
    </xf>
    <xf numFmtId="3" fontId="33" fillId="14" borderId="2" xfId="15" applyNumberFormat="1" applyFont="1" applyFill="1" applyBorder="1" applyAlignment="1">
      <alignment horizontal="center" vertical="center"/>
    </xf>
    <xf numFmtId="165" fontId="33" fillId="14" borderId="2" xfId="5" applyFont="1" applyFill="1" applyBorder="1" applyAlignment="1">
      <alignment horizontal="center" vertical="center"/>
    </xf>
    <xf numFmtId="173" fontId="33" fillId="14" borderId="2" xfId="15" applyNumberFormat="1" applyFont="1" applyFill="1" applyBorder="1" applyAlignment="1">
      <alignment horizontal="center" vertical="center"/>
    </xf>
    <xf numFmtId="4" fontId="32" fillId="14" borderId="2" xfId="15" applyNumberFormat="1" applyFont="1" applyFill="1" applyBorder="1" applyAlignment="1">
      <alignment horizontal="center" vertical="center"/>
    </xf>
    <xf numFmtId="9" fontId="32" fillId="14" borderId="2" xfId="20" applyFont="1" applyFill="1" applyBorder="1" applyAlignment="1">
      <alignment horizontal="center" vertical="center"/>
    </xf>
    <xf numFmtId="3" fontId="33" fillId="14" borderId="2" xfId="15" applyNumberFormat="1" applyFont="1" applyFill="1" applyBorder="1" applyAlignment="1">
      <alignment vertical="center"/>
    </xf>
    <xf numFmtId="9" fontId="35" fillId="14" borderId="2" xfId="2" applyFont="1" applyFill="1" applyBorder="1" applyAlignment="1">
      <alignment horizontal="center" vertical="center"/>
    </xf>
    <xf numFmtId="3" fontId="32" fillId="14" borderId="2" xfId="15" applyNumberFormat="1" applyFont="1" applyFill="1" applyBorder="1" applyAlignment="1">
      <alignment horizontal="right" vertical="center"/>
    </xf>
    <xf numFmtId="3" fontId="33" fillId="14" borderId="2" xfId="15" applyNumberFormat="1" applyFont="1" applyFill="1" applyBorder="1" applyAlignment="1">
      <alignment horizontal="right" vertical="center"/>
    </xf>
    <xf numFmtId="10" fontId="35" fillId="9" borderId="2" xfId="2" applyNumberFormat="1" applyFont="1" applyFill="1" applyBorder="1" applyAlignment="1">
      <alignment horizontal="center" vertical="center"/>
    </xf>
    <xf numFmtId="167" fontId="35" fillId="9" borderId="2" xfId="1" applyNumberFormat="1" applyFont="1" applyFill="1" applyBorder="1" applyAlignment="1">
      <alignment horizontal="center" vertical="center"/>
    </xf>
    <xf numFmtId="167" fontId="32" fillId="9" borderId="2" xfId="1" applyNumberFormat="1" applyFont="1" applyFill="1" applyBorder="1" applyAlignment="1">
      <alignment horizontal="center" vertical="center"/>
    </xf>
    <xf numFmtId="0" fontId="36" fillId="9" borderId="2" xfId="0" applyFont="1" applyFill="1" applyBorder="1" applyAlignment="1">
      <alignment horizontal="center" vertical="center"/>
    </xf>
    <xf numFmtId="3" fontId="35" fillId="9" borderId="2" xfId="0" applyNumberFormat="1" applyFont="1" applyFill="1" applyBorder="1" applyAlignment="1">
      <alignment horizontal="center" vertical="center" wrapText="1"/>
    </xf>
    <xf numFmtId="49" fontId="35" fillId="9" borderId="2" xfId="0" applyNumberFormat="1" applyFont="1" applyFill="1" applyBorder="1" applyAlignment="1">
      <alignment horizontal="center" vertical="center" wrapText="1"/>
    </xf>
    <xf numFmtId="2" fontId="35" fillId="9" borderId="2" xfId="0" applyNumberFormat="1" applyFont="1" applyFill="1" applyBorder="1" applyAlignment="1">
      <alignment horizontal="center" vertical="center" wrapText="1"/>
    </xf>
    <xf numFmtId="167" fontId="35" fillId="9" borderId="2" xfId="1" applyNumberFormat="1" applyFont="1" applyFill="1" applyBorder="1" applyAlignment="1">
      <alignment horizontal="center" vertical="center" wrapText="1"/>
    </xf>
    <xf numFmtId="43" fontId="35" fillId="9" borderId="2" xfId="1" applyFont="1" applyFill="1" applyBorder="1" applyAlignment="1">
      <alignment horizontal="center" vertical="center" wrapText="1"/>
    </xf>
    <xf numFmtId="169" fontId="35" fillId="9" borderId="2" xfId="1" applyNumberFormat="1" applyFont="1" applyFill="1" applyBorder="1" applyAlignment="1">
      <alignment horizontal="center" vertical="center"/>
    </xf>
    <xf numFmtId="167" fontId="36" fillId="9" borderId="2" xfId="1" applyNumberFormat="1" applyFont="1" applyFill="1" applyBorder="1" applyAlignment="1">
      <alignment vertical="center"/>
    </xf>
    <xf numFmtId="49" fontId="33" fillId="4" borderId="2" xfId="0" applyNumberFormat="1" applyFont="1" applyFill="1" applyBorder="1" applyAlignment="1">
      <alignment horizontal="center" vertical="center"/>
    </xf>
    <xf numFmtId="0" fontId="32" fillId="4" borderId="2" xfId="0" applyFont="1" applyFill="1" applyBorder="1" applyAlignment="1">
      <alignment vertical="center" wrapText="1"/>
    </xf>
    <xf numFmtId="0" fontId="32" fillId="4" borderId="2" xfId="0" applyFont="1" applyFill="1" applyBorder="1" applyAlignment="1">
      <alignment horizontal="center" vertical="center" wrapText="1"/>
    </xf>
    <xf numFmtId="0" fontId="33" fillId="4" borderId="2" xfId="0" applyFont="1" applyFill="1" applyBorder="1" applyAlignment="1">
      <alignment horizontal="center" vertical="center" wrapText="1"/>
    </xf>
    <xf numFmtId="49" fontId="33" fillId="4" borderId="2" xfId="0" quotePrefix="1" applyNumberFormat="1" applyFont="1" applyFill="1" applyBorder="1" applyAlignment="1">
      <alignment horizontal="center" vertical="center" wrapText="1"/>
    </xf>
    <xf numFmtId="49" fontId="33" fillId="4" borderId="2" xfId="0" applyNumberFormat="1" applyFont="1" applyFill="1" applyBorder="1" applyAlignment="1">
      <alignment horizontal="center" vertical="center" wrapText="1"/>
    </xf>
    <xf numFmtId="3" fontId="33" fillId="4" borderId="2" xfId="0" applyNumberFormat="1" applyFont="1" applyFill="1" applyBorder="1" applyAlignment="1">
      <alignment horizontal="center" vertical="center"/>
    </xf>
    <xf numFmtId="4" fontId="33" fillId="4" borderId="2" xfId="0" applyNumberFormat="1" applyFont="1" applyFill="1" applyBorder="1" applyAlignment="1">
      <alignment horizontal="center" vertical="center"/>
    </xf>
    <xf numFmtId="167" fontId="33" fillId="4" borderId="2" xfId="22" applyNumberFormat="1" applyFont="1" applyFill="1" applyBorder="1" applyAlignment="1">
      <alignment vertical="center"/>
    </xf>
    <xf numFmtId="3" fontId="33" fillId="4" borderId="2" xfId="0" applyNumberFormat="1" applyFont="1" applyFill="1" applyBorder="1" applyAlignment="1">
      <alignment horizontal="right" vertical="center"/>
    </xf>
    <xf numFmtId="0" fontId="33" fillId="4" borderId="2" xfId="0" applyFont="1" applyFill="1" applyBorder="1" applyAlignment="1">
      <alignment vertical="center"/>
    </xf>
    <xf numFmtId="0" fontId="35" fillId="4" borderId="2" xfId="0" applyFont="1" applyFill="1" applyBorder="1" applyAlignment="1">
      <alignment vertical="center"/>
    </xf>
    <xf numFmtId="0" fontId="35" fillId="4" borderId="2" xfId="0" applyFont="1" applyFill="1" applyBorder="1" applyAlignment="1">
      <alignment horizontal="left" vertical="center" wrapText="1"/>
    </xf>
    <xf numFmtId="0" fontId="35" fillId="4" borderId="2" xfId="0" applyFont="1" applyFill="1" applyBorder="1" applyAlignment="1">
      <alignment horizontal="center" vertical="center"/>
    </xf>
    <xf numFmtId="49" fontId="35" fillId="4" borderId="2" xfId="0" applyNumberFormat="1" applyFont="1" applyFill="1" applyBorder="1" applyAlignment="1">
      <alignment horizontal="center" vertical="center"/>
    </xf>
    <xf numFmtId="49" fontId="35" fillId="4" borderId="2" xfId="0" applyNumberFormat="1" applyFont="1" applyFill="1" applyBorder="1" applyAlignment="1">
      <alignment horizontal="center" vertical="center" wrapText="1"/>
    </xf>
    <xf numFmtId="3" fontId="35" fillId="4" borderId="2" xfId="0" applyNumberFormat="1" applyFont="1" applyFill="1" applyBorder="1" applyAlignment="1">
      <alignment horizontal="center" vertical="center"/>
    </xf>
    <xf numFmtId="4" fontId="32" fillId="4" borderId="2" xfId="0" applyNumberFormat="1" applyFont="1" applyFill="1" applyBorder="1" applyAlignment="1">
      <alignment horizontal="center" vertical="center" wrapText="1"/>
    </xf>
    <xf numFmtId="167" fontId="32" fillId="4" borderId="2" xfId="22" applyNumberFormat="1" applyFont="1" applyFill="1" applyBorder="1" applyAlignment="1">
      <alignment vertical="center"/>
    </xf>
    <xf numFmtId="9" fontId="35" fillId="4" borderId="2" xfId="23" applyFont="1" applyFill="1" applyBorder="1" applyAlignment="1">
      <alignment horizontal="center" vertical="center"/>
    </xf>
    <xf numFmtId="3" fontId="32" fillId="4" borderId="2" xfId="0" applyNumberFormat="1" applyFont="1" applyFill="1" applyBorder="1" applyAlignment="1">
      <alignment horizontal="right" vertical="center"/>
    </xf>
    <xf numFmtId="3" fontId="35" fillId="4" borderId="2" xfId="0" applyNumberFormat="1" applyFont="1" applyFill="1" applyBorder="1" applyAlignment="1">
      <alignment horizontal="right" vertical="center"/>
    </xf>
    <xf numFmtId="0" fontId="35" fillId="4" borderId="2" xfId="0" applyFont="1" applyFill="1" applyBorder="1" applyAlignment="1">
      <alignment vertical="center" wrapText="1"/>
    </xf>
    <xf numFmtId="3" fontId="35" fillId="4" borderId="2" xfId="15" applyNumberFormat="1" applyFont="1" applyFill="1" applyBorder="1" applyAlignment="1">
      <alignment horizontal="right" vertical="center"/>
    </xf>
    <xf numFmtId="167" fontId="35" fillId="4" borderId="2" xfId="22" applyNumberFormat="1" applyFont="1" applyFill="1" applyBorder="1" applyAlignment="1">
      <alignment vertical="center"/>
    </xf>
    <xf numFmtId="49" fontId="35" fillId="4" borderId="2" xfId="0" applyNumberFormat="1" applyFont="1" applyFill="1" applyBorder="1" applyAlignment="1">
      <alignment vertical="center"/>
    </xf>
    <xf numFmtId="2" fontId="35" fillId="4" borderId="2" xfId="0" applyNumberFormat="1" applyFont="1" applyFill="1" applyBorder="1" applyAlignment="1">
      <alignment horizontal="center" vertical="center" wrapText="1"/>
    </xf>
    <xf numFmtId="167" fontId="35" fillId="4" borderId="2" xfId="22" applyNumberFormat="1" applyFont="1" applyFill="1" applyBorder="1" applyAlignment="1">
      <alignment horizontal="center" vertical="center" wrapText="1"/>
    </xf>
    <xf numFmtId="167" fontId="36" fillId="0" borderId="2" xfId="22" applyNumberFormat="1" applyFont="1" applyBorder="1" applyAlignment="1">
      <alignment vertical="center"/>
    </xf>
    <xf numFmtId="49" fontId="35" fillId="0" borderId="2" xfId="0" applyNumberFormat="1" applyFont="1" applyBorder="1" applyAlignment="1">
      <alignment horizontal="center" vertical="center" wrapText="1"/>
    </xf>
    <xf numFmtId="3" fontId="39" fillId="0" borderId="2" xfId="0" applyNumberFormat="1" applyFont="1" applyBorder="1" applyAlignment="1">
      <alignment horizontal="center" vertical="center"/>
    </xf>
    <xf numFmtId="0" fontId="32" fillId="4" borderId="2" xfId="0" applyFont="1" applyFill="1" applyBorder="1" applyAlignment="1">
      <alignment horizontal="left" vertical="center" wrapText="1"/>
    </xf>
    <xf numFmtId="167" fontId="35" fillId="0" borderId="2" xfId="22" applyNumberFormat="1" applyFont="1" applyFill="1" applyBorder="1" applyAlignment="1">
      <alignment vertical="center"/>
    </xf>
    <xf numFmtId="9" fontId="35" fillId="4" borderId="2" xfId="23" applyFont="1" applyFill="1" applyBorder="1" applyAlignment="1">
      <alignment horizontal="center" vertical="center" wrapText="1"/>
    </xf>
    <xf numFmtId="3" fontId="32" fillId="11" borderId="2" xfId="15" applyNumberFormat="1" applyFont="1" applyFill="1" applyBorder="1" applyAlignment="1">
      <alignment horizontal="center" vertical="center" wrapText="1"/>
    </xf>
    <xf numFmtId="3" fontId="32" fillId="11" borderId="2" xfId="15" applyNumberFormat="1" applyFont="1" applyFill="1" applyBorder="1" applyAlignment="1">
      <alignment horizontal="left" vertical="center" wrapText="1"/>
    </xf>
    <xf numFmtId="172" fontId="32" fillId="11" borderId="2" xfId="5" applyNumberFormat="1" applyFont="1" applyFill="1" applyBorder="1" applyAlignment="1">
      <alignment horizontal="center" vertical="center" wrapText="1"/>
    </xf>
    <xf numFmtId="0" fontId="32" fillId="11" borderId="2" xfId="15" applyFont="1" applyFill="1" applyBorder="1" applyAlignment="1">
      <alignment horizontal="center" vertical="center" wrapText="1"/>
    </xf>
    <xf numFmtId="9" fontId="32" fillId="11" borderId="2" xfId="20" applyFont="1" applyFill="1" applyBorder="1" applyAlignment="1">
      <alignment horizontal="center" vertical="center" wrapText="1"/>
    </xf>
    <xf numFmtId="167" fontId="32" fillId="11" borderId="11" xfId="1" applyNumberFormat="1" applyFont="1" applyFill="1" applyBorder="1" applyAlignment="1">
      <alignment horizontal="center" vertical="center" wrapText="1"/>
    </xf>
    <xf numFmtId="167" fontId="32" fillId="11" borderId="11" xfId="5" applyNumberFormat="1" applyFont="1" applyFill="1" applyBorder="1" applyAlignment="1">
      <alignment horizontal="center" vertical="center" wrapText="1"/>
    </xf>
    <xf numFmtId="165" fontId="32" fillId="11" borderId="2" xfId="5" applyFont="1" applyFill="1" applyBorder="1" applyAlignment="1">
      <alignment horizontal="center" vertical="center" wrapText="1"/>
    </xf>
    <xf numFmtId="173" fontId="32" fillId="11" borderId="2" xfId="15" applyNumberFormat="1" applyFont="1" applyFill="1" applyBorder="1" applyAlignment="1">
      <alignment horizontal="center" vertical="center" wrapText="1"/>
    </xf>
    <xf numFmtId="4" fontId="32" fillId="11" borderId="2" xfId="15" applyNumberFormat="1" applyFont="1" applyFill="1" applyBorder="1" applyAlignment="1">
      <alignment horizontal="center" vertical="center" wrapText="1"/>
    </xf>
    <xf numFmtId="9" fontId="32" fillId="11" borderId="2" xfId="2" applyFont="1" applyFill="1" applyBorder="1" applyAlignment="1">
      <alignment horizontal="center" vertical="center" wrapText="1"/>
    </xf>
    <xf numFmtId="167" fontId="32" fillId="11" borderId="2" xfId="5" applyNumberFormat="1" applyFont="1" applyFill="1" applyBorder="1" applyAlignment="1">
      <alignment horizontal="center" vertical="center" wrapText="1"/>
    </xf>
    <xf numFmtId="0" fontId="35" fillId="4" borderId="2" xfId="15" applyFont="1" applyFill="1" applyBorder="1" applyAlignment="1">
      <alignment horizontal="center" vertical="center"/>
    </xf>
    <xf numFmtId="0" fontId="32" fillId="9" borderId="2" xfId="15" applyFont="1" applyFill="1" applyBorder="1" applyAlignment="1">
      <alignment horizontal="center" vertical="center"/>
    </xf>
    <xf numFmtId="0" fontId="32" fillId="9" borderId="2" xfId="15" applyFont="1" applyFill="1" applyBorder="1" applyAlignment="1">
      <alignment horizontal="left" vertical="center" wrapText="1"/>
    </xf>
    <xf numFmtId="0" fontId="32" fillId="16" borderId="2" xfId="15" applyFont="1" applyFill="1" applyBorder="1" applyAlignment="1">
      <alignment horizontal="center" vertical="center"/>
    </xf>
    <xf numFmtId="0" fontId="32" fillId="16" borderId="2" xfId="15" applyFont="1" applyFill="1" applyBorder="1" applyAlignment="1">
      <alignment horizontal="left" vertical="center" wrapText="1"/>
    </xf>
    <xf numFmtId="3" fontId="32" fillId="16" borderId="2" xfId="0" applyNumberFormat="1" applyFont="1" applyFill="1" applyBorder="1" applyAlignment="1">
      <alignment horizontal="center" vertical="center" wrapText="1"/>
    </xf>
    <xf numFmtId="0" fontId="32" fillId="16" borderId="2" xfId="15" applyFont="1" applyFill="1" applyBorder="1" applyAlignment="1">
      <alignment horizontal="center" vertical="center" wrapText="1"/>
    </xf>
    <xf numFmtId="171" fontId="32" fillId="16" borderId="2" xfId="20" applyNumberFormat="1" applyFont="1" applyFill="1" applyBorder="1" applyAlignment="1">
      <alignment horizontal="center" vertical="center" wrapText="1"/>
    </xf>
    <xf numFmtId="3" fontId="32" fillId="16" borderId="11" xfId="1" applyNumberFormat="1" applyFont="1" applyFill="1" applyBorder="1" applyAlignment="1">
      <alignment horizontal="center" vertical="center" wrapText="1"/>
    </xf>
    <xf numFmtId="167" fontId="32" fillId="16" borderId="11" xfId="5" applyNumberFormat="1" applyFont="1" applyFill="1" applyBorder="1" applyAlignment="1">
      <alignment horizontal="center" vertical="center" wrapText="1"/>
    </xf>
    <xf numFmtId="49" fontId="32" fillId="16" borderId="2" xfId="15" applyNumberFormat="1" applyFont="1" applyFill="1" applyBorder="1" applyAlignment="1">
      <alignment vertical="center" wrapText="1"/>
    </xf>
    <xf numFmtId="49" fontId="32" fillId="16" borderId="2" xfId="15" applyNumberFormat="1" applyFont="1" applyFill="1" applyBorder="1" applyAlignment="1">
      <alignment horizontal="center" vertical="center" wrapText="1"/>
    </xf>
    <xf numFmtId="3" fontId="32" fillId="16" borderId="2" xfId="15" applyNumberFormat="1" applyFont="1" applyFill="1" applyBorder="1" applyAlignment="1">
      <alignment horizontal="center" vertical="center"/>
    </xf>
    <xf numFmtId="4" fontId="32" fillId="16" borderId="2" xfId="5" applyNumberFormat="1" applyFont="1" applyFill="1" applyBorder="1" applyAlignment="1">
      <alignment horizontal="center" vertical="center"/>
    </xf>
    <xf numFmtId="173" fontId="32" fillId="16" borderId="2" xfId="15" applyNumberFormat="1" applyFont="1" applyFill="1" applyBorder="1" applyAlignment="1">
      <alignment horizontal="center" vertical="center"/>
    </xf>
    <xf numFmtId="9" fontId="32" fillId="16" borderId="2" xfId="20" applyFont="1" applyFill="1" applyBorder="1" applyAlignment="1">
      <alignment horizontal="center" vertical="center"/>
    </xf>
    <xf numFmtId="3" fontId="32" fillId="16" borderId="2" xfId="15" applyNumberFormat="1" applyFont="1" applyFill="1" applyBorder="1" applyAlignment="1">
      <alignment vertical="center"/>
    </xf>
    <xf numFmtId="9" fontId="35" fillId="16" borderId="2" xfId="2" applyFont="1" applyFill="1" applyBorder="1" applyAlignment="1">
      <alignment horizontal="center" vertical="center"/>
    </xf>
    <xf numFmtId="3" fontId="32" fillId="16" borderId="2" xfId="15" applyNumberFormat="1" applyFont="1" applyFill="1" applyBorder="1" applyAlignment="1">
      <alignment horizontal="right" vertical="center" wrapText="1"/>
    </xf>
    <xf numFmtId="3" fontId="32" fillId="16" borderId="2" xfId="15" applyNumberFormat="1" applyFont="1" applyFill="1" applyBorder="1" applyAlignment="1">
      <alignment horizontal="center" vertical="center" wrapText="1"/>
    </xf>
    <xf numFmtId="3" fontId="32" fillId="16" borderId="2" xfId="5" applyNumberFormat="1" applyFont="1" applyFill="1" applyBorder="1" applyAlignment="1">
      <alignment horizontal="right" vertical="center" wrapText="1"/>
    </xf>
    <xf numFmtId="0" fontId="33" fillId="16" borderId="12" xfId="15" applyFont="1" applyFill="1" applyBorder="1" applyAlignment="1">
      <alignment horizontal="center" vertical="center"/>
    </xf>
    <xf numFmtId="0" fontId="33" fillId="16" borderId="2" xfId="15" applyFont="1" applyFill="1" applyBorder="1" applyAlignment="1">
      <alignment horizontal="left" vertical="center" wrapText="1"/>
    </xf>
    <xf numFmtId="172" fontId="33" fillId="16" borderId="2" xfId="5" applyNumberFormat="1" applyFont="1" applyFill="1" applyBorder="1" applyAlignment="1">
      <alignment horizontal="center" vertical="center" wrapText="1"/>
    </xf>
    <xf numFmtId="0" fontId="33" fillId="16" borderId="2" xfId="15" applyFont="1" applyFill="1" applyBorder="1" applyAlignment="1">
      <alignment horizontal="center" vertical="center" wrapText="1"/>
    </xf>
    <xf numFmtId="167" fontId="33" fillId="16" borderId="11" xfId="1" applyNumberFormat="1" applyFont="1" applyFill="1" applyBorder="1" applyAlignment="1">
      <alignment horizontal="center" vertical="center" wrapText="1"/>
    </xf>
    <xf numFmtId="0" fontId="33" fillId="16" borderId="11" xfId="15" applyFont="1" applyFill="1" applyBorder="1" applyAlignment="1">
      <alignment horizontal="center" vertical="center" wrapText="1"/>
    </xf>
    <xf numFmtId="167" fontId="32" fillId="16" borderId="2" xfId="5" applyNumberFormat="1" applyFont="1" applyFill="1" applyBorder="1" applyAlignment="1">
      <alignment horizontal="center" vertical="center" wrapText="1"/>
    </xf>
    <xf numFmtId="49" fontId="33" fillId="16" borderId="2" xfId="15" applyNumberFormat="1" applyFont="1" applyFill="1" applyBorder="1" applyAlignment="1">
      <alignment horizontal="center" vertical="center" wrapText="1"/>
    </xf>
    <xf numFmtId="3" fontId="33" fillId="16" borderId="2" xfId="15" applyNumberFormat="1" applyFont="1" applyFill="1" applyBorder="1" applyAlignment="1">
      <alignment horizontal="center" vertical="center"/>
    </xf>
    <xf numFmtId="165" fontId="33" fillId="16" borderId="2" xfId="5" applyFont="1" applyFill="1" applyBorder="1" applyAlignment="1">
      <alignment horizontal="center" vertical="center"/>
    </xf>
    <xf numFmtId="173" fontId="33" fillId="16" borderId="2" xfId="15" applyNumberFormat="1" applyFont="1" applyFill="1" applyBorder="1" applyAlignment="1">
      <alignment horizontal="center" vertical="center"/>
    </xf>
    <xf numFmtId="4" fontId="32" fillId="16" borderId="2" xfId="15" applyNumberFormat="1" applyFont="1" applyFill="1" applyBorder="1" applyAlignment="1">
      <alignment horizontal="center" vertical="center"/>
    </xf>
    <xf numFmtId="3" fontId="33" fillId="16" borderId="2" xfId="15" applyNumberFormat="1" applyFont="1" applyFill="1" applyBorder="1" applyAlignment="1">
      <alignment vertical="center"/>
    </xf>
    <xf numFmtId="3" fontId="32" fillId="16" borderId="2" xfId="15" applyNumberFormat="1" applyFont="1" applyFill="1" applyBorder="1" applyAlignment="1">
      <alignment horizontal="right" vertical="center"/>
    </xf>
    <xf numFmtId="3" fontId="33" fillId="16" borderId="2" xfId="15" applyNumberFormat="1" applyFont="1" applyFill="1" applyBorder="1" applyAlignment="1">
      <alignment horizontal="right" vertical="center"/>
    </xf>
    <xf numFmtId="169" fontId="36" fillId="9" borderId="2" xfId="1" applyNumberFormat="1" applyFont="1" applyFill="1" applyBorder="1" applyAlignment="1">
      <alignment vertical="center"/>
    </xf>
    <xf numFmtId="170" fontId="36" fillId="9" borderId="2" xfId="1" applyNumberFormat="1" applyFont="1" applyFill="1" applyBorder="1" applyAlignment="1">
      <alignment vertical="center"/>
    </xf>
    <xf numFmtId="167" fontId="35" fillId="9" borderId="2" xfId="1" applyNumberFormat="1" applyFont="1" applyFill="1" applyBorder="1" applyAlignment="1">
      <alignment horizontal="right" vertical="center"/>
    </xf>
    <xf numFmtId="3" fontId="35" fillId="9" borderId="2" xfId="0" applyNumberFormat="1" applyFont="1" applyFill="1" applyBorder="1" applyAlignment="1">
      <alignment horizontal="center" vertical="center"/>
    </xf>
    <xf numFmtId="3" fontId="35" fillId="9" borderId="2" xfId="0" applyNumberFormat="1" applyFont="1" applyFill="1" applyBorder="1" applyAlignment="1">
      <alignment horizontal="right" vertical="center"/>
    </xf>
    <xf numFmtId="169" fontId="33" fillId="4" borderId="2" xfId="1" applyNumberFormat="1" applyFont="1" applyFill="1" applyBorder="1" applyAlignment="1">
      <alignment horizontal="center" vertical="center" wrapText="1"/>
    </xf>
    <xf numFmtId="9" fontId="33" fillId="4" borderId="2" xfId="2" applyFont="1" applyFill="1" applyBorder="1" applyAlignment="1">
      <alignment horizontal="center" vertical="center" wrapText="1"/>
    </xf>
    <xf numFmtId="167" fontId="33" fillId="4" borderId="2" xfId="1" applyNumberFormat="1" applyFont="1" applyFill="1" applyBorder="1" applyAlignment="1">
      <alignment horizontal="center" vertical="center" wrapText="1"/>
    </xf>
    <xf numFmtId="167" fontId="35" fillId="4" borderId="2" xfId="1" applyNumberFormat="1" applyFont="1" applyFill="1" applyBorder="1" applyAlignment="1">
      <alignment horizontal="center" vertical="center" wrapText="1"/>
    </xf>
    <xf numFmtId="49" fontId="35" fillId="4" borderId="2" xfId="1" applyNumberFormat="1" applyFont="1" applyFill="1" applyBorder="1" applyAlignment="1">
      <alignment horizontal="center" vertical="center" wrapText="1"/>
    </xf>
    <xf numFmtId="167" fontId="32" fillId="4" borderId="2" xfId="1" applyNumberFormat="1" applyFont="1" applyFill="1" applyBorder="1" applyAlignment="1">
      <alignment horizontal="center" vertical="center"/>
    </xf>
    <xf numFmtId="167" fontId="33" fillId="4" borderId="2" xfId="1" applyNumberFormat="1" applyFont="1" applyFill="1" applyBorder="1" applyAlignment="1">
      <alignment horizontal="center" vertical="center"/>
    </xf>
    <xf numFmtId="169" fontId="32" fillId="4" borderId="2" xfId="1" applyNumberFormat="1" applyFont="1" applyFill="1" applyBorder="1" applyAlignment="1">
      <alignment horizontal="center" vertical="center"/>
    </xf>
    <xf numFmtId="167" fontId="33" fillId="4" borderId="2" xfId="1" applyNumberFormat="1" applyFont="1" applyFill="1" applyBorder="1" applyAlignment="1">
      <alignment vertical="center"/>
    </xf>
    <xf numFmtId="9" fontId="32" fillId="4" borderId="2" xfId="2" applyFont="1" applyFill="1" applyBorder="1" applyAlignment="1">
      <alignment horizontal="center" vertical="center"/>
    </xf>
    <xf numFmtId="9" fontId="33" fillId="4" borderId="2" xfId="2" applyFont="1" applyFill="1" applyBorder="1" applyAlignment="1">
      <alignment horizontal="center" vertical="center"/>
    </xf>
    <xf numFmtId="167" fontId="34" fillId="4" borderId="2" xfId="1" applyNumberFormat="1" applyFont="1" applyFill="1" applyBorder="1" applyAlignment="1">
      <alignment horizontal="center" vertical="center" wrapText="1"/>
    </xf>
    <xf numFmtId="169" fontId="35" fillId="4" borderId="2" xfId="1" applyNumberFormat="1" applyFont="1" applyFill="1" applyBorder="1" applyAlignment="1">
      <alignment horizontal="center" vertical="center"/>
    </xf>
    <xf numFmtId="10" fontId="35" fillId="4" borderId="2" xfId="2" applyNumberFormat="1" applyFont="1" applyFill="1" applyBorder="1" applyAlignment="1">
      <alignment horizontal="center" vertical="center"/>
    </xf>
    <xf numFmtId="167" fontId="35" fillId="4" borderId="2" xfId="1" applyNumberFormat="1" applyFont="1" applyFill="1" applyBorder="1" applyAlignment="1">
      <alignment horizontal="center" vertical="center"/>
    </xf>
    <xf numFmtId="169" fontId="32" fillId="4" borderId="2" xfId="1" applyNumberFormat="1" applyFont="1" applyFill="1" applyBorder="1" applyAlignment="1">
      <alignment horizontal="center" vertical="center" wrapText="1"/>
    </xf>
    <xf numFmtId="167" fontId="32" fillId="4" borderId="2" xfId="1" applyNumberFormat="1" applyFont="1" applyFill="1" applyBorder="1" applyAlignment="1">
      <alignment horizontal="center" vertical="center" wrapText="1"/>
    </xf>
    <xf numFmtId="169" fontId="32" fillId="4" borderId="2" xfId="1" applyNumberFormat="1" applyFont="1" applyFill="1" applyBorder="1" applyAlignment="1">
      <alignment vertical="center" wrapText="1"/>
    </xf>
    <xf numFmtId="170" fontId="38" fillId="4" borderId="2" xfId="1" applyNumberFormat="1" applyFont="1" applyFill="1" applyBorder="1" applyAlignment="1">
      <alignment horizontal="center" vertical="center" wrapText="1"/>
    </xf>
    <xf numFmtId="9" fontId="35" fillId="4" borderId="2" xfId="2" applyFont="1" applyFill="1" applyBorder="1" applyAlignment="1">
      <alignment horizontal="center" vertical="center"/>
    </xf>
    <xf numFmtId="167" fontId="32" fillId="4" borderId="2" xfId="1" applyNumberFormat="1" applyFont="1" applyFill="1" applyBorder="1" applyAlignment="1">
      <alignment horizontal="right" vertical="center"/>
    </xf>
    <xf numFmtId="167" fontId="35" fillId="4" borderId="2" xfId="1" applyNumberFormat="1" applyFont="1" applyFill="1" applyBorder="1" applyAlignment="1">
      <alignment vertical="center"/>
    </xf>
    <xf numFmtId="169" fontId="35" fillId="4" borderId="2" xfId="1" applyNumberFormat="1" applyFont="1" applyFill="1" applyBorder="1" applyAlignment="1">
      <alignment vertical="center"/>
    </xf>
    <xf numFmtId="170" fontId="35" fillId="4" borderId="2" xfId="1" applyNumberFormat="1" applyFont="1" applyFill="1" applyBorder="1" applyAlignment="1">
      <alignment vertical="center"/>
    </xf>
    <xf numFmtId="9" fontId="39" fillId="4" borderId="2" xfId="2" applyFont="1" applyFill="1" applyBorder="1" applyAlignment="1">
      <alignment horizontal="center" vertical="center"/>
    </xf>
    <xf numFmtId="167" fontId="35" fillId="4" borderId="2" xfId="1" applyNumberFormat="1" applyFont="1" applyFill="1" applyBorder="1" applyAlignment="1">
      <alignment horizontal="right" vertical="center"/>
    </xf>
    <xf numFmtId="167" fontId="36" fillId="0" borderId="2" xfId="1" applyNumberFormat="1" applyFont="1" applyBorder="1" applyAlignment="1">
      <alignment vertical="center"/>
    </xf>
    <xf numFmtId="169" fontId="36" fillId="0" borderId="2" xfId="1" applyNumberFormat="1" applyFont="1" applyBorder="1" applyAlignment="1">
      <alignment vertical="center"/>
    </xf>
    <xf numFmtId="170" fontId="36" fillId="0" borderId="2" xfId="1" applyNumberFormat="1" applyFont="1" applyBorder="1" applyAlignment="1">
      <alignment vertical="center"/>
    </xf>
    <xf numFmtId="167" fontId="36" fillId="4" borderId="2" xfId="1" applyNumberFormat="1" applyFont="1" applyFill="1" applyBorder="1" applyAlignment="1">
      <alignment vertical="center"/>
    </xf>
    <xf numFmtId="169" fontId="36" fillId="4" borderId="2" xfId="1" applyNumberFormat="1" applyFont="1" applyFill="1" applyBorder="1" applyAlignment="1">
      <alignment vertical="center"/>
    </xf>
    <xf numFmtId="170" fontId="36" fillId="4" borderId="2" xfId="1" applyNumberFormat="1" applyFont="1" applyFill="1" applyBorder="1" applyAlignment="1">
      <alignment vertical="center"/>
    </xf>
    <xf numFmtId="174" fontId="39" fillId="0" borderId="2" xfId="24" quotePrefix="1" applyNumberFormat="1" applyFont="1" applyBorder="1" applyAlignment="1">
      <alignment vertical="center"/>
    </xf>
    <xf numFmtId="9" fontId="35" fillId="0" borderId="2" xfId="2" applyFont="1" applyFill="1" applyBorder="1" applyAlignment="1">
      <alignment horizontal="center" vertical="center"/>
    </xf>
    <xf numFmtId="9" fontId="35" fillId="4" borderId="2" xfId="2" applyFont="1" applyFill="1" applyBorder="1" applyAlignment="1">
      <alignment horizontal="center" vertical="center" wrapText="1"/>
    </xf>
    <xf numFmtId="0" fontId="35" fillId="0" borderId="2" xfId="0" applyFont="1" applyBorder="1" applyAlignment="1">
      <alignment horizontal="left" vertical="center"/>
    </xf>
    <xf numFmtId="0" fontId="32" fillId="0" borderId="2" xfId="0" applyFont="1" applyBorder="1" applyAlignment="1">
      <alignment vertical="center" wrapText="1"/>
    </xf>
    <xf numFmtId="0" fontId="35" fillId="0" borderId="2" xfId="0" applyFont="1" applyBorder="1" applyAlignment="1">
      <alignment horizontal="center" vertical="center"/>
    </xf>
    <xf numFmtId="49" fontId="35" fillId="0" borderId="2" xfId="0" applyNumberFormat="1" applyFont="1" applyBorder="1" applyAlignment="1">
      <alignment horizontal="center" vertical="center"/>
    </xf>
    <xf numFmtId="167" fontId="35" fillId="0" borderId="2" xfId="1" applyNumberFormat="1" applyFont="1" applyBorder="1" applyAlignment="1">
      <alignment horizontal="center" vertical="center"/>
    </xf>
    <xf numFmtId="0" fontId="35" fillId="0" borderId="2" xfId="0" applyFont="1" applyBorder="1" applyAlignment="1">
      <alignment horizontal="center" vertical="center" wrapText="1"/>
    </xf>
    <xf numFmtId="0" fontId="35" fillId="0" borderId="2" xfId="0" applyFont="1" applyBorder="1" applyAlignment="1">
      <alignment vertical="center"/>
    </xf>
    <xf numFmtId="167" fontId="35" fillId="0" borderId="2" xfId="1" applyNumberFormat="1" applyFont="1" applyBorder="1" applyAlignment="1">
      <alignment vertical="center"/>
    </xf>
    <xf numFmtId="169" fontId="35" fillId="0" borderId="2" xfId="1" applyNumberFormat="1" applyFont="1" applyBorder="1" applyAlignment="1">
      <alignment vertical="center"/>
    </xf>
    <xf numFmtId="170" fontId="35" fillId="0" borderId="2" xfId="1" applyNumberFormat="1" applyFont="1" applyBorder="1" applyAlignment="1">
      <alignment vertical="center"/>
    </xf>
    <xf numFmtId="9" fontId="35" fillId="0" borderId="2" xfId="2" applyFont="1" applyBorder="1" applyAlignment="1">
      <alignment vertical="center"/>
    </xf>
    <xf numFmtId="9" fontId="35" fillId="0" borderId="2" xfId="2" applyFont="1" applyBorder="1" applyAlignment="1">
      <alignment horizontal="center" vertical="center"/>
    </xf>
    <xf numFmtId="0" fontId="35" fillId="9" borderId="2" xfId="0" applyFont="1" applyFill="1" applyBorder="1" applyAlignment="1">
      <alignment horizontal="center" vertical="center"/>
    </xf>
    <xf numFmtId="173" fontId="35" fillId="4" borderId="2" xfId="0" applyNumberFormat="1" applyFont="1" applyFill="1" applyBorder="1" applyAlignment="1">
      <alignment horizontal="center" vertical="center"/>
    </xf>
    <xf numFmtId="167" fontId="36" fillId="0" borderId="4" xfId="22" applyNumberFormat="1" applyFont="1" applyBorder="1" applyAlignment="1">
      <alignment vertical="center"/>
    </xf>
    <xf numFmtId="167" fontId="36" fillId="0" borderId="3" xfId="22" applyNumberFormat="1" applyFont="1" applyBorder="1" applyAlignment="1">
      <alignment vertical="center"/>
    </xf>
    <xf numFmtId="167" fontId="32" fillId="4" borderId="2" xfId="1" applyNumberFormat="1" applyFont="1" applyFill="1" applyBorder="1" applyAlignment="1">
      <alignment vertical="center"/>
    </xf>
    <xf numFmtId="0" fontId="5" fillId="0" borderId="1" xfId="21" applyFont="1" applyBorder="1" applyAlignment="1">
      <alignment horizontal="center" vertical="center"/>
    </xf>
    <xf numFmtId="0" fontId="5" fillId="0" borderId="1" xfId="0" applyFont="1" applyBorder="1" applyAlignment="1">
      <alignment horizontal="center" vertical="center"/>
    </xf>
  </cellXfs>
  <cellStyles count="25">
    <cellStyle name="Comma" xfId="1" builtinId="3"/>
    <cellStyle name="Comma [0]" xfId="24" builtinId="6"/>
    <cellStyle name="Comma 2" xfId="3" xr:uid="{00000000-0005-0000-0000-000002000000}"/>
    <cellStyle name="Comma 2 2" xfId="4" xr:uid="{00000000-0005-0000-0000-000003000000}"/>
    <cellStyle name="Comma 3" xfId="5" xr:uid="{00000000-0005-0000-0000-000004000000}"/>
    <cellStyle name="Comma 4" xfId="6" xr:uid="{00000000-0005-0000-0000-000005000000}"/>
    <cellStyle name="Comma 5" xfId="22" xr:uid="{00000000-0005-0000-0000-000006000000}"/>
    <cellStyle name="Comma 7" xfId="7" xr:uid="{00000000-0005-0000-0000-000007000000}"/>
    <cellStyle name="Normal" xfId="0" builtinId="0"/>
    <cellStyle name="Normal 2" xfId="8" xr:uid="{00000000-0005-0000-0000-000009000000}"/>
    <cellStyle name="Normal 2 2" xfId="9" xr:uid="{00000000-0005-0000-0000-00000A000000}"/>
    <cellStyle name="Normal 2 3" xfId="10" xr:uid="{00000000-0005-0000-0000-00000B000000}"/>
    <cellStyle name="Normal 2 4" xfId="11" xr:uid="{00000000-0005-0000-0000-00000C000000}"/>
    <cellStyle name="Normal 3" xfId="12" xr:uid="{00000000-0005-0000-0000-00000D000000}"/>
    <cellStyle name="Normal 3 2" xfId="13" xr:uid="{00000000-0005-0000-0000-00000E000000}"/>
    <cellStyle name="Normal 4" xfId="14" xr:uid="{00000000-0005-0000-0000-00000F000000}"/>
    <cellStyle name="Normal 5" xfId="15" xr:uid="{00000000-0005-0000-0000-000010000000}"/>
    <cellStyle name="Normal 5 2" xfId="16" xr:uid="{00000000-0005-0000-0000-000011000000}"/>
    <cellStyle name="Normal 6" xfId="17" xr:uid="{00000000-0005-0000-0000-000012000000}"/>
    <cellStyle name="Normal 7" xfId="21" xr:uid="{00000000-0005-0000-0000-000013000000}"/>
    <cellStyle name="Percent" xfId="2" builtinId="5"/>
    <cellStyle name="Percent 2" xfId="18" xr:uid="{00000000-0005-0000-0000-000015000000}"/>
    <cellStyle name="Percent 2 2" xfId="19" xr:uid="{00000000-0005-0000-0000-000016000000}"/>
    <cellStyle name="Percent 3" xfId="20" xr:uid="{00000000-0005-0000-0000-000017000000}"/>
    <cellStyle name="Percent 4" xfId="23" xr:uid="{00000000-0005-0000-0000-00001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esktop/&#272;&#432;&#7901;ng%20v&#224;o%20khu%20T&#272;C/PA%20&#272;&#432;&#7901;ng%20V&#224;o%20T&#272;C%20V&#297;nh%20An.xlsx" TargetMode="External"/><Relationship Id="rId1" Type="http://schemas.openxmlformats.org/officeDocument/2006/relationships/externalLinkPath" Target="/Users/Admin/Desktop/&#272;&#432;&#7901;ng%20v&#224;o%20khu%20T&#272;C/PA%20&#272;&#432;&#7901;ng%20V&#224;o%20T&#272;C%20V&#297;nh%20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Zalo%20t&#7843;i%20v&#7873;/&#272;&#7845;u%20gi&#225;%20VK/&#272;&#7845;t%20N&#244;ng%20Nghi&#7879;p/&#272;&#432;&#7901;ng%20v&#224;o%20T&#272;C%20V&#297;nh%20A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NGUYEN%20DUC%20DUONG/Downloads/&#272;&#432;&#7901;ng%20v&#224;o%20khu%20T&#272;C/PA%20&#272;&#432;&#7901;ng%20V&#224;o%20T&#272;C%20V&#297;nh%20An.xlsx" TargetMode="External"/><Relationship Id="rId1" Type="http://schemas.openxmlformats.org/officeDocument/2006/relationships/externalLinkPath" Target="/Users/NGUYEN%20DUC%20DUONG/Downloads/&#272;&#432;&#7901;ng%20v&#224;o%20khu%20T&#272;C/PA%20&#272;&#432;&#7901;ng%20V&#224;o%20T&#272;C%20V&#297;nh%20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L"/>
      <sheetName val="DL. VKT 2025"/>
      <sheetName val=" DL cây 2025"/>
      <sheetName val="DS chuẩn"/>
      <sheetName val="DS ĐÔNG KHÚC"/>
      <sheetName val="Sheet1"/>
    </sheetNames>
    <sheetDataSet>
      <sheetData sheetId="0" refreshError="1"/>
      <sheetData sheetId="1"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row>
        <row r="4">
          <cell r="C4" t="str">
            <v>Chiều cao trung bình 1 tầng ≤ 4,5m cứ tăng 0,1m cộng thêm 44.000 đồng/m2</v>
          </cell>
        </row>
        <row r="5">
          <cell r="B5" t="str">
            <v>Nha1t(4,4-4,5)-BTCT</v>
          </cell>
          <cell r="C5" t="str">
            <v xml:space="preserve">Nhà 1 tầng, tường chịu lực xây gạch 220, mái BTCT, chiều cao  từ 4,4 đến 4,5m </v>
          </cell>
          <cell r="E5" t="str">
            <v>m2</v>
          </cell>
          <cell r="F5">
            <v>4400000</v>
          </cell>
          <cell r="G5">
            <v>25</v>
          </cell>
          <cell r="H5">
            <v>0.8</v>
          </cell>
        </row>
        <row r="6">
          <cell r="B6" t="str">
            <v>Nha1t(4,3-4,4)-BTCT</v>
          </cell>
          <cell r="C6" t="str">
            <v xml:space="preserve">Nhà 1 tầng, tường chịu lực xây gạch 220, mái BTCT, chiều cao  từ 4,3 đến 4,4m </v>
          </cell>
          <cell r="E6" t="str">
            <v>m2</v>
          </cell>
          <cell r="F6">
            <v>4351600</v>
          </cell>
          <cell r="G6">
            <v>25</v>
          </cell>
          <cell r="H6">
            <v>0.8</v>
          </cell>
        </row>
        <row r="7">
          <cell r="B7" t="str">
            <v>Nha1t(4,2-4,3)-BTCT</v>
          </cell>
          <cell r="C7" t="str">
            <v xml:space="preserve">Nhà 1 tầng, tường chịu lực xây gạch 220, mái BTCT, chiều cao  từ 4,2 đến 4,3m </v>
          </cell>
          <cell r="E7" t="str">
            <v>m2</v>
          </cell>
          <cell r="F7">
            <v>4303200</v>
          </cell>
          <cell r="G7">
            <v>25</v>
          </cell>
          <cell r="H7">
            <v>0.8</v>
          </cell>
        </row>
        <row r="8">
          <cell r="B8" t="str">
            <v>Nha1t(4,1-4,2)-BTCT</v>
          </cell>
          <cell r="C8" t="str">
            <v xml:space="preserve">Nhà 1 tầng, tường chịu lực xây gạch 220, mái BTCT, chiều cao  từ 4,1 đến 4,2m </v>
          </cell>
          <cell r="E8" t="str">
            <v>m2</v>
          </cell>
          <cell r="F8">
            <v>4254800</v>
          </cell>
          <cell r="G8">
            <v>25</v>
          </cell>
          <cell r="H8">
            <v>0.8</v>
          </cell>
        </row>
        <row r="9">
          <cell r="B9" t="str">
            <v>Nha1t(4,0-4,1)-BTCT</v>
          </cell>
          <cell r="C9" t="str">
            <v xml:space="preserve">Nhà 1 tầng, tường chịu lực xây gạch 220, mái BTCT, chiều cao  từ 4,0 đến 4,1m </v>
          </cell>
          <cell r="E9" t="str">
            <v>m2</v>
          </cell>
          <cell r="F9">
            <v>4206400</v>
          </cell>
          <cell r="G9">
            <v>25</v>
          </cell>
          <cell r="H9">
            <v>0.8</v>
          </cell>
        </row>
        <row r="10">
          <cell r="B10" t="str">
            <v>Nha1t(3,9-4,0)-BTCT</v>
          </cell>
          <cell r="C10" t="str">
            <v xml:space="preserve">Nhà 1 tầng, tường chịu lực xây gạch 220, mái BTCT, chiều cao  từ 3,9 đến 4,0m </v>
          </cell>
          <cell r="E10" t="str">
            <v>m2</v>
          </cell>
          <cell r="F10">
            <v>4158000.0000000005</v>
          </cell>
          <cell r="G10">
            <v>25</v>
          </cell>
          <cell r="H10">
            <v>0.8</v>
          </cell>
        </row>
        <row r="11">
          <cell r="B11" t="str">
            <v>Nha1t(3,8-3,9)-BTCT</v>
          </cell>
          <cell r="C11" t="str">
            <v xml:space="preserve">Nhà 1 tầng, tường chịu lực xây gạch 220, mái BTCT, chiều cao  từ 3,8 đến 3,9m </v>
          </cell>
          <cell r="E11" t="str">
            <v>m2</v>
          </cell>
          <cell r="F11">
            <v>4109600.0000000005</v>
          </cell>
          <cell r="G11">
            <v>25</v>
          </cell>
          <cell r="H11">
            <v>0.8</v>
          </cell>
        </row>
        <row r="12">
          <cell r="B12" t="str">
            <v>Nha1t(3,7-3,8)-BTCT</v>
          </cell>
          <cell r="C12" t="str">
            <v xml:space="preserve">Nhà 1 tầng, tường chịu lực xây gạch 220, mái BTCT, chiều cao  từ 3,7 đến 3,8m </v>
          </cell>
          <cell r="E12" t="str">
            <v>m2</v>
          </cell>
          <cell r="F12">
            <v>4061200.0000000005</v>
          </cell>
          <cell r="G12">
            <v>25</v>
          </cell>
          <cell r="H12">
            <v>0.8</v>
          </cell>
        </row>
        <row r="13">
          <cell r="B13" t="str">
            <v>Nha1t(3,6-3,7)-BTCT</v>
          </cell>
          <cell r="C13" t="str">
            <v xml:space="preserve">Nhà 1 tầng, tường chịu lực xây gạch 220, mái BTCT, chiều cao  từ 3,6 đến 3,7m </v>
          </cell>
          <cell r="E13" t="str">
            <v>m2</v>
          </cell>
          <cell r="F13">
            <v>4012800.0000000005</v>
          </cell>
          <cell r="G13">
            <v>25</v>
          </cell>
          <cell r="H13">
            <v>0.8</v>
          </cell>
        </row>
        <row r="14">
          <cell r="B14" t="str">
            <v>Nha1t(3,5-3,6)-BTCT</v>
          </cell>
          <cell r="C14" t="str">
            <v xml:space="preserve">Nhà 1 tầng, tường chịu lực xây gạch 220, mái BTCT, chiều cao  từ 3,5 đến 3,6m </v>
          </cell>
          <cell r="E14" t="str">
            <v>m2</v>
          </cell>
          <cell r="F14">
            <v>3964400.0000000005</v>
          </cell>
          <cell r="G14">
            <v>25</v>
          </cell>
          <cell r="H14">
            <v>0.8</v>
          </cell>
        </row>
        <row r="15">
          <cell r="B15" t="str">
            <v>Nha1t(3,4-3,5)-BTCT</v>
          </cell>
          <cell r="C15" t="str">
            <v xml:space="preserve">Nhà 1 tầng, tường chịu lực xây gạch 220, mái BTCT, chiều cao  từ 3,4 đến 3,5m </v>
          </cell>
          <cell r="E15" t="str">
            <v>m2</v>
          </cell>
          <cell r="F15">
            <v>3916000.0000000005</v>
          </cell>
          <cell r="G15">
            <v>25</v>
          </cell>
          <cell r="H15">
            <v>0.8</v>
          </cell>
        </row>
        <row r="16">
          <cell r="B16" t="str">
            <v>Nha1t(3,3-3,4)-BTCT</v>
          </cell>
          <cell r="C16" t="str">
            <v xml:space="preserve">Nhà 1 tầng, tường chịu lực xây gạch 220, mái BTCT, chiều cao  từ 3,3 đến 3,4m </v>
          </cell>
          <cell r="E16" t="str">
            <v>m2</v>
          </cell>
          <cell r="F16">
            <v>3867600.0000000005</v>
          </cell>
          <cell r="G16">
            <v>25</v>
          </cell>
          <cell r="H16">
            <v>0.8</v>
          </cell>
        </row>
        <row r="17">
          <cell r="B17" t="str">
            <v>Nha1t(3,2-3,3)-BTCT</v>
          </cell>
          <cell r="C17" t="str">
            <v xml:space="preserve">Nhà 1 tầng, tường chịu lực xây gạch 220, mái BTCT, chiều cao  từ 3,2 đến 3,3m </v>
          </cell>
          <cell r="E17" t="str">
            <v>m2</v>
          </cell>
          <cell r="F17">
            <v>3819200.0000000005</v>
          </cell>
          <cell r="G17">
            <v>25</v>
          </cell>
          <cell r="H17">
            <v>0.8</v>
          </cell>
        </row>
        <row r="18">
          <cell r="B18" t="str">
            <v>Nha1t(3,1-3,2)-BTCT</v>
          </cell>
          <cell r="C18" t="str">
            <v xml:space="preserve">Nhà 1 tầng, tường chịu lực xây gạch 220, mái BTCT, chiều cao  từ 3,1 đến 3,2m </v>
          </cell>
          <cell r="E18" t="str">
            <v>m2</v>
          </cell>
          <cell r="F18">
            <v>3770800.0000000005</v>
          </cell>
          <cell r="G18">
            <v>25</v>
          </cell>
          <cell r="H18">
            <v>0.8</v>
          </cell>
        </row>
        <row r="19">
          <cell r="B19" t="str">
            <v>Nha1t(3,0-3,1)-BTCT</v>
          </cell>
          <cell r="C19" t="str">
            <v xml:space="preserve">Nhà 1 tầng, tường chịu lực xây gạch 220, mái BTCT, chiều cao  từ 3,0 đến 3,1m </v>
          </cell>
          <cell r="E19" t="str">
            <v>m2</v>
          </cell>
          <cell r="F19">
            <v>3722400.0000000005</v>
          </cell>
          <cell r="G19">
            <v>25</v>
          </cell>
          <cell r="H19">
            <v>0.8</v>
          </cell>
        </row>
        <row r="20">
          <cell r="C20" t="str">
            <v>Chiều cao tầng dưới 3,0m (Cứ 0,1m trừ đi 44.000 đồng/m2)</v>
          </cell>
        </row>
        <row r="21">
          <cell r="B21" t="str">
            <v>NHÀ 1 TẦNG KHUNG CHỊU LỰC</v>
          </cell>
          <cell r="C21" t="str">
            <v>Nhà 1 tầng, khung chịu lực BTCT, tường xây gạch 220, mái BTCT, nền lót vữa XM, trát tường và quét vôi ve</v>
          </cell>
        </row>
        <row r="22">
          <cell r="C22" t="str">
            <v>Chiều cao trung bình 1 tầng ≤ 4,5m cứ tăng 0,1m cộng thêm 50.000 đồng/m2</v>
          </cell>
        </row>
        <row r="23">
          <cell r="B23" t="str">
            <v>Nha1t.1(4,4-4,5)</v>
          </cell>
          <cell r="C23" t="str">
            <v xml:space="preserve">Nhà 1 tầng, khung chịu lực BTCT, tường xây gạch 220, mái BTCT, chiều cao  từ 4,4 đến 4,5m </v>
          </cell>
          <cell r="E23" t="str">
            <v>m2</v>
          </cell>
          <cell r="F23">
            <v>4956600</v>
          </cell>
          <cell r="G23">
            <v>25</v>
          </cell>
          <cell r="H23">
            <v>0.8</v>
          </cell>
        </row>
        <row r="24">
          <cell r="B24" t="str">
            <v>Nha1t.1(4,3-4,4)</v>
          </cell>
          <cell r="C24" t="str">
            <v xml:space="preserve">Nhà 1 tầng, khung chịu lực BTCT, tường xây gạch 220, mái BTCT, chiều cao  từ 4,3 đến 4,4m </v>
          </cell>
          <cell r="E24" t="str">
            <v>m2</v>
          </cell>
          <cell r="F24">
            <v>4901600</v>
          </cell>
          <cell r="G24">
            <v>25</v>
          </cell>
          <cell r="H24">
            <v>0.8</v>
          </cell>
        </row>
        <row r="25">
          <cell r="B25" t="str">
            <v>Nha1t.1(4,2-4,3)</v>
          </cell>
          <cell r="C25" t="str">
            <v xml:space="preserve">Nhà 1 tầng, khung chịu lực BTCT, tường xây gạch 220, mái BTCT, chiều cao  từ 4,2 đến 4,3m </v>
          </cell>
          <cell r="E25" t="str">
            <v>m2</v>
          </cell>
          <cell r="F25">
            <v>4846600</v>
          </cell>
          <cell r="G25">
            <v>25</v>
          </cell>
          <cell r="H25">
            <v>0.8</v>
          </cell>
        </row>
        <row r="26">
          <cell r="B26" t="str">
            <v>Nha1t.1(4,1-4,2)</v>
          </cell>
          <cell r="C26" t="str">
            <v xml:space="preserve">Nhà 1 tầng, khung chịu lực BTCT, tường xây gạch 220, mái BTCT, chiều cao  từ 4,1 đến 4,2m </v>
          </cell>
          <cell r="E26" t="str">
            <v>m2</v>
          </cell>
          <cell r="F26">
            <v>4791600</v>
          </cell>
          <cell r="G26">
            <v>25</v>
          </cell>
          <cell r="H26">
            <v>0.8</v>
          </cell>
        </row>
        <row r="27">
          <cell r="B27" t="str">
            <v>Nha1t.1(4,0-4,1)</v>
          </cell>
          <cell r="C27" t="str">
            <v xml:space="preserve">Nhà 1 tầng, khung chịu lực BTCT, tường xây gạch 220, mái BTCT, chiều cao  từ 4,0 đến 4,1m </v>
          </cell>
          <cell r="E27" t="str">
            <v>m2</v>
          </cell>
          <cell r="F27">
            <v>4736600</v>
          </cell>
          <cell r="G27">
            <v>25</v>
          </cell>
          <cell r="H27">
            <v>0.8</v>
          </cell>
        </row>
        <row r="28">
          <cell r="B28" t="str">
            <v>Nha1t.1(3,9-4,0)</v>
          </cell>
          <cell r="C28" t="str">
            <v xml:space="preserve">Nhà 1 tầng, khung chịu lực BTCT, tường xây gạch 220, mái BTCT, chiều cao  từ 3,9 đến 4,0m </v>
          </cell>
          <cell r="E28" t="str">
            <v>m2</v>
          </cell>
          <cell r="F28">
            <v>4681600</v>
          </cell>
          <cell r="G28">
            <v>25</v>
          </cell>
          <cell r="H28">
            <v>0.8</v>
          </cell>
        </row>
        <row r="29">
          <cell r="B29" t="str">
            <v>Nha1t.1(3,8-3,9)</v>
          </cell>
          <cell r="C29" t="str">
            <v xml:space="preserve">Nhà 1 tầng, khung chịu lực BTCT, tường xây gạch 220, mái BTCT, chiều cao  từ 3,8 đến 3,9m </v>
          </cell>
          <cell r="E29" t="str">
            <v>m2</v>
          </cell>
          <cell r="F29">
            <v>4626600</v>
          </cell>
          <cell r="G29">
            <v>25</v>
          </cell>
          <cell r="H29">
            <v>0.8</v>
          </cell>
        </row>
        <row r="30">
          <cell r="B30" t="str">
            <v>Nha1t.1(3,7-3,8)</v>
          </cell>
          <cell r="C30" t="str">
            <v xml:space="preserve">Nhà 1 tầng, khung chịu lực BTCT, tường xây gạch 220, mái BTCT, chiều cao  từ 3,7 đến 3,8m </v>
          </cell>
          <cell r="E30" t="str">
            <v>m2</v>
          </cell>
          <cell r="F30">
            <v>4571600</v>
          </cell>
          <cell r="G30">
            <v>25</v>
          </cell>
          <cell r="H30">
            <v>0.8</v>
          </cell>
        </row>
        <row r="31">
          <cell r="B31" t="str">
            <v>Nha1t.1(3,6-3,7)</v>
          </cell>
          <cell r="C31" t="str">
            <v xml:space="preserve">Nhà 1 tầng, khung chịu lực BTCT, tường xây gạch 220, mái BTCT, chiều cao  từ 3,6 đến 3,7m </v>
          </cell>
          <cell r="E31" t="str">
            <v>m2</v>
          </cell>
          <cell r="F31">
            <v>4516600</v>
          </cell>
          <cell r="G31">
            <v>25</v>
          </cell>
          <cell r="H31">
            <v>0.8</v>
          </cell>
        </row>
        <row r="32">
          <cell r="B32" t="str">
            <v>Nha1t.1(3,5-3,6)</v>
          </cell>
          <cell r="C32" t="str">
            <v xml:space="preserve">Nhà 1 tầng, khung chịu lực BTCT, tường xây gạch 220, mái BTCT, chiều cao  từ 3,5 đến 3,6m </v>
          </cell>
          <cell r="E32" t="str">
            <v>m2</v>
          </cell>
          <cell r="F32">
            <v>4461600</v>
          </cell>
          <cell r="G32">
            <v>25</v>
          </cell>
          <cell r="H32">
            <v>0.8</v>
          </cell>
        </row>
        <row r="33">
          <cell r="B33" t="str">
            <v>Nha1t.1(3,4-3,5)</v>
          </cell>
          <cell r="C33" t="str">
            <v xml:space="preserve">Nhà 1 tầng, khung chịu lực BTCT, tường xây gạch 220, mái BTCT, chiều cao  từ 3,4 đến 3,5m </v>
          </cell>
          <cell r="E33" t="str">
            <v>m2</v>
          </cell>
          <cell r="F33">
            <v>4406600</v>
          </cell>
          <cell r="G33">
            <v>25</v>
          </cell>
          <cell r="H33">
            <v>0.8</v>
          </cell>
        </row>
        <row r="34">
          <cell r="B34" t="str">
            <v>Nha1t.1(3,3-3,4)</v>
          </cell>
          <cell r="C34" t="str">
            <v xml:space="preserve">Nhà 1 tầng, khung chịu lực BTCT, tường xây gạch 220, mái BTCT, chiều cao  từ 3,3 đến 3,4m </v>
          </cell>
          <cell r="E34" t="str">
            <v>m2</v>
          </cell>
          <cell r="F34">
            <v>4351600</v>
          </cell>
          <cell r="G34">
            <v>25</v>
          </cell>
          <cell r="H34">
            <v>0.8</v>
          </cell>
        </row>
        <row r="35">
          <cell r="B35" t="str">
            <v>Nha1t.1(3,2-3,3)</v>
          </cell>
          <cell r="C35" t="str">
            <v xml:space="preserve">Nhà 1 tầng, khung chịu lực BTCT, tường xây gạch 220, mái BTCT, chiều cao  từ 3,2 đến 3,3m </v>
          </cell>
          <cell r="E35" t="str">
            <v>m2</v>
          </cell>
          <cell r="F35">
            <v>4296600</v>
          </cell>
          <cell r="G35">
            <v>25</v>
          </cell>
          <cell r="H35">
            <v>0.8</v>
          </cell>
        </row>
        <row r="36">
          <cell r="B36" t="str">
            <v>Nha1t.1(3,1-3,2)</v>
          </cell>
          <cell r="C36" t="str">
            <v xml:space="preserve">Nhà 1 tầng, khung chịu lực BTCT, tường xây gạch 220, mái BTCT, chiều cao  từ 3,1 đến 3,2m </v>
          </cell>
          <cell r="E36" t="str">
            <v>m2</v>
          </cell>
          <cell r="F36">
            <v>4241600</v>
          </cell>
          <cell r="G36">
            <v>25</v>
          </cell>
          <cell r="H36">
            <v>0.8</v>
          </cell>
        </row>
        <row r="37">
          <cell r="B37" t="str">
            <v>Nha1t.1(3,0-3,1)</v>
          </cell>
          <cell r="C37" t="str">
            <v xml:space="preserve">Nhà 1 tầng, khung chịu lực BTCT, tường xây gạch 220, mái BTCT, chiều cao  từ 3,0 đến 3,1m </v>
          </cell>
          <cell r="E37" t="str">
            <v>m2</v>
          </cell>
          <cell r="F37">
            <v>4186600.0000000005</v>
          </cell>
          <cell r="G37">
            <v>25</v>
          </cell>
          <cell r="H37">
            <v>0.8</v>
          </cell>
        </row>
        <row r="38">
          <cell r="C38" t="str">
            <v>Chiều cao tầng dưới 3,0m (Cứ 0,1m trừ đi 50.000 đồng/m2)</v>
          </cell>
        </row>
        <row r="39">
          <cell r="B39" t="str">
            <v>NHÀ 1 TẦNG</v>
          </cell>
          <cell r="C39" t="str">
            <v>Nhà 1 tầng bán kiên cố, tường chịu lực xây gạch 220, nền lót vữa XM, trát tường và quét vôi ve. Mái lợp ngói</v>
          </cell>
        </row>
        <row r="40">
          <cell r="C40" t="str">
            <v>Chiều cao trung bình 1 tầng ≤ 4,0m cứ tăng 0,1m cộng thêm 41.000 đồng/m2</v>
          </cell>
        </row>
        <row r="41">
          <cell r="B41" t="str">
            <v>Nha1.1t(3,9-4,0)-NGOI</v>
          </cell>
          <cell r="C41" t="str">
            <v>Nhà 1 tầng bán kiên cố, tường chịu lực xây gạch 220, mái lợp ngói, chiều cao từ 3,9 đến 4,0m</v>
          </cell>
          <cell r="E41" t="str">
            <v>m2</v>
          </cell>
          <cell r="F41">
            <v>2889700.0000000005</v>
          </cell>
          <cell r="G41">
            <v>25</v>
          </cell>
          <cell r="H41">
            <v>0.8</v>
          </cell>
        </row>
        <row r="42">
          <cell r="B42" t="str">
            <v>Nha1.1t(3,8-3,9)-NGOI</v>
          </cell>
          <cell r="C42" t="str">
            <v>Nhà 1 tầng bán kiên cố, tường chịu lực xây gạch 220, mái lợp ngói, chiều cao từ 3,8 đến 3,9m</v>
          </cell>
          <cell r="E42" t="str">
            <v>m2</v>
          </cell>
          <cell r="F42">
            <v>2844600</v>
          </cell>
          <cell r="G42">
            <v>25</v>
          </cell>
          <cell r="H42">
            <v>0.8</v>
          </cell>
        </row>
        <row r="43">
          <cell r="B43" t="str">
            <v>Nha1.1t(3,7-3,8)-NGOI</v>
          </cell>
          <cell r="C43" t="str">
            <v>Nhà 1 tầng bán kiên cố, tường chịu lực xây gạch 220, mái lợp ngói, chiều cao từ 3,7 đến 3,8m</v>
          </cell>
          <cell r="E43" t="str">
            <v>m2</v>
          </cell>
          <cell r="F43">
            <v>2799500</v>
          </cell>
          <cell r="G43">
            <v>25</v>
          </cell>
          <cell r="H43">
            <v>0.8</v>
          </cell>
        </row>
        <row r="44">
          <cell r="B44" t="str">
            <v>Nha1.1t(3,6-3,7)-NGOI</v>
          </cell>
          <cell r="C44" t="str">
            <v>Nhà 1 tầng bán kiên cố, tường chịu lực xây gạch 220, mái lợp ngói, chiều cao từ 3,6 đến 3,7m</v>
          </cell>
          <cell r="E44" t="str">
            <v>m2</v>
          </cell>
          <cell r="F44">
            <v>2754400</v>
          </cell>
          <cell r="G44">
            <v>25</v>
          </cell>
          <cell r="H44">
            <v>0.8</v>
          </cell>
        </row>
        <row r="45">
          <cell r="B45" t="str">
            <v>Nha1.1t(3,5-3,6)-NGOI</v>
          </cell>
          <cell r="C45" t="str">
            <v>Nhà 1 tầng bán kiên cố, tường chịu lực xây gạch 220, mái lợp ngói, chiều cao từ 3,5 đến 3,6m</v>
          </cell>
          <cell r="E45" t="str">
            <v>m2</v>
          </cell>
          <cell r="F45">
            <v>2709300</v>
          </cell>
          <cell r="G45">
            <v>25</v>
          </cell>
          <cell r="H45">
            <v>0.8</v>
          </cell>
        </row>
        <row r="46">
          <cell r="B46" t="str">
            <v>Nha1.1t(3,4-3,5)-NGOI</v>
          </cell>
          <cell r="C46" t="str">
            <v>Nhà 1 tầng bán kiên cố, tường chịu lực xây gạch 220, mái lợp ngói, chiều cao từ 3,4 đến 3,5m</v>
          </cell>
          <cell r="E46" t="str">
            <v>m2</v>
          </cell>
          <cell r="F46">
            <v>2664200</v>
          </cell>
          <cell r="G46">
            <v>25</v>
          </cell>
          <cell r="H46">
            <v>0.8</v>
          </cell>
        </row>
        <row r="47">
          <cell r="B47" t="str">
            <v>Nha1.1t(3,3-3,4)-NGOI</v>
          </cell>
          <cell r="C47" t="str">
            <v>Nhà 1 tầng bán kiên cố, tường chịu lực xây gạch 220, mái lợp ngói, chiều cao từ 3,3 đến 3,4m</v>
          </cell>
          <cell r="E47" t="str">
            <v>m2</v>
          </cell>
          <cell r="F47">
            <v>2619100</v>
          </cell>
          <cell r="G47">
            <v>25</v>
          </cell>
          <cell r="H47">
            <v>0.8</v>
          </cell>
        </row>
        <row r="48">
          <cell r="B48" t="str">
            <v>Nha1.1t(3,2-3,3)-NGOI</v>
          </cell>
          <cell r="C48" t="str">
            <v>Nhà 1 tầng bán kiên cố, tường chịu lực xây gạch 220, mái lợp ngói, chiều cao từ 3,2 đến 3,3m</v>
          </cell>
          <cell r="E48" t="str">
            <v>m2</v>
          </cell>
          <cell r="F48">
            <v>2574000</v>
          </cell>
          <cell r="G48">
            <v>25</v>
          </cell>
          <cell r="H48">
            <v>0.8</v>
          </cell>
        </row>
        <row r="49">
          <cell r="B49" t="str">
            <v>Nha1.1t(3,1-3,2)-NGOI</v>
          </cell>
          <cell r="C49" t="str">
            <v>Nhà 1 tầng bán kiên cố, tường chịu lực xây gạch 220, mái lợp ngói, chiều cao từ 3,1 đến 3,2m</v>
          </cell>
          <cell r="E49" t="str">
            <v>m2</v>
          </cell>
          <cell r="F49">
            <v>2528900</v>
          </cell>
          <cell r="G49">
            <v>25</v>
          </cell>
          <cell r="H49">
            <v>0.8</v>
          </cell>
        </row>
        <row r="50">
          <cell r="B50" t="str">
            <v>Nha1.1t(3,0-3,1)-NGOI</v>
          </cell>
          <cell r="C50" t="str">
            <v>Nhà 1 tầng bán kiên cố, tường chịu lực xây gạch 220, mái lợp ngói, chiều cao từ 3,0 đến 3,1m</v>
          </cell>
          <cell r="E50" t="str">
            <v>m2</v>
          </cell>
          <cell r="F50">
            <v>2483800</v>
          </cell>
          <cell r="G50">
            <v>25</v>
          </cell>
          <cell r="H50">
            <v>0.8</v>
          </cell>
        </row>
        <row r="51">
          <cell r="B51" t="str">
            <v>Nha1.1t(&lt;3,0)-NGOI</v>
          </cell>
          <cell r="C51" t="str">
            <v>Nhà 1 tầng bán kiên cố, tường chịu lực xây gạch 220, mái lợp ngói, chiều cao dưới 3,0m</v>
          </cell>
          <cell r="E51" t="str">
            <v>m2</v>
          </cell>
          <cell r="F51">
            <v>2438700</v>
          </cell>
          <cell r="G51">
            <v>25</v>
          </cell>
          <cell r="H51">
            <v>0.8</v>
          </cell>
        </row>
        <row r="52">
          <cell r="B52" t="str">
            <v>NHÀ 1 TẦNG</v>
          </cell>
          <cell r="C52" t="str">
            <v>Nhà 1 tầng bán kiên cố, tường chịu lực xây gạch 220, nền lót vữa XM, trát tường và quét vôi ve. Mái lợp tôn mạ màu</v>
          </cell>
        </row>
        <row r="53">
          <cell r="C53" t="str">
            <v>Chiều cao trung bình 1 tầng ≤ 4,0m cứ tăng 0,1m cộng thêm 39.000 đồng/m2</v>
          </cell>
        </row>
        <row r="54">
          <cell r="B54" t="str">
            <v>Nha1.1t(3,9-4,0)-TON</v>
          </cell>
          <cell r="C54" t="str">
            <v>Nhà 1 tầng bán kiên cố, tường chịu lực xây gạch 220, mái lợp tôn, chiều cao từ 3,9 đến 4,0m</v>
          </cell>
          <cell r="E54" t="str">
            <v>m2</v>
          </cell>
          <cell r="F54">
            <v>2732400</v>
          </cell>
          <cell r="G54">
            <v>25</v>
          </cell>
          <cell r="H54">
            <v>0.8</v>
          </cell>
        </row>
        <row r="55">
          <cell r="B55" t="str">
            <v>Nha1.1t(3,8-3,9)-TON</v>
          </cell>
          <cell r="C55" t="str">
            <v>Nhà 1 tầng bán kiên cố, tường chịu lực xây gạch 220, mái lợp tôn, chiều cao từ 3,8 đến 3,9m</v>
          </cell>
          <cell r="E55" t="str">
            <v>m2</v>
          </cell>
          <cell r="F55">
            <v>2689500</v>
          </cell>
          <cell r="G55">
            <v>25</v>
          </cell>
          <cell r="H55">
            <v>0.8</v>
          </cell>
        </row>
        <row r="56">
          <cell r="B56" t="str">
            <v>Nha1.1t(3,7-3,8)-TON</v>
          </cell>
          <cell r="C56" t="str">
            <v>Nhà 1 tầng bán kiên cố, tường chịu lực xây gạch 220, mái lợp tôn, chiều cao từ 3,7 đến 3,8m</v>
          </cell>
          <cell r="E56" t="str">
            <v>m2</v>
          </cell>
          <cell r="F56">
            <v>2646600</v>
          </cell>
          <cell r="G56">
            <v>25</v>
          </cell>
          <cell r="H56">
            <v>0.8</v>
          </cell>
        </row>
        <row r="57">
          <cell r="B57" t="str">
            <v>Nha1.1t(3,6-3,7)-TON</v>
          </cell>
          <cell r="C57" t="str">
            <v>Nhà 1 tầng bán kiên cố, tường chịu lực xây gạch 220, mái lợp tôn, chiều cao từ 3,6 đến 3,7m</v>
          </cell>
          <cell r="E57" t="str">
            <v>m2</v>
          </cell>
          <cell r="F57">
            <v>2603700</v>
          </cell>
          <cell r="G57">
            <v>25</v>
          </cell>
          <cell r="H57">
            <v>0.8</v>
          </cell>
        </row>
        <row r="58">
          <cell r="B58" t="str">
            <v>Nha1.1t(3,5-3,6)-TON</v>
          </cell>
          <cell r="C58" t="str">
            <v>Nhà 1 tầng bán kiên cố, tường chịu lực xây gạch 220, mái lợp tôn, chiều cao từ 3,5 đến 3,6m</v>
          </cell>
          <cell r="E58" t="str">
            <v>m2</v>
          </cell>
          <cell r="F58">
            <v>2560800</v>
          </cell>
          <cell r="G58">
            <v>25</v>
          </cell>
          <cell r="H58">
            <v>0.8</v>
          </cell>
        </row>
        <row r="59">
          <cell r="B59" t="str">
            <v>Nha1.1t(3,4-3,5)-TON</v>
          </cell>
          <cell r="C59" t="str">
            <v>Nhà 1 tầng bán kiên cố, tường chịu lực xây gạch 220, mái lợp tôn, chiều cao từ 3,4 đến 3,5m</v>
          </cell>
          <cell r="E59" t="str">
            <v>m2</v>
          </cell>
          <cell r="F59">
            <v>2517900</v>
          </cell>
          <cell r="G59">
            <v>25</v>
          </cell>
          <cell r="H59">
            <v>0.8</v>
          </cell>
        </row>
        <row r="60">
          <cell r="B60" t="str">
            <v>Nha1.1t(3,3-3,4)-TON</v>
          </cell>
          <cell r="C60" t="str">
            <v>Nhà 1 tầng bán kiên cố, tường chịu lực xây gạch 220, mái lợp tôn, chiều cao từ 3,3 đến 3,4m</v>
          </cell>
          <cell r="E60" t="str">
            <v>m2</v>
          </cell>
          <cell r="F60">
            <v>2475000</v>
          </cell>
          <cell r="G60">
            <v>25</v>
          </cell>
          <cell r="H60">
            <v>0.8</v>
          </cell>
        </row>
        <row r="61">
          <cell r="B61" t="str">
            <v>Nha1.1t(3,2-3,3)-TON</v>
          </cell>
          <cell r="C61" t="str">
            <v>Nhà 1 tầng bán kiên cố, tường chịu lực xây gạch 220, mái lợp tôn, chiều cao từ 3,2 đến 3,3m</v>
          </cell>
          <cell r="E61" t="str">
            <v>m2</v>
          </cell>
          <cell r="F61">
            <v>2432100</v>
          </cell>
          <cell r="G61">
            <v>25</v>
          </cell>
          <cell r="H61">
            <v>0.8</v>
          </cell>
        </row>
        <row r="62">
          <cell r="B62" t="str">
            <v>Nha1.1t(3,1-3,2)-TON</v>
          </cell>
          <cell r="C62" t="str">
            <v>Nhà 1 tầng bán kiên cố, tường chịu lực xây gạch 220, mái lợp tôn, chiều cao từ 3,1 đến 3,2m</v>
          </cell>
          <cell r="E62" t="str">
            <v>m2</v>
          </cell>
          <cell r="F62">
            <v>2389200</v>
          </cell>
          <cell r="G62">
            <v>25</v>
          </cell>
          <cell r="H62">
            <v>0.8</v>
          </cell>
        </row>
        <row r="63">
          <cell r="B63" t="str">
            <v>Nha1.1t(3,0-3,1)-TON</v>
          </cell>
          <cell r="C63" t="str">
            <v>Nhà 1 tầng bán kiên cố, tường chịu lực xây gạch 220, mái lợp tôn, chiều cao từ 3,0 đến 3,1m</v>
          </cell>
          <cell r="E63" t="str">
            <v>m2</v>
          </cell>
          <cell r="F63">
            <v>2346300</v>
          </cell>
          <cell r="G63">
            <v>25</v>
          </cell>
          <cell r="H63">
            <v>0.8</v>
          </cell>
        </row>
        <row r="64">
          <cell r="B64" t="str">
            <v>Nha1.1t(&lt;3,0)-TON</v>
          </cell>
          <cell r="C64" t="str">
            <v>Nhà 1 tầng bán kiên cố, tường chịu lực xây gạch 220, mái lợp tôn, chiều cao dưới 3,0m</v>
          </cell>
          <cell r="E64" t="str">
            <v>m2</v>
          </cell>
          <cell r="F64">
            <v>2303400</v>
          </cell>
          <cell r="G64">
            <v>25</v>
          </cell>
          <cell r="H64">
            <v>0.8</v>
          </cell>
        </row>
        <row r="65">
          <cell r="B65" t="str">
            <v>NHÀ 1 TẦNG</v>
          </cell>
          <cell r="C65" t="str">
            <v>Nhà 1 tầng bán kiên cố, tường chịu lực xây gạch 220, nền lót vữa XM, trát tường và quét vôi ve. Mái lợp Fibrôximăng</v>
          </cell>
        </row>
        <row r="66">
          <cell r="C66" t="str">
            <v>Chiều cao trung bình 1 tầng ≤ 4,0m cứ tăng 0,1m cộng thêm 35.000 đồng/m2</v>
          </cell>
        </row>
        <row r="67">
          <cell r="B67" t="str">
            <v>Nha1.1t(3,9-4,0)-FB</v>
          </cell>
          <cell r="C67" t="str">
            <v>Nhà 1 tầng bán kiên cố, tường chịu lực xây gạch 220, mái fibroximang, chiều cao từ 3,9 đến 4,0m</v>
          </cell>
          <cell r="E67" t="str">
            <v>m2</v>
          </cell>
          <cell r="F67">
            <v>2447500</v>
          </cell>
          <cell r="G67">
            <v>25</v>
          </cell>
          <cell r="H67">
            <v>0.8</v>
          </cell>
        </row>
        <row r="68">
          <cell r="B68" t="str">
            <v>Nha1.1t(3,8-3,9)-FB</v>
          </cell>
          <cell r="C68" t="str">
            <v>Nhà 1 tầng bán kiên cố, tường chịu lực xây gạch 220, mái fibroximang, chiều cao từ 3,8 đến 3,9m</v>
          </cell>
          <cell r="E68" t="str">
            <v>m2</v>
          </cell>
          <cell r="F68">
            <v>2409000</v>
          </cell>
          <cell r="G68">
            <v>25</v>
          </cell>
        </row>
        <row r="69">
          <cell r="B69" t="str">
            <v>Nha1.1t(3,7-3,8)-FB</v>
          </cell>
          <cell r="C69" t="str">
            <v>Nhà 1 tầng bán kiên cố, tường chịu lực xây gạch 220, mái fibroximang, chiều cao từ 3,7 đến 3,8m</v>
          </cell>
          <cell r="E69" t="str">
            <v>m2</v>
          </cell>
          <cell r="F69">
            <v>2370500</v>
          </cell>
          <cell r="G69">
            <v>25</v>
          </cell>
        </row>
        <row r="70">
          <cell r="B70" t="str">
            <v>Nha1.1t(3,6-3,7)-FB</v>
          </cell>
          <cell r="C70" t="str">
            <v>Nhà 1 tầng bán kiên cố, tường chịu lực xây gạch 220, mái fibroximang, chiều cao từ 3,6 đến 3,7m</v>
          </cell>
          <cell r="E70" t="str">
            <v>m2</v>
          </cell>
          <cell r="F70">
            <v>2332000</v>
          </cell>
          <cell r="G70">
            <v>25</v>
          </cell>
        </row>
        <row r="71">
          <cell r="B71" t="str">
            <v>Nha1.1t(3,5-3,6)-FB</v>
          </cell>
          <cell r="C71" t="str">
            <v>Nhà 1 tầng bán kiên cố, tường chịu lực xây gạch 220, mái fibroximang, chiều cao từ 3,5 đến 3,6m</v>
          </cell>
          <cell r="E71" t="str">
            <v>m2</v>
          </cell>
          <cell r="F71">
            <v>2293500</v>
          </cell>
          <cell r="G71">
            <v>25</v>
          </cell>
        </row>
        <row r="72">
          <cell r="B72" t="str">
            <v>Nha1.1t(3,4-3,5)-FB</v>
          </cell>
          <cell r="C72" t="str">
            <v>Nhà 1 tầng bán kiên cố, tường chịu lực xây gạch 220, mái fibroximang, chiều cao từ 3,4 đến 3,5m</v>
          </cell>
          <cell r="E72" t="str">
            <v>m2</v>
          </cell>
          <cell r="F72">
            <v>2255000</v>
          </cell>
          <cell r="G72">
            <v>25</v>
          </cell>
        </row>
        <row r="73">
          <cell r="B73" t="str">
            <v>Nha1.1t(3,3-3,4)-FB</v>
          </cell>
          <cell r="C73" t="str">
            <v>Nhà 1 tầng bán kiên cố, tường chịu lực xây gạch 220, mái fibroximang, chiều cao từ 3,3 đến 3,4m</v>
          </cell>
          <cell r="E73" t="str">
            <v>m2</v>
          </cell>
          <cell r="F73">
            <v>2216500</v>
          </cell>
          <cell r="G73">
            <v>25</v>
          </cell>
        </row>
        <row r="74">
          <cell r="B74" t="str">
            <v>Nha1.1t(3,2-3,3)-FB</v>
          </cell>
          <cell r="C74" t="str">
            <v>Nhà 1 tầng bán kiên cố, tường chịu lực xây gạch 220, mái fibroximang, chiều cao từ 3,2 đến 3,3m</v>
          </cell>
          <cell r="E74" t="str">
            <v>m2</v>
          </cell>
          <cell r="F74">
            <v>2178000</v>
          </cell>
          <cell r="G74">
            <v>25</v>
          </cell>
        </row>
        <row r="75">
          <cell r="B75" t="str">
            <v>Nha1.1t(3,1-3,2)-FB</v>
          </cell>
          <cell r="C75" t="str">
            <v>Nhà 1 tầng bán kiên cố, tường chịu lực xây gạch 220, mái fibroximang, chiều cao từ 3,1 đến 3,2m</v>
          </cell>
          <cell r="E75" t="str">
            <v>m2</v>
          </cell>
          <cell r="F75">
            <v>2139500</v>
          </cell>
          <cell r="G75">
            <v>25</v>
          </cell>
        </row>
        <row r="76">
          <cell r="B76" t="str">
            <v>Nha1.1t(3,0-3,1)-FB</v>
          </cell>
          <cell r="C76" t="str">
            <v>Nhà 1 tầng bán kiên cố, tường chịu lực xây gạch 220, mái fibroximang, chiều cao từ 3,0 đến 3,1m</v>
          </cell>
          <cell r="E76" t="str">
            <v>m2</v>
          </cell>
          <cell r="F76">
            <v>2101000</v>
          </cell>
          <cell r="G76">
            <v>25</v>
          </cell>
        </row>
        <row r="77">
          <cell r="B77" t="str">
            <v>Nha1.1t(&lt;3,0)-FB</v>
          </cell>
          <cell r="C77" t="str">
            <v>Nhà 1 tầng bán kiên cố, tường chịu lực xây gạch 220, mái fibroximang, chiều cao dưới 3,0m</v>
          </cell>
          <cell r="E77" t="str">
            <v>m2</v>
          </cell>
          <cell r="F77">
            <v>2062500.0000000002</v>
          </cell>
          <cell r="G77">
            <v>25</v>
          </cell>
        </row>
        <row r="78">
          <cell r="B78" t="str">
            <v>NHÀ 1 TẦNG</v>
          </cell>
          <cell r="C78" t="str">
            <v>'Nhà 1 tầng bán kiên cố, tường chịu lực xây gạch 110, nền lót vữa XM, trát tường và quét vôi ve. Mái lợp ngói</v>
          </cell>
        </row>
        <row r="79">
          <cell r="B79" t="str">
            <v xml:space="preserve"> </v>
          </cell>
          <cell r="C79" t="str">
            <v>Chiều cao trung bình 1 tầng ≤ 4,0m cứ tăng 0,1m cộng thêm 40.000 đồng/m2</v>
          </cell>
        </row>
        <row r="80">
          <cell r="B80" t="str">
            <v>Nha1.2t(3,9-4,0)-NGOI</v>
          </cell>
          <cell r="C80" t="str">
            <v>Nhà 1 tầng bán kiên cố, tường chịu lực xây gạch 110, mái lợp ngói, chiều cao từ 3,9 đến 4,0m</v>
          </cell>
          <cell r="E80" t="str">
            <v>m2</v>
          </cell>
          <cell r="F80">
            <v>2792900</v>
          </cell>
          <cell r="G80">
            <v>25</v>
          </cell>
          <cell r="H80">
            <v>0.8</v>
          </cell>
        </row>
        <row r="81">
          <cell r="B81" t="str">
            <v>Nha1.2t(3,8-3,9)-NGOI</v>
          </cell>
          <cell r="C81" t="str">
            <v>Nhà 1 tầng bán kiên cố, tường chịu lực xây gạch 110, mái lợp ngói, chiều cao từ 3,8 đến 3,9m</v>
          </cell>
          <cell r="E81" t="str">
            <v>m2</v>
          </cell>
          <cell r="F81">
            <v>2748900</v>
          </cell>
          <cell r="G81">
            <v>25</v>
          </cell>
          <cell r="H81">
            <v>0.8</v>
          </cell>
        </row>
        <row r="82">
          <cell r="B82" t="str">
            <v>Nha1.2t(3,7-3,8)-NGOI</v>
          </cell>
          <cell r="C82" t="str">
            <v>Nhà 1 tầng bán kiên cố, tường chịu lực xây gạch 110, mái lợp ngói, chiều cao từ 3,7 đến 3,8m</v>
          </cell>
          <cell r="E82" t="str">
            <v>m2</v>
          </cell>
          <cell r="F82">
            <v>2704900</v>
          </cell>
          <cell r="G82">
            <v>25</v>
          </cell>
          <cell r="H82">
            <v>0.8</v>
          </cell>
        </row>
        <row r="83">
          <cell r="B83" t="str">
            <v>Nha1.2t(3,6-3,7)-NGOI</v>
          </cell>
          <cell r="C83" t="str">
            <v>Nhà 1 tầng bán kiên cố, tường chịu lực xây gạch 110, mái lợp ngói, chiều cao từ 3,6 đến 3,7m</v>
          </cell>
          <cell r="E83" t="str">
            <v>m2</v>
          </cell>
          <cell r="F83">
            <v>2660900</v>
          </cell>
          <cell r="G83">
            <v>25</v>
          </cell>
          <cell r="H83">
            <v>0.8</v>
          </cell>
        </row>
        <row r="84">
          <cell r="B84" t="str">
            <v>Nha1.2t(3,5-3,6)-NGOI</v>
          </cell>
          <cell r="C84" t="str">
            <v>Nhà 1 tầng bán kiên cố, tường chịu lực xây gạch 110, mái lợp ngói, chiều cao từ 3,5 đến 3,6m</v>
          </cell>
          <cell r="E84" t="str">
            <v>m2</v>
          </cell>
          <cell r="F84">
            <v>2616900</v>
          </cell>
          <cell r="G84">
            <v>25</v>
          </cell>
          <cell r="H84">
            <v>0.8</v>
          </cell>
        </row>
        <row r="85">
          <cell r="B85" t="str">
            <v>Nha1.2t(3,4-3,5)-NGOI</v>
          </cell>
          <cell r="C85" t="str">
            <v>Nhà 1 tầng bán kiên cố, tường chịu lực xây gạch 110, mái lợp ngói, chiều cao từ 3,4 đến 3,5m</v>
          </cell>
          <cell r="E85" t="str">
            <v>m2</v>
          </cell>
          <cell r="F85">
            <v>2572900</v>
          </cell>
          <cell r="G85">
            <v>25</v>
          </cell>
          <cell r="H85">
            <v>0.8</v>
          </cell>
        </row>
        <row r="86">
          <cell r="B86" t="str">
            <v>Nha1.2t(3,3-3,4)-NGOI</v>
          </cell>
          <cell r="C86" t="str">
            <v>Nhà 1 tầng bán kiên cố, tường chịu lực xây gạch 110, mái lợp ngói, chiều cao từ 3,3 đến 3,4m</v>
          </cell>
          <cell r="E86" t="str">
            <v>m2</v>
          </cell>
          <cell r="F86">
            <v>2528900</v>
          </cell>
          <cell r="G86">
            <v>25</v>
          </cell>
          <cell r="H86">
            <v>0.8</v>
          </cell>
        </row>
        <row r="87">
          <cell r="B87" t="str">
            <v>Nha1.2t(3,2-3,3)-NGOI</v>
          </cell>
          <cell r="C87" t="str">
            <v>Nhà 1 tầng bán kiên cố, tường chịu lực xây gạch 110, mái lợp ngói, chiều cao từ 3,2 đến 3,3m</v>
          </cell>
          <cell r="E87" t="str">
            <v>m2</v>
          </cell>
          <cell r="F87">
            <v>2484900</v>
          </cell>
          <cell r="G87">
            <v>25</v>
          </cell>
          <cell r="H87">
            <v>0.8</v>
          </cell>
        </row>
        <row r="88">
          <cell r="B88" t="str">
            <v>Nha1.2t(3,1-3,2)-NGOI</v>
          </cell>
          <cell r="C88" t="str">
            <v>Nhà 1 tầng bán kiên cố, tường chịu lực xây gạch 110, mái lợp ngói, chiều cao từ 3,1 đến 3,2m</v>
          </cell>
          <cell r="E88" t="str">
            <v>m2</v>
          </cell>
          <cell r="F88">
            <v>2440900</v>
          </cell>
          <cell r="G88">
            <v>25</v>
          </cell>
          <cell r="H88">
            <v>0.8</v>
          </cell>
        </row>
        <row r="89">
          <cell r="B89" t="str">
            <v>Nha1.2t(3,0-3,1)-NGOI</v>
          </cell>
          <cell r="C89" t="str">
            <v>Nhà 1 tầng bán kiên cố, tường chịu lực xây gạch 110, mái lợp ngói, chiều cao từ 3,0 đến 3,1m</v>
          </cell>
          <cell r="E89" t="str">
            <v>m2</v>
          </cell>
          <cell r="F89">
            <v>2396900</v>
          </cell>
          <cell r="G89">
            <v>25</v>
          </cell>
          <cell r="H89">
            <v>0.8</v>
          </cell>
        </row>
        <row r="90">
          <cell r="B90" t="str">
            <v>Nha1.2t(&lt;3,0)-NGOI</v>
          </cell>
          <cell r="C90" t="str">
            <v>Nhà 1 tầng bán kiên cố, tường chịu lực xây gạch 110, mái lợp ngói, chiều cao dưới 3,0m</v>
          </cell>
          <cell r="E90" t="str">
            <v>m2</v>
          </cell>
          <cell r="F90">
            <v>2352900</v>
          </cell>
          <cell r="G90">
            <v>25</v>
          </cell>
          <cell r="H90">
            <v>0.8</v>
          </cell>
        </row>
        <row r="91">
          <cell r="B91" t="str">
            <v>NHÀ 1 TẦNG</v>
          </cell>
          <cell r="C91" t="str">
            <v>Nhà 1 tầng bán kiên cố, tường chịu lực xây gạch 110, nền lót vữa XM, trát tường và quét vôi ve. Mái lợp tôn mạ màu</v>
          </cell>
        </row>
        <row r="92">
          <cell r="C92" t="str">
            <v>Chiều cao trung bình 1 tầng ≤ 4,0m cứ tăng 0,1m cộng thêm 38.000 đồng/m2</v>
          </cell>
        </row>
        <row r="93">
          <cell r="B93" t="str">
            <v>Nha1.2t(3,9-4,0)-TON</v>
          </cell>
          <cell r="C93" t="str">
            <v>Nhà 1 tầng bán kiên cố, tường chịu lực xây gạch 110, mái lợp tôn, chiều cao từ 3,9 đến 4,0m</v>
          </cell>
          <cell r="E93" t="str">
            <v>m2</v>
          </cell>
          <cell r="F93">
            <v>2682900</v>
          </cell>
          <cell r="G93">
            <v>25</v>
          </cell>
          <cell r="H93">
            <v>0.8</v>
          </cell>
        </row>
        <row r="94">
          <cell r="B94" t="str">
            <v>Nha1.2t(3,8-3,9)-TON</v>
          </cell>
          <cell r="C94" t="str">
            <v>Nhà 1 tầng bán kiên cố, tường chịu lực xây gạch 110, mái lợp tôn, chiều cao từ 3,8 đến 3,9m</v>
          </cell>
          <cell r="E94" t="str">
            <v>m2</v>
          </cell>
          <cell r="F94">
            <v>2641100</v>
          </cell>
          <cell r="G94">
            <v>25</v>
          </cell>
          <cell r="H94">
            <v>0.8</v>
          </cell>
        </row>
        <row r="95">
          <cell r="B95" t="str">
            <v>Nha1.2t(3,7-3,8)-TON</v>
          </cell>
          <cell r="C95" t="str">
            <v>Nhà 1 tầng bán kiên cố, tường chịu lực xây gạch 110, mái lợp tôn, chiều cao từ 3,7 đến 3,8m</v>
          </cell>
          <cell r="E95" t="str">
            <v>m2</v>
          </cell>
          <cell r="F95">
            <v>2599300</v>
          </cell>
          <cell r="G95">
            <v>25</v>
          </cell>
          <cell r="H95">
            <v>0.8</v>
          </cell>
        </row>
        <row r="96">
          <cell r="B96" t="str">
            <v>Nha1.2t(3,6-3,7)-TON</v>
          </cell>
          <cell r="C96" t="str">
            <v>Nhà 1 tầng bán kiên cố, tường chịu lực xây gạch 110, mái lợp tôn, chiều cao từ 3,6 đến 3,7m</v>
          </cell>
          <cell r="E96" t="str">
            <v>m2</v>
          </cell>
          <cell r="F96">
            <v>2557500</v>
          </cell>
          <cell r="G96">
            <v>25</v>
          </cell>
          <cell r="H96">
            <v>0.8</v>
          </cell>
        </row>
        <row r="97">
          <cell r="B97" t="str">
            <v>Nha1.2t(3,5-3,6)-TON</v>
          </cell>
          <cell r="C97" t="str">
            <v>Nhà 1 tầng bán kiên cố, tường chịu lực xây gạch 110, mái lợp tôn, chiều cao từ 3,5 đến 3,6m</v>
          </cell>
          <cell r="E97" t="str">
            <v>m2</v>
          </cell>
          <cell r="F97">
            <v>2515700</v>
          </cell>
          <cell r="G97">
            <v>25</v>
          </cell>
          <cell r="H97">
            <v>0.8</v>
          </cell>
        </row>
        <row r="98">
          <cell r="B98" t="str">
            <v>Nha1.2t(3,4-3,5)-TON</v>
          </cell>
          <cell r="C98" t="str">
            <v>Nhà 1 tầng bán kiên cố, tường chịu lực xây gạch 110, mái lợp tôn, chiều cao từ 3,4 đến 3,5m</v>
          </cell>
          <cell r="E98" t="str">
            <v>m2</v>
          </cell>
          <cell r="F98">
            <v>2473900</v>
          </cell>
          <cell r="G98">
            <v>25</v>
          </cell>
          <cell r="H98">
            <v>0.8</v>
          </cell>
        </row>
        <row r="99">
          <cell r="B99" t="str">
            <v>Nha1.2t(3,3-3,4)-TON</v>
          </cell>
          <cell r="C99" t="str">
            <v>Nhà 1 tầng bán kiên cố, tường chịu lực xây gạch 110, mái lợp tôn, chiều cao từ 3,3 đến 3,4m</v>
          </cell>
          <cell r="E99" t="str">
            <v>m2</v>
          </cell>
          <cell r="F99">
            <v>2432100</v>
          </cell>
          <cell r="G99">
            <v>25</v>
          </cell>
          <cell r="H99">
            <v>0.8</v>
          </cell>
        </row>
        <row r="100">
          <cell r="B100" t="str">
            <v>Nha1.2t(3,2-3,3)-TON</v>
          </cell>
          <cell r="C100" t="str">
            <v>Nhà 1 tầng bán kiên cố, tường chịu lực xây gạch 110, mái lợp tôn, chiều cao từ 3,2 đến 3,3m</v>
          </cell>
          <cell r="E100" t="str">
            <v>m2</v>
          </cell>
          <cell r="F100">
            <v>2390300</v>
          </cell>
          <cell r="G100">
            <v>25</v>
          </cell>
          <cell r="H100">
            <v>0.8</v>
          </cell>
        </row>
        <row r="101">
          <cell r="B101" t="str">
            <v>Nha1.2t(3,1-3,2)-TON</v>
          </cell>
          <cell r="C101" t="str">
            <v>Nhà 1 tầng bán kiên cố, tường chịu lực xây gạch 110, mái lợp tôn, chiều cao từ 3,1 đến 3,2m</v>
          </cell>
          <cell r="E101" t="str">
            <v>m2</v>
          </cell>
          <cell r="F101">
            <v>2348500</v>
          </cell>
          <cell r="G101">
            <v>25</v>
          </cell>
          <cell r="H101">
            <v>0.8</v>
          </cell>
        </row>
        <row r="102">
          <cell r="B102" t="str">
            <v>Nha1.2t(3,0-3,1)-TON</v>
          </cell>
          <cell r="C102" t="str">
            <v>Nhà 1 tầng bán kiên cố, tường chịu lực xây gạch 110, mái lợp tôn, chiều cao từ 3,0 đến 3,1m</v>
          </cell>
          <cell r="E102" t="str">
            <v>m2</v>
          </cell>
          <cell r="F102">
            <v>2306700</v>
          </cell>
          <cell r="G102">
            <v>25</v>
          </cell>
          <cell r="H102">
            <v>0.8</v>
          </cell>
        </row>
        <row r="103">
          <cell r="B103" t="str">
            <v>Nha1.2t(&lt;3,0)-TON</v>
          </cell>
          <cell r="C103" t="str">
            <v>Nhà 1 tầng bán kiên cố, tường chịu lực xây gạch 110, mái lợp tôn, chiều cao dưới 3,0m</v>
          </cell>
          <cell r="E103" t="str">
            <v>m2</v>
          </cell>
          <cell r="F103">
            <v>2264900</v>
          </cell>
          <cell r="G103">
            <v>25</v>
          </cell>
          <cell r="H103">
            <v>0.8</v>
          </cell>
        </row>
        <row r="104">
          <cell r="B104" t="str">
            <v>NHÀ 1 TẦNG</v>
          </cell>
          <cell r="C104" t="str">
            <v>Nhà 1 tầng bán kiên cố, tường chịu lực xây gạch 110, nền lót vữa XM, trát tường và quét vôi ve. Mái lợp Fibrôximăng</v>
          </cell>
        </row>
        <row r="105">
          <cell r="C105" t="str">
            <v>Chiều cao trung bình 1 tầng ≤ 4,0m cứ tăng 0,1m cộng thêm 34.000 đồng/m2</v>
          </cell>
        </row>
        <row r="106">
          <cell r="B106" t="str">
            <v>Nha1.2t(3,9-4,0)-FB</v>
          </cell>
          <cell r="C106" t="str">
            <v>Nhà 1 tầng bán kiên cố, tường chịu lực xây gạch 110, mái fibroximang, chiều cao từ 3,9 đến 4,0m</v>
          </cell>
          <cell r="E106" t="str">
            <v>m2</v>
          </cell>
          <cell r="F106">
            <v>2398000</v>
          </cell>
          <cell r="G106">
            <v>25</v>
          </cell>
          <cell r="H106">
            <v>0.8</v>
          </cell>
        </row>
        <row r="107">
          <cell r="B107" t="str">
            <v>Nha1.2t(3,8-3,9)-FB</v>
          </cell>
          <cell r="C107" t="str">
            <v>Nhà 1 tầng bán kiên cố, tường chịu lực xây gạch 110, mái fibroximang, chiều cao từ 3,8 đến 3,9m</v>
          </cell>
          <cell r="E107" t="str">
            <v>m2</v>
          </cell>
          <cell r="F107">
            <v>2360600</v>
          </cell>
          <cell r="G107">
            <v>25</v>
          </cell>
          <cell r="H107">
            <v>0.8</v>
          </cell>
        </row>
        <row r="108">
          <cell r="B108" t="str">
            <v>Nha1.2t(3,7-3,8)-FB</v>
          </cell>
          <cell r="C108" t="str">
            <v>Nhà 1 tầng bán kiên cố, tường chịu lực xây gạch 110, mái fibroximang, chiều cao từ 3,7 đến 3,8m</v>
          </cell>
          <cell r="E108" t="str">
            <v>m2</v>
          </cell>
          <cell r="F108">
            <v>2323200</v>
          </cell>
          <cell r="G108">
            <v>25</v>
          </cell>
          <cell r="H108">
            <v>0.8</v>
          </cell>
        </row>
        <row r="109">
          <cell r="B109" t="str">
            <v>Nha1.2t(3,6-3,7)-FB</v>
          </cell>
          <cell r="C109" t="str">
            <v>Nhà 1 tầng bán kiên cố, tường chịu lực xây gạch 110, mái fibroximang, chiều cao từ 3,6 đến 3,7m</v>
          </cell>
          <cell r="E109" t="str">
            <v>m2</v>
          </cell>
          <cell r="F109">
            <v>2285800</v>
          </cell>
          <cell r="G109">
            <v>25</v>
          </cell>
          <cell r="H109">
            <v>0.8</v>
          </cell>
        </row>
        <row r="110">
          <cell r="B110" t="str">
            <v>Nha1.2t(3,5-3,6)-FB</v>
          </cell>
          <cell r="C110" t="str">
            <v>Nhà 1 tầng bán kiên cố, tường chịu lực xây gạch 110, mái fibroximang, chiều cao từ 3,5 đến 3,6m</v>
          </cell>
          <cell r="E110" t="str">
            <v>m2</v>
          </cell>
          <cell r="F110">
            <v>2248400</v>
          </cell>
          <cell r="G110">
            <v>25</v>
          </cell>
          <cell r="H110">
            <v>0.8</v>
          </cell>
        </row>
        <row r="111">
          <cell r="B111" t="str">
            <v>Nha1.2t(3,4-3,5)-FB</v>
          </cell>
          <cell r="C111" t="str">
            <v>Nhà 1 tầng bán kiên cố, tường chịu lực xây gạch 110, mái fibroximang, chiều cao từ 3,4 đến 3,5m</v>
          </cell>
          <cell r="E111" t="str">
            <v>m2</v>
          </cell>
          <cell r="F111">
            <v>2211000</v>
          </cell>
          <cell r="G111">
            <v>25</v>
          </cell>
          <cell r="H111">
            <v>0.8</v>
          </cell>
        </row>
        <row r="112">
          <cell r="B112" t="str">
            <v>Nha1.2t(3,3-3,4)-FB</v>
          </cell>
          <cell r="C112" t="str">
            <v>Nhà 1 tầng bán kiên cố, tường chịu lực xây gạch 110, mái fibroximang, chiều cao từ 3,3 đến 3,4m</v>
          </cell>
          <cell r="E112" t="str">
            <v>m2</v>
          </cell>
          <cell r="F112">
            <v>2173600</v>
          </cell>
          <cell r="G112">
            <v>25</v>
          </cell>
          <cell r="H112">
            <v>0.8</v>
          </cell>
        </row>
        <row r="113">
          <cell r="B113" t="str">
            <v>Nha1.2t(3,2-3,3)-FB</v>
          </cell>
          <cell r="C113" t="str">
            <v>Nhà 1 tầng bán kiên cố, tường chịu lực xây gạch 110, mái fibroximang, chiều cao từ 3,2 đến 3,3m</v>
          </cell>
          <cell r="E113" t="str">
            <v>m2</v>
          </cell>
          <cell r="F113">
            <v>2136200</v>
          </cell>
          <cell r="G113">
            <v>25</v>
          </cell>
          <cell r="H113">
            <v>0.8</v>
          </cell>
        </row>
        <row r="114">
          <cell r="B114" t="str">
            <v>Nha1.2t(3,1-3,2)-FB</v>
          </cell>
          <cell r="C114" t="str">
            <v>Nhà 1 tầng bán kiên cố, tường chịu lực xây gạch 110, mái fibroximang, chiều cao từ 3,1 đến 3,2m</v>
          </cell>
          <cell r="E114" t="str">
            <v>m2</v>
          </cell>
          <cell r="F114">
            <v>2098800</v>
          </cell>
          <cell r="G114">
            <v>25</v>
          </cell>
          <cell r="H114">
            <v>0.8</v>
          </cell>
        </row>
        <row r="115">
          <cell r="B115" t="str">
            <v>Nha1.2t(3,0-3,1)-FB</v>
          </cell>
          <cell r="C115" t="str">
            <v>Nhà 1 tầng bán kiên cố, tường chịu lực xây gạch 110, mái fibroximang, chiều cao từ 3,0 đến 3,1m</v>
          </cell>
          <cell r="E115" t="str">
            <v>m2</v>
          </cell>
          <cell r="F115">
            <v>2061400.0000000002</v>
          </cell>
          <cell r="G115">
            <v>25</v>
          </cell>
          <cell r="H115">
            <v>0.8</v>
          </cell>
        </row>
        <row r="116">
          <cell r="B116" t="str">
            <v>Nha1.2t(&lt;3,0)-FB</v>
          </cell>
          <cell r="C116" t="str">
            <v>Nhà 1 tầng bán kiên cố, tường chịu lực xây gạch 110, mái fibroximang, chiều cao dưới 3,0m</v>
          </cell>
          <cell r="E116" t="str">
            <v>m2</v>
          </cell>
          <cell r="F116">
            <v>2024000.0000000002</v>
          </cell>
          <cell r="G116">
            <v>25</v>
          </cell>
          <cell r="H116">
            <v>0.8</v>
          </cell>
        </row>
        <row r="117">
          <cell r="B117" t="str">
            <v>WC</v>
          </cell>
          <cell r="C117" t="str">
            <v>Nhà vệ sinh tầng 1, cao ≤ 3m, tường chịu lực gạch 220, nền lót vữa XM, trát tường và quét vôi ve (chưa bao gồm bể phốt)</v>
          </cell>
        </row>
        <row r="118">
          <cell r="B118" t="str">
            <v>WC-BTCT</v>
          </cell>
          <cell r="C118" t="str">
            <v>Nhà vệ sinh 1 tầng, cao ≤ 3m, tường 220, mái BTCT</v>
          </cell>
          <cell r="E118" t="str">
            <v>m2</v>
          </cell>
          <cell r="F118">
            <v>3594800.0000000005</v>
          </cell>
          <cell r="G118">
            <v>25</v>
          </cell>
          <cell r="H118">
            <v>0.8</v>
          </cell>
        </row>
        <row r="119">
          <cell r="B119" t="str">
            <v>WC-Lợp Ngói</v>
          </cell>
          <cell r="C119" t="str">
            <v>Nhà vệ sinh 1 tầng, cao ≤ 3m, tường 220, mái lợp ngói</v>
          </cell>
          <cell r="E119" t="str">
            <v>m2</v>
          </cell>
          <cell r="F119">
            <v>3502400.0000000005</v>
          </cell>
          <cell r="G119">
            <v>25</v>
          </cell>
          <cell r="H119">
            <v>0.8</v>
          </cell>
        </row>
        <row r="120">
          <cell r="B120" t="str">
            <v>WC-TON</v>
          </cell>
          <cell r="C120" t="str">
            <v>Nhà vệ sinh 1 tầng, cao ≤ 3m, tường 220, mái lợp tôn</v>
          </cell>
          <cell r="E120" t="str">
            <v>m2</v>
          </cell>
          <cell r="F120">
            <v>3438600.0000000005</v>
          </cell>
          <cell r="G120">
            <v>25</v>
          </cell>
          <cell r="H120">
            <v>0.8</v>
          </cell>
        </row>
        <row r="121">
          <cell r="B121" t="str">
            <v>WC-FB</v>
          </cell>
          <cell r="C121" t="str">
            <v>Nhà vệ sinh 1 tầng, cao ≤ 3m, tường 220, mái fibroximang</v>
          </cell>
          <cell r="E121" t="str">
            <v>m2</v>
          </cell>
          <cell r="F121">
            <v>2382600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row>
        <row r="123">
          <cell r="B123" t="str">
            <v>Mái vẩy 02 lợp ngói 3m</v>
          </cell>
          <cell r="C123" t="str">
            <v>Mái đua, mái vẩy, tường xây gạch 220, mái lợp ngói chiều cao 3m</v>
          </cell>
          <cell r="D123">
            <v>1407000</v>
          </cell>
          <cell r="E123" t="str">
            <v>m2</v>
          </cell>
          <cell r="F123">
            <v>1547700.0000000002</v>
          </cell>
          <cell r="G123">
            <v>25</v>
          </cell>
          <cell r="H123">
            <v>0.8</v>
          </cell>
        </row>
        <row r="124">
          <cell r="C124" t="str">
            <v>- Nếu cao hơn 3m, cứ tăng 0,1m thì cộng thêm 33.000 đồng/m2</v>
          </cell>
        </row>
        <row r="125">
          <cell r="C125" t="str">
            <v>- Nếu cao hơn 3m, cứ giảm 0,1m thì trừ đi 33.000 đồng/m2</v>
          </cell>
        </row>
        <row r="126">
          <cell r="B126" t="str">
            <v>Mái vẩy 02 lợp ngói &lt;= 2,7m</v>
          </cell>
          <cell r="C126" t="str">
            <v>Mái đua, mái vẩy, tường xây gạch 220, mái lợp ngói chiều cao &lt;= 2,7m</v>
          </cell>
          <cell r="E126" t="str">
            <v>m2</v>
          </cell>
          <cell r="F126">
            <v>1438800</v>
          </cell>
          <cell r="G126">
            <v>25</v>
          </cell>
          <cell r="H126">
            <v>0.8</v>
          </cell>
        </row>
        <row r="127">
          <cell r="B127" t="str">
            <v>Mái vẩy 02 lợp tôn mạ màu 3m</v>
          </cell>
          <cell r="C127" t="str">
            <v>Mái đua, mái vẩy, tường xây gạch 220, mái lợp tôn chiều cao 3m</v>
          </cell>
          <cell r="D127">
            <v>1329000</v>
          </cell>
          <cell r="E127" t="str">
            <v>m2</v>
          </cell>
          <cell r="F127">
            <v>1461900.0000000002</v>
          </cell>
          <cell r="G127">
            <v>25</v>
          </cell>
          <cell r="H127">
            <v>0.8</v>
          </cell>
        </row>
        <row r="128">
          <cell r="C128" t="str">
            <v>- Nếu cao hơn 3m, cứ tăng 0,1m thì cộng thêm 31.000 đồng/m2</v>
          </cell>
        </row>
        <row r="129">
          <cell r="C129" t="str">
            <v>- Nếu cao hơn 3m, cứ giảm 0,1m thì trừ đi 31.000 đồng/m2</v>
          </cell>
        </row>
        <row r="130">
          <cell r="B130" t="str">
            <v>Mái vẩy 02 lợp tôn &lt;= 2,7m</v>
          </cell>
          <cell r="C130" t="str">
            <v>Mái đua, mái vẩy, tường xây gạch 220, mái lợp tôn chiều cao &lt;= 2,7m</v>
          </cell>
          <cell r="E130" t="str">
            <v>m2</v>
          </cell>
          <cell r="F130">
            <v>1359600</v>
          </cell>
          <cell r="G130">
            <v>25</v>
          </cell>
          <cell r="H130">
            <v>0.8</v>
          </cell>
        </row>
        <row r="131">
          <cell r="B131" t="str">
            <v>Mái vẩy 02 lợp fibroximang 3m</v>
          </cell>
          <cell r="C131" t="str">
            <v>Mái đua, mái vẩy, tường xây gạch 220, mái lợp fibroximang chiều cao 3m</v>
          </cell>
          <cell r="D131">
            <v>1087000</v>
          </cell>
          <cell r="E131" t="str">
            <v>m2</v>
          </cell>
          <cell r="F131">
            <v>1195700</v>
          </cell>
          <cell r="G131">
            <v>25</v>
          </cell>
          <cell r="H131">
            <v>0.8</v>
          </cell>
        </row>
        <row r="132">
          <cell r="C132" t="str">
            <v>- Nếu cao hơn 3m, cứ tăng 0,1m thì cộng thêm 25.000 đồng/m2</v>
          </cell>
        </row>
        <row r="133">
          <cell r="C133" t="str">
            <v>- Nếu cao hơn 3m, cứ giảm 0,1m thì trừ đi 25.000 đồng/m2</v>
          </cell>
        </row>
        <row r="134">
          <cell r="B134" t="str">
            <v>Mái vẩy 02 lợp fibroximang &lt;= 2,7m</v>
          </cell>
          <cell r="C134" t="str">
            <v>Mái đua, mái vẩy, tường xây gạch 220, mái lợp fibroximang chiều cao &lt;= 2,7m</v>
          </cell>
          <cell r="E134" t="str">
            <v>m2</v>
          </cell>
          <cell r="F134">
            <v>1113200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row>
        <row r="136">
          <cell r="B136" t="str">
            <v>Mái vẩy 01 lợp ngói 3m</v>
          </cell>
          <cell r="C136" t="str">
            <v>Mái đua, mái vẩy, tường xây gạch 110, mái lợp ngói chiều cao 3m</v>
          </cell>
          <cell r="D136">
            <v>1343000</v>
          </cell>
          <cell r="E136" t="str">
            <v>m2</v>
          </cell>
          <cell r="F136">
            <v>1477300.0000000002</v>
          </cell>
          <cell r="G136">
            <v>25</v>
          </cell>
          <cell r="H136">
            <v>0.8</v>
          </cell>
        </row>
        <row r="137">
          <cell r="C137" t="str">
            <v>- Nếu cao hơn 3m, cứ tăng 0,1m thì cộng thêm 31.000 đồng/m2</v>
          </cell>
        </row>
        <row r="138">
          <cell r="C138" t="str">
            <v>- Nếu cao hơn 3m, cứ giảm 0,1m thì trừ đi 31.000 đồng/m2</v>
          </cell>
        </row>
        <row r="139">
          <cell r="B139" t="str">
            <v>Mái vẩy 01 lợp ngói &lt;= 2,7m</v>
          </cell>
          <cell r="C139" t="str">
            <v>Mái đua, mái vẩy, tường xây gạch 110, mái lợp ngói chiều cao &lt;= 2,7m</v>
          </cell>
          <cell r="E139" t="str">
            <v>m2</v>
          </cell>
          <cell r="F139">
            <v>1375000</v>
          </cell>
          <cell r="G139">
            <v>25</v>
          </cell>
          <cell r="H139">
            <v>0.8</v>
          </cell>
        </row>
        <row r="140">
          <cell r="B140" t="str">
            <v>Mái vẩy 01 lợp tôn mạ màu 3m</v>
          </cell>
          <cell r="C140" t="str">
            <v>Mái đua, mái vẩy, tường xây gạch 110, mái lợp tôn chiều cao 3m</v>
          </cell>
          <cell r="D140">
            <v>1264000</v>
          </cell>
          <cell r="E140" t="str">
            <v>m2</v>
          </cell>
          <cell r="F140">
            <v>1390400</v>
          </cell>
          <cell r="G140">
            <v>25</v>
          </cell>
          <cell r="H140">
            <v>0.8</v>
          </cell>
        </row>
        <row r="141">
          <cell r="C141" t="str">
            <v>- Nếu cao hơn 3m, cứ tăng 0,1m thì cộng thêm 29.000 đồng/m2</v>
          </cell>
        </row>
        <row r="142">
          <cell r="C142" t="str">
            <v>- Nếu cao hơn 3m, cứ giảm 0,1m thì trừ đi 29.000 đồng/m2</v>
          </cell>
        </row>
        <row r="143">
          <cell r="B143" t="str">
            <v>Mái vẩy 01 lợp tôn &lt;= 2,7m</v>
          </cell>
          <cell r="C143" t="str">
            <v>Mái đua, mái vẩy, tường xây gạch 110, mái lợp tôn chiều cao &lt;= 2,7m</v>
          </cell>
          <cell r="E143" t="str">
            <v>m2</v>
          </cell>
          <cell r="F143">
            <v>1294700</v>
          </cell>
          <cell r="G143">
            <v>25</v>
          </cell>
          <cell r="H143">
            <v>0.8</v>
          </cell>
        </row>
        <row r="144">
          <cell r="B144" t="str">
            <v>Mái vẩy 01 lợp fibroximang 3m</v>
          </cell>
          <cell r="C144" t="str">
            <v>Mái đua, mái vẩy, tường xây gạch 110, mái lợp fibroximang chiều cao 3m</v>
          </cell>
          <cell r="D144">
            <v>1023000</v>
          </cell>
          <cell r="E144" t="str">
            <v>m2</v>
          </cell>
          <cell r="F144">
            <v>1125300</v>
          </cell>
          <cell r="G144">
            <v>25</v>
          </cell>
          <cell r="H144">
            <v>0.8</v>
          </cell>
        </row>
        <row r="145">
          <cell r="C145" t="str">
            <v>- Nếu cao hơn 3m, cứ tăng 0,1m thì cộng thêm 24.000 đồng/m2</v>
          </cell>
        </row>
        <row r="146">
          <cell r="C146" t="str">
            <v>- Nếu cao hơn 3m, cứ giảm 0,1m thì trừ đi 24.000 đồng/m2</v>
          </cell>
        </row>
        <row r="147">
          <cell r="B147" t="str">
            <v>Mái vẩy 01 lợp fibroximang &lt;= 2,7m</v>
          </cell>
          <cell r="C147" t="str">
            <v>Mái đua, mái vẩy, tường xây gạch 110, mái lợp fibroximang chiều cao &lt;= 2,7m</v>
          </cell>
          <cell r="E147" t="str">
            <v>m2</v>
          </cell>
          <cell r="F147">
            <v>1046100.0000000001</v>
          </cell>
          <cell r="G147">
            <v>25</v>
          </cell>
          <cell r="H147">
            <v>0.8</v>
          </cell>
        </row>
        <row r="148">
          <cell r="B148" t="str">
            <v>MÁI KHÔNG XÂY TƯỜNG</v>
          </cell>
          <cell r="C148" t="str">
            <v>Mái đua, mái vẩy nổi với công trình chính, không xây tường, độ thấp nhất của mái gianh trung bình bằng 3m</v>
          </cell>
        </row>
        <row r="149">
          <cell r="B149" t="str">
            <v>Mái vẩy 03 lợp ngói 3m</v>
          </cell>
          <cell r="C149" t="str">
            <v>Mái đua, mái vẩy, không xây tường, mái lợp ngói chiều cao 3m</v>
          </cell>
          <cell r="D149">
            <v>631000</v>
          </cell>
          <cell r="E149" t="str">
            <v>m2</v>
          </cell>
          <cell r="F149">
            <v>694100</v>
          </cell>
          <cell r="G149">
            <v>25</v>
          </cell>
          <cell r="H149">
            <v>0.8</v>
          </cell>
        </row>
        <row r="150">
          <cell r="C150" t="str">
            <v>- Nếu cao hơn 3m, cứ tăng 0,1m thì cộng thêm 15.000 đồng/m2</v>
          </cell>
        </row>
        <row r="151">
          <cell r="C151" t="str">
            <v>- Nếu cao hơn 3m, cứ giảm 0,1m thì trừ đi 15.000 đồng/m2</v>
          </cell>
        </row>
        <row r="152">
          <cell r="B152" t="str">
            <v>Mái vẩy 03 lợp ngói &lt;= 2,7m</v>
          </cell>
          <cell r="C152" t="str">
            <v>Mái đua, mái vẩy, không xây tường, mái lợp ngói chiều cao &lt;= 2,7m</v>
          </cell>
          <cell r="E152" t="str">
            <v>m2</v>
          </cell>
          <cell r="F152">
            <v>644600</v>
          </cell>
          <cell r="G152">
            <v>25</v>
          </cell>
          <cell r="H152">
            <v>0.8</v>
          </cell>
        </row>
        <row r="153">
          <cell r="B153" t="str">
            <v>Mái vẩy 03 lợp tôn mạ màu 3m</v>
          </cell>
          <cell r="C153" t="str">
            <v>Mái đua, mái vẩy, không xây tường, mái lợp tôn chiều cao 3m</v>
          </cell>
          <cell r="D153">
            <v>557000</v>
          </cell>
          <cell r="E153" t="str">
            <v>m2</v>
          </cell>
          <cell r="F153">
            <v>612700</v>
          </cell>
          <cell r="G153">
            <v>25</v>
          </cell>
          <cell r="H153">
            <v>0.8</v>
          </cell>
        </row>
        <row r="154">
          <cell r="C154" t="str">
            <v>- Nếu cao hơn 3m, cứ tăng 0,1m thì cộng thêm 13.000 đồng/m2</v>
          </cell>
        </row>
        <row r="155">
          <cell r="C155" t="str">
            <v>- Nếu cao hơn 3m, cứ giảm 0,1m thì trừ đi 13.000 đồng/m2</v>
          </cell>
        </row>
        <row r="156">
          <cell r="B156" t="str">
            <v>Mái vẩy 03 lợp tôn &lt;= 2,7m</v>
          </cell>
          <cell r="C156" t="str">
            <v>Mái đua, mái vẩy, không xây tường, mái lợp tôn chiều cao &lt;= 2,7m</v>
          </cell>
          <cell r="E156" t="str">
            <v>m2</v>
          </cell>
          <cell r="F156">
            <v>569800</v>
          </cell>
          <cell r="G156">
            <v>25</v>
          </cell>
          <cell r="H156">
            <v>0.8</v>
          </cell>
        </row>
        <row r="157">
          <cell r="B157" t="str">
            <v>Mái vẩy 03 lợp fibroximang 3m</v>
          </cell>
          <cell r="C157" t="str">
            <v>Mái đua, mái vẩy, không xây tường, mái lợp fibroximang chiều cao 3m</v>
          </cell>
          <cell r="D157">
            <v>311000</v>
          </cell>
          <cell r="E157" t="str">
            <v>m2</v>
          </cell>
          <cell r="F157">
            <v>342100</v>
          </cell>
          <cell r="G157">
            <v>25</v>
          </cell>
          <cell r="H157">
            <v>0.8</v>
          </cell>
        </row>
        <row r="158">
          <cell r="C158" t="str">
            <v>- Nếu cao hơn 3m, cứ tăng 0,1m thì cộng thêm 7.000 đồng/m2</v>
          </cell>
        </row>
        <row r="159">
          <cell r="C159" t="str">
            <v>- Nếu cao hơn 3m, cứ giảm 0,1m thì trừ đi 7.000 đồng/m2</v>
          </cell>
        </row>
        <row r="160">
          <cell r="B160" t="str">
            <v>Mái vẩy 03 lợp fibroximang &lt;= 2,7m</v>
          </cell>
          <cell r="C160" t="str">
            <v>Mái đua, mái vẩy, không xây tường, mái lợp fibroximang chiều cao &lt;= 2,7m</v>
          </cell>
          <cell r="E160" t="str">
            <v>m2</v>
          </cell>
          <cell r="F160">
            <v>319000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row>
        <row r="162">
          <cell r="B162" t="str">
            <v>Chuồng lợn 3,0-NGOI</v>
          </cell>
          <cell r="C162" t="str">
            <v>Chuồng lợn, tường chịu lực xây gạch 220, mái lợp ngói, chiều cao 3,0m</v>
          </cell>
          <cell r="D162">
            <v>1679000</v>
          </cell>
          <cell r="E162" t="str">
            <v>m2</v>
          </cell>
          <cell r="F162">
            <v>1846900.0000000002</v>
          </cell>
          <cell r="G162">
            <v>25</v>
          </cell>
          <cell r="H162">
            <v>0.8</v>
          </cell>
        </row>
        <row r="163">
          <cell r="C163" t="str">
            <v>- Nếu cao hơn 3m, cứ tăng 0,1m thì cộng thêm 34.000 đồng/m2</v>
          </cell>
        </row>
        <row r="164">
          <cell r="C164" t="str">
            <v>- Nếu cao hơn 3m, cứ giảm 0,1m thì trừ đi 34.000 đồng/m2</v>
          </cell>
        </row>
        <row r="165">
          <cell r="B165" t="str">
            <v>Chuồng lợn 3,0-NGOI &lt;= 2,7m</v>
          </cell>
          <cell r="C165" t="str">
            <v>Chuồng lợn, tường chịu lực xây gạch 220, mái lợp ngói, chiều cao &lt;= 2,7m</v>
          </cell>
          <cell r="E165" t="str">
            <v>m2</v>
          </cell>
          <cell r="F165">
            <v>1734700.0000000002</v>
          </cell>
          <cell r="G165">
            <v>25</v>
          </cell>
          <cell r="H165">
            <v>0.8</v>
          </cell>
        </row>
        <row r="166">
          <cell r="B166" t="str">
            <v>Chuồng lợn 3,0-FB</v>
          </cell>
          <cell r="C166" t="str">
            <v>Chuồng lợn, tường chịu lực xây gạch 220, mái lợp ngói, chiều cao 3,0m</v>
          </cell>
          <cell r="D166">
            <v>1360000</v>
          </cell>
          <cell r="E166" t="str">
            <v>m2</v>
          </cell>
          <cell r="F166">
            <v>1496000.0000000002</v>
          </cell>
          <cell r="G166">
            <v>25</v>
          </cell>
          <cell r="H166">
            <v>0.8</v>
          </cell>
        </row>
        <row r="167">
          <cell r="C167" t="str">
            <v>- Nếu cao hơn 3m, cứ tăng 0,1m thì cộng thêm 28.000 đồng/m2</v>
          </cell>
        </row>
        <row r="168">
          <cell r="C168" t="str">
            <v>- Nếu cao hơn 3m, cứ giảm 0,1m thì trừ đi 28.000 đồng/m2</v>
          </cell>
        </row>
        <row r="169">
          <cell r="B169" t="str">
            <v>Chuồng lợn 3,0-FB &lt;= 2,7m</v>
          </cell>
          <cell r="C169" t="str">
            <v>Chuồng lợn, tường chịu lực xây gạch 220, mái lợp fibroximang chiều cao &lt;= 2,7m</v>
          </cell>
          <cell r="E169" t="str">
            <v>m2</v>
          </cell>
          <cell r="F169">
            <v>1267600</v>
          </cell>
          <cell r="G169">
            <v>25</v>
          </cell>
          <cell r="H169">
            <v>0.8</v>
          </cell>
        </row>
        <row r="170">
          <cell r="B170" t="str">
            <v>CHUỒNG LỢN XÂY GẠCH 110</v>
          </cell>
          <cell r="C170" t="str">
            <v>Chuồng lợn, tường chịu lực xây gạch 110, chiều cao trung bình bằng 3m, nền lót vữa XM, trát tường và quét vôi ve</v>
          </cell>
        </row>
        <row r="171">
          <cell r="B171" t="str">
            <v>Chuồng lợn 3,1-NGOI</v>
          </cell>
          <cell r="C171" t="str">
            <v>Chuồng lợn, tường chịu lực xây gạch 110, mái lợp ngói, chiều cao 3,0m</v>
          </cell>
          <cell r="D171">
            <v>1537000</v>
          </cell>
          <cell r="E171" t="str">
            <v>m2</v>
          </cell>
          <cell r="F171">
            <v>1690700.0000000002</v>
          </cell>
          <cell r="G171">
            <v>25</v>
          </cell>
          <cell r="H171">
            <v>0.8</v>
          </cell>
        </row>
        <row r="172">
          <cell r="C172" t="str">
            <v>- Nếu cao hơn 3m, cứ tăng 0,1m thì cộng thêm 31.000 đồng/m2</v>
          </cell>
        </row>
        <row r="173">
          <cell r="C173" t="str">
            <v>- Nếu cao hơn 3m, cứ giảm 0,1m thì trừ đi 31.000 đồng/m2</v>
          </cell>
        </row>
        <row r="174">
          <cell r="B174" t="str">
            <v>Chuồng lợn 3,1-NGOI &lt;= 2,7m</v>
          </cell>
          <cell r="C174" t="str">
            <v>Chuồng lợn, tường chịu lực xây gạch 110, mái lợp ngói, chiều cao &lt;= 2,7m</v>
          </cell>
          <cell r="E174" t="str">
            <v>m2</v>
          </cell>
          <cell r="F174">
            <v>1588400.0000000002</v>
          </cell>
          <cell r="G174">
            <v>25</v>
          </cell>
          <cell r="H174">
            <v>0.8</v>
          </cell>
        </row>
        <row r="175">
          <cell r="B175" t="str">
            <v>Chuồng lợn 3,1-FB</v>
          </cell>
          <cell r="C175" t="str">
            <v>Chuồng lợn, tường chịu lực xây gạch 110, mái lợp ngói, chiều cao 3,0m</v>
          </cell>
          <cell r="D175">
            <v>1220000</v>
          </cell>
          <cell r="E175" t="str">
            <v>m2</v>
          </cell>
          <cell r="F175">
            <v>1342000</v>
          </cell>
          <cell r="G175">
            <v>25</v>
          </cell>
          <cell r="H175">
            <v>0.8</v>
          </cell>
        </row>
        <row r="176">
          <cell r="C176" t="str">
            <v>- Nếu cao hơn 3m, cứ tăng 0,1m thì cộng thêm 25.000 đồng/m2</v>
          </cell>
        </row>
        <row r="177">
          <cell r="C177" t="str">
            <v>- Nếu cao hơn 3m, cứ giảm 0,1m thì trừ đi 25.000 đồng/m2</v>
          </cell>
        </row>
        <row r="178">
          <cell r="B178" t="str">
            <v>Chuồng lợn 3,1-FB &lt;= 2,7m</v>
          </cell>
          <cell r="C178" t="str">
            <v>Chuồng lợn, tường chịu lực xây gạch 110, mái lợp fibroximang chiều cao &lt;= 2,7m</v>
          </cell>
          <cell r="E178" t="str">
            <v>m2</v>
          </cell>
          <cell r="F178">
            <v>1259500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row>
        <row r="180">
          <cell r="C180" t="str">
            <v>Chiều cao trung bình 1 tầng ≤ 4,5m cứ tăng 0,1m cộng thêm 39.000 đồng/m2</v>
          </cell>
        </row>
        <row r="181">
          <cell r="B181" t="str">
            <v>Nha2t.1(4,4-4,5)</v>
          </cell>
          <cell r="C181" t="str">
            <v xml:space="preserve">Nhà 2 tầng, khung chịu lực BTCT, tường xây gạch 220, mái BTCT, chiều cao  từ 4,4 đến 4,5m </v>
          </cell>
          <cell r="E181" t="str">
            <v>m2</v>
          </cell>
          <cell r="F181">
            <v>5179900</v>
          </cell>
          <cell r="G181">
            <v>25</v>
          </cell>
          <cell r="H181">
            <v>0.8</v>
          </cell>
        </row>
        <row r="182">
          <cell r="B182" t="str">
            <v>Nha2t.1(4,3-4,4)</v>
          </cell>
          <cell r="C182" t="str">
            <v xml:space="preserve">Nhà 2 tầng, khung chịu lực BTCT, tường xây gạch 220, mái BTCT, chiều cao  từ 4,3 đến 4,4m </v>
          </cell>
          <cell r="E182" t="str">
            <v>m2</v>
          </cell>
          <cell r="F182">
            <v>5137000</v>
          </cell>
          <cell r="G182">
            <v>25</v>
          </cell>
          <cell r="H182">
            <v>0.8</v>
          </cell>
        </row>
        <row r="183">
          <cell r="B183" t="str">
            <v>Nha2t.1(4,2-4,3)</v>
          </cell>
          <cell r="C183" t="str">
            <v xml:space="preserve">Nhà 2 tầng, khung chịu lực BTCT, tường xây gạch 220, mái BTCT, chiều cao  từ 4,2 đến 4,3m </v>
          </cell>
          <cell r="E183" t="str">
            <v>m2</v>
          </cell>
          <cell r="F183">
            <v>5094100</v>
          </cell>
          <cell r="G183">
            <v>25</v>
          </cell>
          <cell r="H183">
            <v>0.8</v>
          </cell>
        </row>
        <row r="184">
          <cell r="B184" t="str">
            <v>Nha2t.1(4,1-4,2)</v>
          </cell>
          <cell r="C184" t="str">
            <v xml:space="preserve">Nhà 2 tầng, khung chịu lực BTCT, tường xây gạch 220, mái BTCT, chiều cao  từ 4,1 đến 4,2m </v>
          </cell>
          <cell r="E184" t="str">
            <v>m2</v>
          </cell>
          <cell r="F184">
            <v>5051200</v>
          </cell>
          <cell r="G184">
            <v>25</v>
          </cell>
          <cell r="H184">
            <v>0.8</v>
          </cell>
        </row>
        <row r="185">
          <cell r="B185" t="str">
            <v>Nha2t.1(4,0-4,1)</v>
          </cell>
          <cell r="C185" t="str">
            <v xml:space="preserve">Nhà 2 tầng, khung chịu lực BTCT, tường xây gạch 220, mái BTCT, chiều cao  từ 4,0 đến 4,1m </v>
          </cell>
          <cell r="E185" t="str">
            <v>m2</v>
          </cell>
          <cell r="F185">
            <v>5008300</v>
          </cell>
          <cell r="G185">
            <v>25</v>
          </cell>
          <cell r="H185">
            <v>0.8</v>
          </cell>
        </row>
        <row r="186">
          <cell r="B186" t="str">
            <v>Nha2t.1(3,9-4,0)</v>
          </cell>
          <cell r="C186" t="str">
            <v xml:space="preserve">Nhà 2 tầng, khung chịu lực BTCT, tường xây gạch 220, mái BTCT, chiều cao  từ 3,9 đến 4,0m </v>
          </cell>
          <cell r="E186" t="str">
            <v>m2</v>
          </cell>
          <cell r="F186">
            <v>4965400</v>
          </cell>
          <cell r="G186">
            <v>25</v>
          </cell>
          <cell r="H186">
            <v>0.8</v>
          </cell>
        </row>
        <row r="187">
          <cell r="B187" t="str">
            <v>Nha2t.1(3,8-3,9)</v>
          </cell>
          <cell r="C187" t="str">
            <v xml:space="preserve">Nhà 2 tầng, khung chịu lực BTCT, tường xây gạch 220, mái BTCT, chiều cao  từ 3,8 đến 3,9m </v>
          </cell>
          <cell r="E187" t="str">
            <v>m2</v>
          </cell>
          <cell r="F187">
            <v>4922500</v>
          </cell>
          <cell r="G187">
            <v>25</v>
          </cell>
          <cell r="H187">
            <v>0.8</v>
          </cell>
        </row>
        <row r="188">
          <cell r="B188" t="str">
            <v>Nha2t.1(3,7-3,8)</v>
          </cell>
          <cell r="C188" t="str">
            <v xml:space="preserve">Nhà 2 tầng, khung chịu lực BTCT, tường xây gạch 220, mái BTCT, chiều cao  từ 3,7 đến 3,8m </v>
          </cell>
          <cell r="E188" t="str">
            <v>m2</v>
          </cell>
          <cell r="F188">
            <v>4879600</v>
          </cell>
          <cell r="G188">
            <v>25</v>
          </cell>
          <cell r="H188">
            <v>0.8</v>
          </cell>
        </row>
        <row r="189">
          <cell r="B189" t="str">
            <v>Nha2t.1(3,6-3,7)</v>
          </cell>
          <cell r="C189" t="str">
            <v xml:space="preserve">Nhà 2 tầng, khung chịu lực BTCT, tường xây gạch 220, mái BTCT, chiều cao  từ 3,6 đến 3,7m </v>
          </cell>
          <cell r="E189" t="str">
            <v>m2</v>
          </cell>
          <cell r="F189">
            <v>4836700</v>
          </cell>
          <cell r="G189">
            <v>25</v>
          </cell>
          <cell r="H189">
            <v>0.8</v>
          </cell>
        </row>
        <row r="190">
          <cell r="B190" t="str">
            <v>Nha2t.1(3,5-3,6)</v>
          </cell>
          <cell r="C190" t="str">
            <v xml:space="preserve">Nhà 2 tầng, khung chịu lực BTCT, tường xây gạch 220, mái BTCT, chiều cao  từ 3,5 đến 3,6m </v>
          </cell>
          <cell r="E190" t="str">
            <v>m2</v>
          </cell>
          <cell r="F190">
            <v>1493800.0000000002</v>
          </cell>
          <cell r="G190">
            <v>25</v>
          </cell>
          <cell r="H190">
            <v>0.8</v>
          </cell>
        </row>
        <row r="191">
          <cell r="B191" t="str">
            <v>Nha2t.1(3,4-3,5)</v>
          </cell>
          <cell r="C191" t="str">
            <v xml:space="preserve">Nhà 2 tầng, khung chịu lực BTCT, tường xây gạch 220, mái BTCT, chiều cao  từ 3,4 đến 3,5m </v>
          </cell>
          <cell r="E191" t="str">
            <v>m2</v>
          </cell>
          <cell r="F191">
            <v>4750900</v>
          </cell>
          <cell r="G191">
            <v>25</v>
          </cell>
          <cell r="H191">
            <v>0.8</v>
          </cell>
        </row>
        <row r="192">
          <cell r="B192" t="str">
            <v>Nha2t.1(3,3-3,4)</v>
          </cell>
          <cell r="C192" t="str">
            <v xml:space="preserve">Nhà 2 tầng, khung chịu lực BTCT, tường xây gạch 220, mái BTCT, chiều cao  từ 3,3 đến 3,4m </v>
          </cell>
          <cell r="E192" t="str">
            <v>m2</v>
          </cell>
          <cell r="F192">
            <v>4708000</v>
          </cell>
          <cell r="G192">
            <v>25</v>
          </cell>
          <cell r="H192">
            <v>0.8</v>
          </cell>
        </row>
        <row r="193">
          <cell r="B193" t="str">
            <v>Nha2t.1(3,2-3,3)</v>
          </cell>
          <cell r="C193" t="str">
            <v xml:space="preserve">Nhà 2 tầng, khung chịu lực BTCT, tường xây gạch 220, mái BTCT, chiều cao  từ 3,2 đến 3,3m </v>
          </cell>
          <cell r="E193" t="str">
            <v>m2</v>
          </cell>
          <cell r="F193">
            <v>4665100</v>
          </cell>
          <cell r="G193">
            <v>25</v>
          </cell>
          <cell r="H193">
            <v>0.8</v>
          </cell>
        </row>
        <row r="194">
          <cell r="B194" t="str">
            <v>Nha2t.1(3,1-3,2)</v>
          </cell>
          <cell r="C194" t="str">
            <v xml:space="preserve">Nhà 2 tầng, khung chịu lực BTCT, tường xây gạch 220, mái BTCT, chiều cao  từ 3,1 đến 3,2m </v>
          </cell>
          <cell r="E194" t="str">
            <v>m2</v>
          </cell>
          <cell r="F194">
            <v>4622200</v>
          </cell>
          <cell r="G194">
            <v>25</v>
          </cell>
          <cell r="H194">
            <v>0.8</v>
          </cell>
        </row>
        <row r="195">
          <cell r="B195" t="str">
            <v>Nha2t.1(3,0-3,1)</v>
          </cell>
          <cell r="C195" t="str">
            <v xml:space="preserve">Nhà 2 tầng, khung chịu lực BTCT, tường xây gạch 220, mái BTCT, chiều cao  từ 3,0 đến 3,1m </v>
          </cell>
          <cell r="E195" t="str">
            <v>m2</v>
          </cell>
          <cell r="F195">
            <v>4579300</v>
          </cell>
          <cell r="G195">
            <v>25</v>
          </cell>
          <cell r="H195">
            <v>0.8</v>
          </cell>
        </row>
        <row r="196">
          <cell r="C196" t="str">
            <v>Chiều cao tầng dưới 3,0m (Cứ 0,1m trừ đi 39.000 đồng/m2)</v>
          </cell>
        </row>
        <row r="197">
          <cell r="B197" t="str">
            <v>NHÀ 2 TẦNG TƯỜNG CHỊU LỰC</v>
          </cell>
          <cell r="C197" t="str">
            <v>Nhà 2 tầng, tường chịu lực xây gạch 220, mái BTCT,cầu thang láng garanitô, nền lót vữa XM, trát tường và quét vôi ve</v>
          </cell>
        </row>
        <row r="198">
          <cell r="C198" t="str">
            <v>Chiều cao trung bình 1 tầng ≤ 4,5m cứ tăng 0,1m cộng thêm 37.000 đồng/m2</v>
          </cell>
        </row>
        <row r="199">
          <cell r="B199" t="str">
            <v>Nha2t(4,4-4,5)-BTCT</v>
          </cell>
          <cell r="C199" t="str">
            <v xml:space="preserve">Nhà 2 tầng, tường chịu lực xây gạch 220, mái BTCT, chiều cao  từ 4,4 đến 4,5m </v>
          </cell>
          <cell r="E199" t="str">
            <v>m2</v>
          </cell>
          <cell r="F199">
            <v>4961000</v>
          </cell>
          <cell r="G199">
            <v>25</v>
          </cell>
          <cell r="H199">
            <v>0.8</v>
          </cell>
        </row>
        <row r="200">
          <cell r="B200" t="str">
            <v>Nha2t(4,3-4,4)-BTCT</v>
          </cell>
          <cell r="C200" t="str">
            <v xml:space="preserve">Nhà 2 tầng, tường chịu lực xây gạch 220, mái BTCT, chiều cao  từ 4,3 đến 4,4m </v>
          </cell>
          <cell r="E200" t="str">
            <v>m2</v>
          </cell>
          <cell r="F200">
            <v>4920300</v>
          </cell>
          <cell r="G200">
            <v>25</v>
          </cell>
          <cell r="H200">
            <v>0.8</v>
          </cell>
        </row>
        <row r="201">
          <cell r="B201" t="str">
            <v>Nha2t(4,2-4,3)-BTCT</v>
          </cell>
          <cell r="C201" t="str">
            <v xml:space="preserve">Nhà 2 tầng, tường chịu lực xây gạch 220, mái BTCT, chiều cao  từ 4,2 đến 4,3m </v>
          </cell>
          <cell r="E201" t="str">
            <v>m2</v>
          </cell>
          <cell r="F201">
            <v>4879600</v>
          </cell>
          <cell r="G201">
            <v>25</v>
          </cell>
          <cell r="H201">
            <v>0.8</v>
          </cell>
        </row>
        <row r="202">
          <cell r="B202" t="str">
            <v>Nha2t(4,1-4,2)-BTCT</v>
          </cell>
          <cell r="C202" t="str">
            <v xml:space="preserve">Nhà 2 tầng, tường chịu lực xây gạch 220, mái BTCT, chiều cao  từ 4,1 đến 4,2m </v>
          </cell>
          <cell r="E202" t="str">
            <v>m2</v>
          </cell>
          <cell r="F202">
            <v>4838900</v>
          </cell>
          <cell r="G202">
            <v>25</v>
          </cell>
          <cell r="H202">
            <v>0.8</v>
          </cell>
        </row>
        <row r="203">
          <cell r="B203" t="str">
            <v>Nha2t(4,0-4,1)-BTCT</v>
          </cell>
          <cell r="C203" t="str">
            <v xml:space="preserve">Nhà 2 tầng, tường chịu lực xây gạch 220, mái BTCT, chiều cao  từ 4,0 đến 4,1m </v>
          </cell>
          <cell r="E203" t="str">
            <v>m2</v>
          </cell>
          <cell r="F203">
            <v>4798200</v>
          </cell>
          <cell r="G203">
            <v>25</v>
          </cell>
          <cell r="H203">
            <v>0.8</v>
          </cell>
        </row>
        <row r="204">
          <cell r="B204" t="str">
            <v>Nha2t(3,9-4,0)-BTCT</v>
          </cell>
          <cell r="C204" t="str">
            <v xml:space="preserve">Nhà 2 tầng, tường chịu lực xây gạch 220, mái BTCT, chiều cao  từ 3,9 đến 4,0m </v>
          </cell>
          <cell r="E204" t="str">
            <v>m2</v>
          </cell>
          <cell r="F204">
            <v>4757500</v>
          </cell>
          <cell r="G204">
            <v>25</v>
          </cell>
          <cell r="H204">
            <v>0.8</v>
          </cell>
        </row>
        <row r="205">
          <cell r="B205" t="str">
            <v>Nha2t(3,8-3,9)-BTCT</v>
          </cell>
          <cell r="C205" t="str">
            <v xml:space="preserve">Nhà 2 tầng, tường chịu lực xây gạch 220, mái BTCT, chiều cao  từ 3,8 đến 3,9m </v>
          </cell>
          <cell r="E205" t="str">
            <v>m2</v>
          </cell>
          <cell r="F205">
            <v>4716800</v>
          </cell>
          <cell r="G205">
            <v>25</v>
          </cell>
          <cell r="H205">
            <v>0.8</v>
          </cell>
        </row>
        <row r="206">
          <cell r="B206" t="str">
            <v>Nha2t(3,7-3,8)-BTCT</v>
          </cell>
          <cell r="C206" t="str">
            <v xml:space="preserve">Nhà 2 tầng, tường chịu lực xây gạch 220, mái BTCT, chiều cao  từ 3,7 đến 3,8m </v>
          </cell>
          <cell r="E206" t="str">
            <v>m2</v>
          </cell>
          <cell r="F206">
            <v>4676100</v>
          </cell>
          <cell r="G206">
            <v>25</v>
          </cell>
          <cell r="H206">
            <v>0.8</v>
          </cell>
        </row>
        <row r="207">
          <cell r="B207" t="str">
            <v>Nha2t(3,6-3,7)-BTCT</v>
          </cell>
          <cell r="C207" t="str">
            <v xml:space="preserve">Nhà 2 tầng, tường chịu lực xây gạch 220, mái BTCT, chiều cao  từ 3,6 đến 3,7m </v>
          </cell>
          <cell r="E207" t="str">
            <v>m2</v>
          </cell>
          <cell r="F207">
            <v>4635400</v>
          </cell>
          <cell r="G207">
            <v>25</v>
          </cell>
          <cell r="H207">
            <v>0.8</v>
          </cell>
        </row>
        <row r="208">
          <cell r="B208" t="str">
            <v>Nha2t(3,5-3,6)-BTCT</v>
          </cell>
          <cell r="C208" t="str">
            <v xml:space="preserve">Nhà 2 tầng, tường chịu lực xây gạch 220, mái BTCT, chiều cao  từ 3,5 đến 3,6m </v>
          </cell>
          <cell r="E208" t="str">
            <v>m2</v>
          </cell>
          <cell r="F208">
            <v>4594700</v>
          </cell>
          <cell r="G208">
            <v>25</v>
          </cell>
          <cell r="H208">
            <v>0.8</v>
          </cell>
        </row>
        <row r="209">
          <cell r="B209" t="str">
            <v>Nha2t(3,4-3,5)-BTCT</v>
          </cell>
          <cell r="C209" t="str">
            <v xml:space="preserve">Nhà 2 tầng, tường chịu lực xây gạch 220, mái BTCT, chiều cao  từ 3,4 đến 3,5m </v>
          </cell>
          <cell r="E209" t="str">
            <v>m2</v>
          </cell>
          <cell r="F209">
            <v>4554000</v>
          </cell>
          <cell r="G209">
            <v>25</v>
          </cell>
          <cell r="H209">
            <v>0.8</v>
          </cell>
        </row>
        <row r="210">
          <cell r="B210" t="str">
            <v>Nha2t(3,3-3,4)-BTCT</v>
          </cell>
          <cell r="C210" t="str">
            <v xml:space="preserve">Nhà 2 tầng, tường chịu lực xây gạch 220, mái BTCT, chiều cao  từ 3,3 đến 3,4m </v>
          </cell>
          <cell r="E210" t="str">
            <v>m2</v>
          </cell>
          <cell r="F210">
            <v>4513300</v>
          </cell>
          <cell r="G210">
            <v>25</v>
          </cell>
          <cell r="H210">
            <v>0.8</v>
          </cell>
        </row>
        <row r="211">
          <cell r="B211" t="str">
            <v>Nha2t(3,2-3,3)-BTCT</v>
          </cell>
          <cell r="C211" t="str">
            <v xml:space="preserve">Nhà 2 tầng, tường chịu lực xây gạch 220, mái BTCT, chiều cao  từ 3,2 đến 3,3m </v>
          </cell>
          <cell r="E211" t="str">
            <v>m2</v>
          </cell>
          <cell r="F211">
            <v>4472600</v>
          </cell>
          <cell r="G211">
            <v>25</v>
          </cell>
          <cell r="H211">
            <v>0.8</v>
          </cell>
        </row>
        <row r="212">
          <cell r="B212" t="str">
            <v>Nha2t(3,1-3,2)-BTCT</v>
          </cell>
          <cell r="C212" t="str">
            <v xml:space="preserve">Nhà 2 tầng, tường chịu lực xây gạch 220, mái BTCT, chiều cao  từ 3,1 đến 3,2m </v>
          </cell>
          <cell r="E212" t="str">
            <v>m2</v>
          </cell>
          <cell r="F212">
            <v>4431900</v>
          </cell>
          <cell r="G212">
            <v>25</v>
          </cell>
          <cell r="H212">
            <v>0.8</v>
          </cell>
        </row>
        <row r="213">
          <cell r="B213" t="str">
            <v>Nha2t(3,0-3,1)-BTCT</v>
          </cell>
          <cell r="C213" t="str">
            <v xml:space="preserve">Nhà 2 tầng, tường chịu lực xây gạch 220, mái BTCT, chiều cao  từ 3,0 đến 3,1m </v>
          </cell>
          <cell r="E213" t="str">
            <v>m2</v>
          </cell>
          <cell r="F213">
            <v>4391200</v>
          </cell>
          <cell r="G213">
            <v>25</v>
          </cell>
          <cell r="H213">
            <v>0.8</v>
          </cell>
        </row>
        <row r="214">
          <cell r="C214" t="str">
            <v>Chiều cao tầng dưới 3,0m (Cứ 0,1m trừ đi 37.000 đồng/m2)</v>
          </cell>
        </row>
        <row r="215">
          <cell r="B215" t="str">
            <v>NHÀ 3 TẦNG KHUNG CHỊU LỰC</v>
          </cell>
          <cell r="C215" t="str">
            <v>Nhà 3 tầng, khung chịu lực BTCT, tường xây gạch 220, mái BTCT,cầu thang láng granitô, nền lót vữa XM, trát tường và quét vôi ve</v>
          </cell>
        </row>
        <row r="216">
          <cell r="C216" t="str">
            <v>Chiều cao trung bình 1 tầng ≤ 4,5m cứ tăng 0,1m cộng thêm 39.000 đồng/m2</v>
          </cell>
        </row>
        <row r="217">
          <cell r="B217" t="str">
            <v>Nha3t.1(4,4-4,5)</v>
          </cell>
          <cell r="C217" t="str">
            <v xml:space="preserve">Nhà 3 tầng, khung chịu lực BTCT, tường xây gạch 220, mái BTCT, chiều cao  từ 4,4 đến 4,5m </v>
          </cell>
          <cell r="E217" t="str">
            <v>m2</v>
          </cell>
          <cell r="F217">
            <v>5723300</v>
          </cell>
          <cell r="G217">
            <v>20</v>
          </cell>
          <cell r="H217">
            <v>0.8</v>
          </cell>
        </row>
        <row r="218">
          <cell r="B218" t="str">
            <v>Nha3t.1(4,3-4,4)</v>
          </cell>
          <cell r="C218" t="str">
            <v xml:space="preserve">Nhà 3 tầng, khung chịu lực BTCT, tường xây gạch 220, mái BTCT, chiều cao  từ 4,3 đến 4,4m </v>
          </cell>
          <cell r="E218" t="str">
            <v>m2</v>
          </cell>
          <cell r="F218">
            <v>5680400</v>
          </cell>
          <cell r="G218">
            <v>20</v>
          </cell>
          <cell r="H218">
            <v>0.8</v>
          </cell>
        </row>
        <row r="219">
          <cell r="B219" t="str">
            <v>Nha3t.1(4,2-4,3)</v>
          </cell>
          <cell r="C219" t="str">
            <v xml:space="preserve">Nhà 3 tầng, khung chịu lực BTCT, tường xây gạch 220, mái BTCT, chiều cao  từ 4,2 đến 4,3m </v>
          </cell>
          <cell r="E219" t="str">
            <v>m2</v>
          </cell>
          <cell r="F219">
            <v>5637500</v>
          </cell>
          <cell r="G219">
            <v>20</v>
          </cell>
          <cell r="H219">
            <v>0.8</v>
          </cell>
        </row>
        <row r="220">
          <cell r="B220" t="str">
            <v>Nha3t.1(4,1-4,2)</v>
          </cell>
          <cell r="C220" t="str">
            <v xml:space="preserve">Nhà 3 tầng, khung chịu lực BTCT, tường xây gạch 220, mái BTCT, chiều cao  từ 4,1 đến 4,2m </v>
          </cell>
          <cell r="E220" t="str">
            <v>m2</v>
          </cell>
          <cell r="F220">
            <v>5594600</v>
          </cell>
          <cell r="G220">
            <v>20</v>
          </cell>
          <cell r="H220">
            <v>0.8</v>
          </cell>
        </row>
        <row r="221">
          <cell r="B221" t="str">
            <v>Nha3t.1(4,0-4,1)</v>
          </cell>
          <cell r="C221" t="str">
            <v xml:space="preserve">Nhà 3 tầng, khung chịu lực BTCT, tường xây gạch 220, mái BTCT, chiều cao  từ 4,0 đến 4,1m </v>
          </cell>
          <cell r="E221" t="str">
            <v>m2</v>
          </cell>
          <cell r="F221">
            <v>5551700</v>
          </cell>
          <cell r="G221">
            <v>20</v>
          </cell>
          <cell r="H221">
            <v>0.8</v>
          </cell>
        </row>
        <row r="222">
          <cell r="B222" t="str">
            <v>Nha3t.1(3,9-4,0)</v>
          </cell>
          <cell r="C222" t="str">
            <v xml:space="preserve">Nhà 3 tầng, khung chịu lực BTCT, tường xây gạch 220, mái BTCT, chiều cao  từ 3,9 đến 4,0m </v>
          </cell>
          <cell r="E222" t="str">
            <v>m2</v>
          </cell>
          <cell r="F222">
            <v>5508800</v>
          </cell>
          <cell r="G222">
            <v>20</v>
          </cell>
          <cell r="H222">
            <v>0.8</v>
          </cell>
        </row>
        <row r="223">
          <cell r="B223" t="str">
            <v>Nha3t.1(3,8-3,9)</v>
          </cell>
          <cell r="C223" t="str">
            <v xml:space="preserve">Nhà 3 tầng, khung chịu lực BTCT, tường xây gạch 220, mái BTCT, chiều cao  từ 3,8 đến 3,9m </v>
          </cell>
          <cell r="E223" t="str">
            <v>m2</v>
          </cell>
          <cell r="F223">
            <v>5465900</v>
          </cell>
          <cell r="G223">
            <v>20</v>
          </cell>
          <cell r="H223">
            <v>0.8</v>
          </cell>
        </row>
        <row r="224">
          <cell r="B224" t="str">
            <v>Nha3t.1(3,7-3,8)</v>
          </cell>
          <cell r="C224" t="str">
            <v xml:space="preserve">Nhà 3 tầng, khung chịu lực BTCT, tường xây gạch 220, mái BTCT, chiều cao  từ 3,7 đến 3,8m </v>
          </cell>
          <cell r="E224" t="str">
            <v>m2</v>
          </cell>
          <cell r="F224">
            <v>5423000</v>
          </cell>
          <cell r="G224">
            <v>20</v>
          </cell>
          <cell r="H224">
            <v>0.8</v>
          </cell>
        </row>
        <row r="225">
          <cell r="B225" t="str">
            <v>Nha3t.1(3,6-3,7)</v>
          </cell>
          <cell r="C225" t="str">
            <v xml:space="preserve">Nhà 3 tầng, khung chịu lực BTCT, tường xây gạch 220, mái BTCT, chiều cao  từ 3,6 đến 3,7m </v>
          </cell>
          <cell r="E225" t="str">
            <v>m2</v>
          </cell>
          <cell r="F225">
            <v>5380100</v>
          </cell>
          <cell r="G225">
            <v>20</v>
          </cell>
          <cell r="H225">
            <v>0.8</v>
          </cell>
        </row>
        <row r="226">
          <cell r="B226" t="str">
            <v>Nha3t.1(3,5-3,6)</v>
          </cell>
          <cell r="C226" t="str">
            <v xml:space="preserve">Nhà 3 tầng, khung chịu lực BTCT, tường xây gạch 220, mái BTCT, chiều cao  từ 3,5 đến 3,6m </v>
          </cell>
          <cell r="E226" t="str">
            <v>m2</v>
          </cell>
          <cell r="F226">
            <v>5337200</v>
          </cell>
          <cell r="G226">
            <v>20</v>
          </cell>
          <cell r="H226">
            <v>0.8</v>
          </cell>
        </row>
        <row r="227">
          <cell r="B227" t="str">
            <v>Nha3t.1(3,4-3,5)</v>
          </cell>
          <cell r="C227" t="str">
            <v xml:space="preserve">Nhà 3 tầng, khung chịu lực BTCT, tường xây gạch 220, mái BTCT, chiều cao  từ 3,4 đến 3,5m </v>
          </cell>
          <cell r="E227" t="str">
            <v>m2</v>
          </cell>
          <cell r="F227">
            <v>5294300</v>
          </cell>
          <cell r="G227">
            <v>20</v>
          </cell>
          <cell r="H227">
            <v>0.8</v>
          </cell>
        </row>
        <row r="228">
          <cell r="B228" t="str">
            <v>Nha3t.1(3,3-3,4)</v>
          </cell>
          <cell r="C228" t="str">
            <v xml:space="preserve">Nhà 3 tầng, khung chịu lực BTCT, tường xây gạch 220, mái BTCT, chiều cao  từ 3,3 đến 3,4m </v>
          </cell>
          <cell r="E228" t="str">
            <v>m2</v>
          </cell>
          <cell r="F228">
            <v>5251400</v>
          </cell>
          <cell r="G228">
            <v>20</v>
          </cell>
          <cell r="H228">
            <v>0.8</v>
          </cell>
        </row>
        <row r="229">
          <cell r="B229" t="str">
            <v>Nha3t.1(3,2-3,3)</v>
          </cell>
          <cell r="C229" t="str">
            <v xml:space="preserve">Nhà 3 tầng, khung chịu lực BTCT, tường xây gạch 220, mái BTCT, chiều cao  từ 3,2 đến 3,3m </v>
          </cell>
          <cell r="E229" t="str">
            <v>m2</v>
          </cell>
          <cell r="F229">
            <v>5208500</v>
          </cell>
          <cell r="G229">
            <v>20</v>
          </cell>
          <cell r="H229">
            <v>0.8</v>
          </cell>
        </row>
        <row r="230">
          <cell r="B230" t="str">
            <v>Nha3t.1(3,1-3,2)</v>
          </cell>
          <cell r="C230" t="str">
            <v xml:space="preserve">Nhà 3 tầng, khung chịu lực BTCT, tường xây gạch 220, mái BTCT, chiều cao  từ 3,1 đến 3,2m </v>
          </cell>
          <cell r="E230" t="str">
            <v>m2</v>
          </cell>
          <cell r="F230">
            <v>5165600</v>
          </cell>
          <cell r="G230">
            <v>20</v>
          </cell>
          <cell r="H230">
            <v>0.8</v>
          </cell>
        </row>
        <row r="231">
          <cell r="B231" t="str">
            <v>Nha3t.1(3,0-3,1)</v>
          </cell>
          <cell r="C231" t="str">
            <v xml:space="preserve">Nhà 3 tầng, khung chịu lực BTCT, tường xây gạch 220, mái BTCT, chiều cao  từ 3,0 đến 3,1m </v>
          </cell>
          <cell r="E231" t="str">
            <v>m2</v>
          </cell>
          <cell r="F231">
            <v>5122700</v>
          </cell>
          <cell r="G231">
            <v>20</v>
          </cell>
          <cell r="H231">
            <v>0.8</v>
          </cell>
        </row>
        <row r="232">
          <cell r="C232" t="str">
            <v>Chiều cao tầng dưới 3,0m (Cứ 0,1m trừ đi 39.000 đồng/m2)</v>
          </cell>
        </row>
        <row r="233">
          <cell r="B233" t="str">
            <v>NHÀ 4 TẦNG KHUNG CHỊU LỰC</v>
          </cell>
          <cell r="C233" t="str">
            <v>Nhà 4 tầng, khung chịu lực BTCT, tường xây gạch 220, mái BTCT,cầu thang láng granitô, nền lót vữa XM, trát tường và quét vôi ve</v>
          </cell>
        </row>
        <row r="234">
          <cell r="C234" t="str">
            <v>Chiều cao trung bình 1 tầng ≤ 4,5m cứ tăng 0,1m cộng thêm 31.000 đồng/m2</v>
          </cell>
        </row>
        <row r="235">
          <cell r="B235" t="str">
            <v>Nha4t.1(4,4-4,5)</v>
          </cell>
          <cell r="C235" t="str">
            <v xml:space="preserve">Nhà 4 tầng, khung chịu lực BTCT, tường xây gạch 220, mái BTCT, chiều cao  từ 4,4 đến 4,5m </v>
          </cell>
          <cell r="E235" t="str">
            <v>m2</v>
          </cell>
          <cell r="F235">
            <v>5691400</v>
          </cell>
          <cell r="G235">
            <v>20</v>
          </cell>
          <cell r="H235">
            <v>0.8</v>
          </cell>
        </row>
        <row r="236">
          <cell r="B236" t="str">
            <v>Nha4t.1(4,3-4,4)</v>
          </cell>
          <cell r="C236" t="str">
            <v xml:space="preserve">Nhà 4 tầng, khung chịu lực BTCT, tường xây gạch 220, mái BTCT, chiều cao  từ 4,3 đến 4,4m </v>
          </cell>
          <cell r="E236" t="str">
            <v>m2</v>
          </cell>
          <cell r="F236">
            <v>5657300</v>
          </cell>
          <cell r="G236">
            <v>20</v>
          </cell>
          <cell r="H236">
            <v>0.8</v>
          </cell>
        </row>
        <row r="237">
          <cell r="B237" t="str">
            <v>Nha4t.1(4,2-4,3)</v>
          </cell>
          <cell r="C237" t="str">
            <v xml:space="preserve">Nhà 4 tầng, khung chịu lực BTCT, tường xây gạch 220, mái BTCT, chiều cao  từ 4,2 đến 4,3m </v>
          </cell>
          <cell r="E237" t="str">
            <v>m2</v>
          </cell>
          <cell r="F237">
            <v>5623200</v>
          </cell>
          <cell r="G237">
            <v>20</v>
          </cell>
          <cell r="H237">
            <v>0.8</v>
          </cell>
        </row>
        <row r="238">
          <cell r="B238" t="str">
            <v>Nha4t.1(4,1-4,2)</v>
          </cell>
          <cell r="C238" t="str">
            <v xml:space="preserve">Nhà 4 tầng, khung chịu lực BTCT, tường xây gạch 220, mái BTCT, chiều cao  từ 4,1 đến 4,2m </v>
          </cell>
          <cell r="E238" t="str">
            <v>m2</v>
          </cell>
          <cell r="F238">
            <v>5589100</v>
          </cell>
          <cell r="G238">
            <v>20</v>
          </cell>
          <cell r="H238">
            <v>0.8</v>
          </cell>
        </row>
        <row r="239">
          <cell r="B239" t="str">
            <v>Nha4t.1(4,0-4,1)</v>
          </cell>
          <cell r="C239" t="str">
            <v xml:space="preserve">Nhà 4 tầng, khung chịu lực BTCT, tường xây gạch 220, mái BTCT, chiều cao  từ 4,0 đến 4,1m </v>
          </cell>
          <cell r="E239" t="str">
            <v>m2</v>
          </cell>
          <cell r="F239">
            <v>5555000</v>
          </cell>
          <cell r="G239">
            <v>20</v>
          </cell>
          <cell r="H239">
            <v>0.8</v>
          </cell>
        </row>
        <row r="240">
          <cell r="B240" t="str">
            <v>Nha4t.1(3,9-4,0)</v>
          </cell>
          <cell r="C240" t="str">
            <v xml:space="preserve">Nhà 4 tầng, khung chịu lực BTCT, tường xây gạch 220, mái BTCT, chiều cao  từ 3,9 đến 4,0m </v>
          </cell>
          <cell r="E240" t="str">
            <v>m2</v>
          </cell>
          <cell r="F240">
            <v>5520900</v>
          </cell>
          <cell r="G240">
            <v>20</v>
          </cell>
          <cell r="H240">
            <v>0.8</v>
          </cell>
        </row>
        <row r="241">
          <cell r="B241" t="str">
            <v>Nha4t.1(3,8-3,9)</v>
          </cell>
          <cell r="C241" t="str">
            <v xml:space="preserve">Nhà 4 tầng, khung chịu lực BTCT, tường xây gạch 220, mái BTCT, chiều cao  từ 3,8 đến 3,9m </v>
          </cell>
          <cell r="E241" t="str">
            <v>m2</v>
          </cell>
          <cell r="F241">
            <v>5486800</v>
          </cell>
          <cell r="G241">
            <v>20</v>
          </cell>
          <cell r="H241">
            <v>0.8</v>
          </cell>
        </row>
        <row r="242">
          <cell r="B242" t="str">
            <v>Nha4t.1(3,7-3,8)</v>
          </cell>
          <cell r="C242" t="str">
            <v xml:space="preserve">Nhà 4 tầng, khung chịu lực BTCT, tường xây gạch 220, mái BTCT, chiều cao  từ 3,7 đến 3,8m </v>
          </cell>
          <cell r="E242" t="str">
            <v>m2</v>
          </cell>
          <cell r="F242">
            <v>5452700</v>
          </cell>
          <cell r="G242">
            <v>20</v>
          </cell>
          <cell r="H242">
            <v>0.8</v>
          </cell>
        </row>
        <row r="243">
          <cell r="B243" t="str">
            <v>Nha4t.1(3,6-3,7)</v>
          </cell>
          <cell r="C243" t="str">
            <v xml:space="preserve">Nhà 4 tầng, khung chịu lực BTCT, tường xây gạch 220, mái BTCT, chiều cao  từ 3,6 đến 3,7m </v>
          </cell>
          <cell r="E243" t="str">
            <v>m2</v>
          </cell>
          <cell r="F243">
            <v>5418600</v>
          </cell>
          <cell r="G243">
            <v>20</v>
          </cell>
          <cell r="H243">
            <v>0.8</v>
          </cell>
        </row>
        <row r="244">
          <cell r="B244" t="str">
            <v>Nha4t.1(3,5-3,6)</v>
          </cell>
          <cell r="C244" t="str">
            <v xml:space="preserve">Nhà 4 tầng, khung chịu lực BTCT, tường xây gạch 220, mái BTCT, chiều cao  từ 3,5 đến 3,6m </v>
          </cell>
          <cell r="E244" t="str">
            <v>m2</v>
          </cell>
          <cell r="F244">
            <v>5384500</v>
          </cell>
          <cell r="G244">
            <v>20</v>
          </cell>
          <cell r="H244">
            <v>0.8</v>
          </cell>
        </row>
        <row r="245">
          <cell r="B245" t="str">
            <v>Nha4t.1(3,4-3,5)</v>
          </cell>
          <cell r="C245" t="str">
            <v xml:space="preserve">Nhà 4 tầng, khung chịu lực BTCT, tường xây gạch 220, mái BTCT, chiều cao  từ 3,4 đến 3,5m </v>
          </cell>
          <cell r="E245" t="str">
            <v>m2</v>
          </cell>
          <cell r="F245">
            <v>5350400</v>
          </cell>
          <cell r="G245">
            <v>20</v>
          </cell>
          <cell r="H245">
            <v>0.8</v>
          </cell>
        </row>
        <row r="246">
          <cell r="B246" t="str">
            <v>Nha4t.1(3,3-3,4)</v>
          </cell>
          <cell r="C246" t="str">
            <v xml:space="preserve">Nhà 4 tầng, khung chịu lực BTCT, tường xây gạch 220, mái BTCT, chiều cao  từ 3,3 đến 3,4m </v>
          </cell>
          <cell r="E246" t="str">
            <v>m2</v>
          </cell>
          <cell r="F246">
            <v>5316300</v>
          </cell>
          <cell r="G246">
            <v>20</v>
          </cell>
          <cell r="H246">
            <v>0.8</v>
          </cell>
        </row>
        <row r="247">
          <cell r="B247" t="str">
            <v>Nha4t.1(3,2-3,3)</v>
          </cell>
          <cell r="C247" t="str">
            <v xml:space="preserve">Nhà 4 tầng, khung chịu lực BTCT, tường xây gạch 220, mái BTCT, chiều cao  từ 3,2 đến 3,3m </v>
          </cell>
          <cell r="E247" t="str">
            <v>m2</v>
          </cell>
          <cell r="F247">
            <v>5282200</v>
          </cell>
          <cell r="G247">
            <v>20</v>
          </cell>
          <cell r="H247">
            <v>0.8</v>
          </cell>
        </row>
        <row r="248">
          <cell r="B248" t="str">
            <v>Nha4t.1(3,1-3,2)</v>
          </cell>
          <cell r="C248" t="str">
            <v xml:space="preserve">Nhà 4 tầng, khung chịu lực BTCT, tường xây gạch 220, mái BTCT, chiều cao  từ 3,1 đến 3,2m </v>
          </cell>
          <cell r="E248" t="str">
            <v>m2</v>
          </cell>
          <cell r="F248">
            <v>5248100</v>
          </cell>
          <cell r="G248">
            <v>20</v>
          </cell>
          <cell r="H248">
            <v>0.8</v>
          </cell>
        </row>
        <row r="249">
          <cell r="B249" t="str">
            <v>Nha4t.1(3,0-3,1)</v>
          </cell>
          <cell r="C249" t="str">
            <v xml:space="preserve">Nhà 4 tầng, khung chịu lực BTCT, tường xây gạch 220, mái BTCT, chiều cao  từ 3,0 đến 3,1m </v>
          </cell>
          <cell r="E249" t="str">
            <v>m2</v>
          </cell>
          <cell r="F249">
            <v>5214000</v>
          </cell>
          <cell r="G249">
            <v>20</v>
          </cell>
          <cell r="H249">
            <v>0.8</v>
          </cell>
        </row>
        <row r="250">
          <cell r="C250" t="str">
            <v>Chiều cao tầng dưới 3,0m (Cứ 0,1m trừ đi 31.000 đồng/m2)</v>
          </cell>
        </row>
        <row r="251">
          <cell r="B251" t="str">
            <v>LAT NỀN</v>
          </cell>
          <cell r="C251" t="str">
            <v>Lát nền</v>
          </cell>
        </row>
        <row r="252">
          <cell r="B252" t="str">
            <v>Lát gạch chỉ</v>
          </cell>
          <cell r="C252" t="str">
            <v>Lát gạch chỉ</v>
          </cell>
          <cell r="E252" t="str">
            <v>m2</v>
          </cell>
          <cell r="F252">
            <v>114950.00000000001</v>
          </cell>
          <cell r="G252">
            <v>10</v>
          </cell>
          <cell r="H252">
            <v>0.8</v>
          </cell>
        </row>
        <row r="253">
          <cell r="B253" t="str">
            <v>Lát gạch Ceramic 200x200</v>
          </cell>
          <cell r="C253" t="str">
            <v>Lát nền, sàn bằng gạch Ceramic 200x200mm</v>
          </cell>
          <cell r="E253" t="str">
            <v>m2</v>
          </cell>
          <cell r="F253">
            <v>175780</v>
          </cell>
          <cell r="G253">
            <v>10</v>
          </cell>
          <cell r="H253">
            <v>0.8</v>
          </cell>
        </row>
        <row r="254">
          <cell r="B254" t="str">
            <v>Lát gạch Ceramic 300x300</v>
          </cell>
          <cell r="C254" t="str">
            <v>Lát nền, sàn bằng gạch Ceramic 300x300mm</v>
          </cell>
          <cell r="E254" t="str">
            <v>m2</v>
          </cell>
          <cell r="F254">
            <v>216150.00000000003</v>
          </cell>
          <cell r="G254">
            <v>10</v>
          </cell>
          <cell r="H254">
            <v>0.8</v>
          </cell>
        </row>
        <row r="255">
          <cell r="B255" t="str">
            <v>Lát gạch Ceramic 400x400</v>
          </cell>
          <cell r="C255" t="str">
            <v>Lát nền, sàn bằng gạch Ceramic 400x400mm</v>
          </cell>
          <cell r="E255" t="str">
            <v>m2</v>
          </cell>
          <cell r="F255">
            <v>217800.00000000003</v>
          </cell>
          <cell r="G255">
            <v>10</v>
          </cell>
          <cell r="H255">
            <v>0.8</v>
          </cell>
        </row>
        <row r="256">
          <cell r="B256" t="str">
            <v>Lát gạch Ceramic 500x500</v>
          </cell>
          <cell r="C256" t="str">
            <v>Lát nền, sàn bằng gạch Ceramic 500x500mm</v>
          </cell>
          <cell r="E256" t="str">
            <v>m2</v>
          </cell>
          <cell r="F256">
            <v>253440.00000000003</v>
          </cell>
          <cell r="G256">
            <v>10</v>
          </cell>
          <cell r="H256">
            <v>0.8</v>
          </cell>
        </row>
        <row r="257">
          <cell r="B257" t="str">
            <v>Lát gạch Ceramic 600x600</v>
          </cell>
          <cell r="C257" t="str">
            <v>Lát nền, sàn bằng gạch Ceramic 600x600mm</v>
          </cell>
          <cell r="E257" t="str">
            <v>m2</v>
          </cell>
          <cell r="G257">
            <v>10</v>
          </cell>
          <cell r="H257">
            <v>0.8</v>
          </cell>
        </row>
        <row r="258">
          <cell r="B258" t="str">
            <v>Lát gạch Ceramic 800x800</v>
          </cell>
          <cell r="C258" t="str">
            <v>Lát nền, sàn bằng gạch Ceramic 800x800mm</v>
          </cell>
          <cell r="E258" t="str">
            <v>m2</v>
          </cell>
          <cell r="G258">
            <v>10</v>
          </cell>
          <cell r="H258">
            <v>0.8</v>
          </cell>
        </row>
        <row r="259">
          <cell r="B259" t="str">
            <v>Lát gạch Granit 400x400</v>
          </cell>
          <cell r="C259" t="str">
            <v>Lát nền, sàn bằng gạch Granit 400x400mm</v>
          </cell>
          <cell r="E259" t="str">
            <v>m2</v>
          </cell>
          <cell r="F259">
            <v>330990</v>
          </cell>
          <cell r="G259">
            <v>10</v>
          </cell>
          <cell r="H259">
            <v>0.8</v>
          </cell>
        </row>
        <row r="260">
          <cell r="B260" t="str">
            <v>Lát gạch Granit 500x500</v>
          </cell>
          <cell r="C260" t="str">
            <v>Lát nền, sàn bằng gạch Granit 500x500mm</v>
          </cell>
          <cell r="E260" t="str">
            <v>m2</v>
          </cell>
          <cell r="F260">
            <v>357720</v>
          </cell>
          <cell r="G260">
            <v>10</v>
          </cell>
          <cell r="H260">
            <v>0.8</v>
          </cell>
        </row>
        <row r="261">
          <cell r="B261" t="str">
            <v>Lát gạch Granit 600x600</v>
          </cell>
          <cell r="C261" t="str">
            <v>Lát nền, sàn bằng gạch Granit 600x600mm</v>
          </cell>
          <cell r="E261" t="str">
            <v>m2</v>
          </cell>
          <cell r="F261">
            <v>383570.00000000006</v>
          </cell>
          <cell r="G261">
            <v>10</v>
          </cell>
          <cell r="H261">
            <v>0.8</v>
          </cell>
        </row>
        <row r="262">
          <cell r="B262" t="str">
            <v>Lát đá Granit kim sa 01</v>
          </cell>
          <cell r="C262" t="str">
            <v>Lát đá bậc tam cấp, đá Granit kim sa</v>
          </cell>
          <cell r="E262" t="str">
            <v>m2</v>
          </cell>
          <cell r="F262">
            <v>1749770.0000000002</v>
          </cell>
          <cell r="G262">
            <v>25</v>
          </cell>
          <cell r="H262">
            <v>0.8</v>
          </cell>
        </row>
        <row r="263">
          <cell r="B263" t="str">
            <v>Lát đá Granit kim sa 02</v>
          </cell>
          <cell r="C263" t="str">
            <v>Lát đá bậc cầu thang, đá Granit kim sa</v>
          </cell>
          <cell r="E263" t="str">
            <v>m2</v>
          </cell>
          <cell r="F263">
            <v>1759450.0000000002</v>
          </cell>
          <cell r="G263">
            <v>25</v>
          </cell>
          <cell r="H263">
            <v>0.8</v>
          </cell>
        </row>
        <row r="264">
          <cell r="B264" t="str">
            <v>Lát đá Granit kim sa</v>
          </cell>
          <cell r="C264" t="str">
            <v>Lát đá mặt bệ các loại (bệ bếp, bệ bàn, bệ lavabo…) đá Granit kim sa</v>
          </cell>
          <cell r="E264" t="str">
            <v>m2</v>
          </cell>
          <cell r="F264">
            <v>1790030.0000000002</v>
          </cell>
          <cell r="G264">
            <v>25</v>
          </cell>
          <cell r="H264">
            <v>0.8</v>
          </cell>
        </row>
        <row r="265">
          <cell r="B265" t="str">
            <v>Lát gạch đất nung 300x300</v>
          </cell>
          <cell r="C265" t="str">
            <v>Lát gạch đất nung 300x300mm</v>
          </cell>
          <cell r="E265" t="str">
            <v>m2</v>
          </cell>
          <cell r="F265">
            <v>159500</v>
          </cell>
          <cell r="G265">
            <v>10</v>
          </cell>
          <cell r="H265">
            <v>0.8</v>
          </cell>
        </row>
        <row r="266">
          <cell r="B266" t="str">
            <v>Lát gạch đất nung 400x400</v>
          </cell>
          <cell r="C266" t="str">
            <v>Lát gạch đất nung 400x400mm</v>
          </cell>
          <cell r="E266" t="str">
            <v>m2</v>
          </cell>
          <cell r="F266">
            <v>191070.00000000003</v>
          </cell>
          <cell r="G266">
            <v>10</v>
          </cell>
          <cell r="H266">
            <v>0.8</v>
          </cell>
        </row>
        <row r="267">
          <cell r="B267" t="str">
            <v>Lát gạch đất nung 500x500</v>
          </cell>
          <cell r="C267" t="str">
            <v>Lát gạch đất nung 500x500mm</v>
          </cell>
          <cell r="E267" t="str">
            <v>m2</v>
          </cell>
          <cell r="G267">
            <v>10</v>
          </cell>
          <cell r="H267">
            <v>0.8</v>
          </cell>
        </row>
        <row r="268">
          <cell r="B268" t="str">
            <v>ỐP GẠCH</v>
          </cell>
          <cell r="C268" t="str">
            <v>Ốp gạch</v>
          </cell>
        </row>
        <row r="269">
          <cell r="B269" t="str">
            <v>Ốp gạch 200x200</v>
          </cell>
          <cell r="C269" t="str">
            <v>Ốp gạch vào tường, trụ, cột, kích thước gạch 200x200mm</v>
          </cell>
          <cell r="E269" t="str">
            <v>m2</v>
          </cell>
          <cell r="G269">
            <v>25</v>
          </cell>
          <cell r="H269">
            <v>0.8</v>
          </cell>
        </row>
        <row r="270">
          <cell r="B270" t="str">
            <v>Ốp gạch 250x250</v>
          </cell>
          <cell r="C270" t="str">
            <v>Ốp gạch vào tường, trụ, cột, kích thước gạch 250x250mm</v>
          </cell>
          <cell r="E270" t="str">
            <v>m2</v>
          </cell>
          <cell r="F270">
            <v>276980</v>
          </cell>
          <cell r="G270">
            <v>25</v>
          </cell>
          <cell r="H270">
            <v>0.8</v>
          </cell>
        </row>
        <row r="271">
          <cell r="B271" t="str">
            <v>Ốp gạch 250x400</v>
          </cell>
          <cell r="C271" t="str">
            <v>Ốp gạch vào tường, trụ, cột, kích thước gạch 250x400mm</v>
          </cell>
          <cell r="E271" t="str">
            <v>m2</v>
          </cell>
          <cell r="F271">
            <v>278960</v>
          </cell>
          <cell r="G271">
            <v>25</v>
          </cell>
          <cell r="H271">
            <v>0.8</v>
          </cell>
        </row>
        <row r="272">
          <cell r="B272" t="str">
            <v>Ốp gạch 300x300</v>
          </cell>
          <cell r="C272" t="str">
            <v>Ốp gạch vào tường, trụ, cột, kích thước gạch 300x300mm</v>
          </cell>
          <cell r="E272" t="str">
            <v>m2</v>
          </cell>
          <cell r="F272">
            <v>290510</v>
          </cell>
          <cell r="G272">
            <v>25</v>
          </cell>
          <cell r="H272">
            <v>0.8</v>
          </cell>
        </row>
        <row r="273">
          <cell r="B273" t="str">
            <v>Ốp gạch 300x450</v>
          </cell>
          <cell r="C273" t="str">
            <v>Ốp gạch vào tường, trụ, cột, kích thước gạch 300x450mm</v>
          </cell>
          <cell r="E273" t="str">
            <v>m2</v>
          </cell>
          <cell r="F273">
            <v>304370</v>
          </cell>
          <cell r="G273">
            <v>25</v>
          </cell>
          <cell r="H273">
            <v>0.8</v>
          </cell>
        </row>
        <row r="274">
          <cell r="B274" t="str">
            <v>Ốp gạch 300x600</v>
          </cell>
          <cell r="C274" t="str">
            <v>Ốp gạch vào tường, trụ, cột, kích thước gạch 300x600mm</v>
          </cell>
          <cell r="E274" t="str">
            <v>m2</v>
          </cell>
          <cell r="F274">
            <v>348370</v>
          </cell>
          <cell r="G274">
            <v>25</v>
          </cell>
          <cell r="H274">
            <v>0.8</v>
          </cell>
        </row>
        <row r="275">
          <cell r="B275" t="str">
            <v>Ốp gạch 500x500</v>
          </cell>
          <cell r="C275" t="str">
            <v>Ốp gạch vào tường, trụ, cột, kích thước gạch 500x500mm</v>
          </cell>
          <cell r="E275" t="str">
            <v>m2</v>
          </cell>
          <cell r="F275">
            <v>372900.00000000006</v>
          </cell>
          <cell r="G275">
            <v>25</v>
          </cell>
          <cell r="H275">
            <v>0.8</v>
          </cell>
        </row>
        <row r="276">
          <cell r="B276" t="str">
            <v>Ốp gạch 600x600</v>
          </cell>
          <cell r="C276" t="str">
            <v>Ốp gạch vào tường, trụ, cột, kích thước gạch 600x600mm</v>
          </cell>
          <cell r="E276" t="str">
            <v>m2</v>
          </cell>
          <cell r="F276">
            <v>383900.00000000006</v>
          </cell>
          <cell r="G276">
            <v>25</v>
          </cell>
          <cell r="H276">
            <v>0.8</v>
          </cell>
        </row>
        <row r="277">
          <cell r="B277" t="str">
            <v>Ốp gạch 800x800</v>
          </cell>
          <cell r="C277" t="str">
            <v>Ốp gạch vào tường, trụ, cột, kích thước gạch 800x800mm</v>
          </cell>
          <cell r="E277" t="str">
            <v>m2</v>
          </cell>
          <cell r="G277">
            <v>25</v>
          </cell>
          <cell r="H277">
            <v>0.8</v>
          </cell>
        </row>
        <row r="278">
          <cell r="B278" t="str">
            <v>Ốp gạch chân tường 120x300</v>
          </cell>
          <cell r="C278" t="str">
            <v>Ốp gạch vào chân tường, viền tường, viền trụ, cột, kích thước gạch 120x300mm</v>
          </cell>
          <cell r="E278" t="str">
            <v>m2</v>
          </cell>
          <cell r="F278">
            <v>282480</v>
          </cell>
          <cell r="G278">
            <v>25</v>
          </cell>
          <cell r="H278">
            <v>0.8</v>
          </cell>
        </row>
        <row r="279">
          <cell r="B279" t="str">
            <v>Ốp gạch chân tường 120x400</v>
          </cell>
          <cell r="C279" t="str">
            <v>Ốp gạch vào chân tường, viền tường, viền trụ, cột, kích thước gạch 120x400mm</v>
          </cell>
          <cell r="E279" t="str">
            <v>m2</v>
          </cell>
          <cell r="F279">
            <v>277750</v>
          </cell>
          <cell r="G279">
            <v>25</v>
          </cell>
          <cell r="H279">
            <v>0.8</v>
          </cell>
        </row>
        <row r="280">
          <cell r="B280" t="str">
            <v>Ốp gạch chân tường 120x500</v>
          </cell>
          <cell r="C280" t="str">
            <v>Ốp gạch vào chân tường, viền tường, viền trụ, cột, kích thước gạch 120x500mm</v>
          </cell>
          <cell r="E280" t="str">
            <v>m2</v>
          </cell>
          <cell r="F280">
            <v>282920</v>
          </cell>
          <cell r="G280">
            <v>25</v>
          </cell>
          <cell r="H280">
            <v>0.8</v>
          </cell>
        </row>
        <row r="281">
          <cell r="C281" t="str">
            <v>Láng vữa, granito</v>
          </cell>
        </row>
        <row r="282">
          <cell r="B282" t="str">
            <v>Sàn không đánh màu</v>
          </cell>
          <cell r="C282" t="str">
            <v>Láng nền, sàn không đánh màu</v>
          </cell>
          <cell r="E282" t="str">
            <v>m2</v>
          </cell>
          <cell r="F282">
            <v>79090</v>
          </cell>
          <cell r="G282">
            <v>25</v>
          </cell>
        </row>
        <row r="283">
          <cell r="B283" t="str">
            <v>Sàn có đánh màu</v>
          </cell>
          <cell r="C283" t="str">
            <v>Láng nền, sàn có đánh màu</v>
          </cell>
          <cell r="E283" t="str">
            <v>m2</v>
          </cell>
          <cell r="F283">
            <v>85690</v>
          </cell>
          <cell r="G283">
            <v>25</v>
          </cell>
        </row>
        <row r="284">
          <cell r="B284" t="str">
            <v>Nền Granito</v>
          </cell>
          <cell r="C284" t="str">
            <v>Láng granito nền sàn</v>
          </cell>
          <cell r="E284" t="str">
            <v>m2</v>
          </cell>
          <cell r="F284">
            <v>520740.00000000006</v>
          </cell>
          <cell r="G284">
            <v>25</v>
          </cell>
        </row>
        <row r="285">
          <cell r="B285" t="str">
            <v>Cầu thang Granito</v>
          </cell>
          <cell r="C285" t="str">
            <v>Láng granito cầu thang</v>
          </cell>
          <cell r="E285" t="str">
            <v>m2</v>
          </cell>
          <cell r="F285">
            <v>941710.00000000012</v>
          </cell>
          <cell r="G285">
            <v>25</v>
          </cell>
        </row>
        <row r="286">
          <cell r="C286" t="str">
            <v>Bả, lăn sơn, vôi ve</v>
          </cell>
        </row>
        <row r="287">
          <cell r="B287" t="str">
            <v>Sơn trong nhà 01</v>
          </cell>
          <cell r="C287" t="str">
            <v>Sơn dầm, trần cột, tường trong nhà đã bả (chưa tính bả)</v>
          </cell>
          <cell r="E287" t="str">
            <v>m2</v>
          </cell>
          <cell r="F287">
            <v>53460.000000000007</v>
          </cell>
          <cell r="H287">
            <v>0.8</v>
          </cell>
        </row>
        <row r="288">
          <cell r="B288" t="str">
            <v>Sơn ngoài nhà 01</v>
          </cell>
          <cell r="C288" t="str">
            <v>Sơn dầm, trần cột, tường ngoài nhà đã bả (chưa tính bả)</v>
          </cell>
          <cell r="E288" t="str">
            <v>m2</v>
          </cell>
          <cell r="F288">
            <v>56650.000000000007</v>
          </cell>
          <cell r="H288">
            <v>0.8</v>
          </cell>
        </row>
        <row r="289">
          <cell r="B289" t="str">
            <v>Sơn trong nhà 02</v>
          </cell>
          <cell r="C289" t="str">
            <v>Sơn dầm, trần cột, tường trong nhà không bả</v>
          </cell>
          <cell r="E289" t="str">
            <v>m2</v>
          </cell>
          <cell r="F289">
            <v>63800.000000000007</v>
          </cell>
          <cell r="H289">
            <v>0.8</v>
          </cell>
        </row>
        <row r="290">
          <cell r="B290" t="str">
            <v>Sơn ngoài nhà 02</v>
          </cell>
          <cell r="C290" t="str">
            <v>Sơn dầm, trần cột, tường ngoài nhà không bả</v>
          </cell>
          <cell r="E290" t="str">
            <v>m2</v>
          </cell>
          <cell r="F290">
            <v>68200</v>
          </cell>
          <cell r="H290">
            <v>0.8</v>
          </cell>
        </row>
        <row r="291">
          <cell r="B291" t="str">
            <v>Bả matit 01</v>
          </cell>
          <cell r="C291" t="str">
            <v>Bả bằng matít vào tường</v>
          </cell>
          <cell r="E291" t="str">
            <v>m2</v>
          </cell>
          <cell r="F291">
            <v>33770</v>
          </cell>
          <cell r="H291">
            <v>0.8</v>
          </cell>
        </row>
        <row r="292">
          <cell r="B292" t="str">
            <v>Bả matit 02</v>
          </cell>
          <cell r="C292" t="str">
            <v>Bả bằng matít vào cột, dầm, trần</v>
          </cell>
          <cell r="E292" t="str">
            <v>m2</v>
          </cell>
          <cell r="F292">
            <v>39710</v>
          </cell>
          <cell r="H292">
            <v>0.8</v>
          </cell>
        </row>
        <row r="293">
          <cell r="B293" t="str">
            <v>Quét vôi ve</v>
          </cell>
          <cell r="C293" t="str">
            <v>Quét vôi ve trong và ngoài nhà</v>
          </cell>
          <cell r="E293" t="str">
            <v>m2</v>
          </cell>
          <cell r="F293">
            <v>12540.000000000002</v>
          </cell>
          <cell r="H293">
            <v>0.8</v>
          </cell>
        </row>
        <row r="294">
          <cell r="B294" t="str">
            <v>Trát tường ngoài</v>
          </cell>
          <cell r="C294" t="str">
            <v>Trát tường ngoài nhà vữa XM</v>
          </cell>
          <cell r="E294" t="str">
            <v>m2</v>
          </cell>
          <cell r="F294">
            <v>90750.000000000015</v>
          </cell>
          <cell r="H294">
            <v>0.8</v>
          </cell>
        </row>
        <row r="295">
          <cell r="B295" t="str">
            <v>Trát tường trong</v>
          </cell>
          <cell r="C295" t="str">
            <v>Trát tường trong nhà vữa XM</v>
          </cell>
          <cell r="E295" t="str">
            <v>m2</v>
          </cell>
          <cell r="F295">
            <v>72930</v>
          </cell>
          <cell r="H295">
            <v>0.8</v>
          </cell>
        </row>
        <row r="296">
          <cell r="B296" t="str">
            <v>Trát xà, dầm</v>
          </cell>
          <cell r="C296" t="str">
            <v>Trát xà, dầm, giằng vữa XM</v>
          </cell>
          <cell r="E296" t="str">
            <v>m2</v>
          </cell>
          <cell r="F296">
            <v>127490.00000000001</v>
          </cell>
          <cell r="H296">
            <v>0.8</v>
          </cell>
        </row>
        <row r="297">
          <cell r="B297" t="str">
            <v>Trát trụ, cột</v>
          </cell>
          <cell r="C297" t="str">
            <v>Trát trụ, cột, lam đứng, cầu thang vữa XM</v>
          </cell>
          <cell r="E297" t="str">
            <v>m2</v>
          </cell>
          <cell r="F297">
            <v>182380.00000000003</v>
          </cell>
          <cell r="H297">
            <v>0.8</v>
          </cell>
        </row>
        <row r="298">
          <cell r="B298" t="str">
            <v>Trát trần vữa</v>
          </cell>
          <cell r="C298" t="str">
            <v>Trát trần vữa XM</v>
          </cell>
          <cell r="E298" t="str">
            <v>m2</v>
          </cell>
          <cell r="F298">
            <v>176000</v>
          </cell>
          <cell r="H298">
            <v>0.8</v>
          </cell>
        </row>
        <row r="299">
          <cell r="B299" t="str">
            <v>TRẦN</v>
          </cell>
          <cell r="C299" t="str">
            <v>Trần, gác xép</v>
          </cell>
        </row>
        <row r="300">
          <cell r="B300" t="str">
            <v>Trần thạch cao</v>
          </cell>
          <cell r="C300" t="str">
            <v>Làm trần bằng tấm thạch cao</v>
          </cell>
          <cell r="E300" t="str">
            <v>m2</v>
          </cell>
          <cell r="F300">
            <v>360580</v>
          </cell>
          <cell r="G300">
            <v>25</v>
          </cell>
        </row>
        <row r="301">
          <cell r="B301" t="str">
            <v>Trần nhựa</v>
          </cell>
          <cell r="C301" t="str">
            <v>Làm trần bằng tấm nhựa</v>
          </cell>
          <cell r="E301" t="str">
            <v>m2</v>
          </cell>
          <cell r="F301">
            <v>134090</v>
          </cell>
          <cell r="G301">
            <v>25</v>
          </cell>
        </row>
        <row r="302">
          <cell r="B302" t="str">
            <v>Trần cót ép</v>
          </cell>
          <cell r="C302" t="str">
            <v>Làm trần cót ép</v>
          </cell>
          <cell r="E302" t="str">
            <v>m2</v>
          </cell>
          <cell r="F302">
            <v>108570.00000000001</v>
          </cell>
          <cell r="G302">
            <v>25</v>
          </cell>
        </row>
        <row r="303">
          <cell r="B303" t="str">
            <v>Trần gỗ dán</v>
          </cell>
          <cell r="C303" t="str">
            <v>Làm trần gỗ dán, ván ép</v>
          </cell>
          <cell r="E303" t="str">
            <v>m2</v>
          </cell>
          <cell r="F303">
            <v>233420.00000000003</v>
          </cell>
          <cell r="G303">
            <v>25</v>
          </cell>
        </row>
        <row r="304">
          <cell r="B304" t="str">
            <v>Gáp xép gỗ</v>
          </cell>
          <cell r="C304" t="str">
            <v>Gác xép gỗ nhóm IV (Để chứa đồ)</v>
          </cell>
          <cell r="E304" t="str">
            <v>m2</v>
          </cell>
          <cell r="F304">
            <v>2247630</v>
          </cell>
          <cell r="G304">
            <v>25</v>
          </cell>
        </row>
        <row r="305">
          <cell r="B305" t="str">
            <v>CHỐNG NÓNG</v>
          </cell>
          <cell r="C305" t="str">
            <v>Kết cấu chống nóng</v>
          </cell>
        </row>
        <row r="306">
          <cell r="B306" t="str">
            <v>Chống nóng mái Fibroximang</v>
          </cell>
          <cell r="C306" t="str">
            <v>Chống nóng mái bằng tấm fibroximang</v>
          </cell>
          <cell r="E306" t="str">
            <v>m2</v>
          </cell>
          <cell r="F306">
            <v>87780</v>
          </cell>
          <cell r="G306">
            <v>25</v>
          </cell>
        </row>
        <row r="307">
          <cell r="B307" t="str">
            <v>Chống nóng mái tôn</v>
          </cell>
          <cell r="C307" t="str">
            <v>Chống nóng mái bằng tôn mạ màu</v>
          </cell>
          <cell r="E307" t="str">
            <v>m2</v>
          </cell>
          <cell r="F307">
            <v>274890</v>
          </cell>
          <cell r="G307">
            <v>25</v>
          </cell>
        </row>
        <row r="308">
          <cell r="B308" t="str">
            <v>Lát gạch chống nóng</v>
          </cell>
          <cell r="C308" t="str">
            <v>Lát gạch chống nóng bằng gạch 4 lỗ 22x10,5x15cm</v>
          </cell>
          <cell r="E308" t="str">
            <v>m2</v>
          </cell>
          <cell r="F308">
            <v>203940.00000000003</v>
          </cell>
          <cell r="G308">
            <v>25</v>
          </cell>
        </row>
        <row r="309">
          <cell r="B309" t="str">
            <v>CỔNG</v>
          </cell>
          <cell r="C309" t="str">
            <v>CỔNG</v>
          </cell>
        </row>
        <row r="310">
          <cell r="B310" t="str">
            <v>Cánh cổng 01</v>
          </cell>
          <cell r="C310" t="str">
            <v>Cổng thép mặt bưng tôn, khung thép hộp, lan sắt vuông 10x10</v>
          </cell>
          <cell r="E310" t="str">
            <v>m2</v>
          </cell>
          <cell r="F310">
            <v>938520.00000000012</v>
          </cell>
          <cell r="G310">
            <v>10</v>
          </cell>
          <cell r="H310">
            <v>0.8</v>
          </cell>
        </row>
        <row r="311">
          <cell r="B311" t="str">
            <v>Cánh cổng 02</v>
          </cell>
          <cell r="C311" t="str">
            <v>Cổng thép mặt bưng tôn, khung thép hộp, lan sắt vuông 12x12</v>
          </cell>
          <cell r="E311" t="str">
            <v>m2</v>
          </cell>
          <cell r="F311">
            <v>1039060.0000000001</v>
          </cell>
          <cell r="G311">
            <v>10</v>
          </cell>
          <cell r="H311">
            <v>0.8</v>
          </cell>
        </row>
        <row r="312">
          <cell r="B312" t="str">
            <v>Cánh cổng 03</v>
          </cell>
          <cell r="C312" t="str">
            <v>Cổng thép mặt bưng tôn, khung thép hộp, lan sắt vuông 14x14</v>
          </cell>
          <cell r="E312" t="str">
            <v>m2</v>
          </cell>
          <cell r="F312">
            <v>1200210</v>
          </cell>
          <cell r="G312">
            <v>10</v>
          </cell>
          <cell r="H312">
            <v>0.8</v>
          </cell>
        </row>
        <row r="313">
          <cell r="B313" t="str">
            <v>Cánh cổng 04</v>
          </cell>
          <cell r="C313" t="str">
            <v>Cổng thép mặt bưng tôn, khung thép hộp, lan sắt vuông 16x16</v>
          </cell>
          <cell r="E313" t="str">
            <v>m2</v>
          </cell>
          <cell r="F313">
            <v>1337380</v>
          </cell>
          <cell r="G313">
            <v>10</v>
          </cell>
          <cell r="H313">
            <v>0.8</v>
          </cell>
        </row>
        <row r="314">
          <cell r="B314" t="str">
            <v>TƯỜNG RÀO</v>
          </cell>
          <cell r="C314" t="str">
            <v>TƯỜNG RÀO</v>
          </cell>
        </row>
        <row r="315">
          <cell r="B315" t="str">
            <v>Tường 220</v>
          </cell>
          <cell r="C315" t="str">
            <v>Tường rào xây gạch 220, trát vữa XM, quét vôi ve, cao ≤ 2,5m</v>
          </cell>
          <cell r="E315" t="str">
            <v>m2</v>
          </cell>
          <cell r="F315">
            <v>881320.00000000012</v>
          </cell>
          <cell r="G315">
            <v>10</v>
          </cell>
          <cell r="H315">
            <v>0.8</v>
          </cell>
        </row>
        <row r="316">
          <cell r="B316" t="str">
            <v>Tường 110</v>
          </cell>
          <cell r="C316" t="str">
            <v>Tường rào xây gạch bổ trụ 220, xây tường 110, trát vữa XM, quét vôi ve, cao ≤ 2,5m</v>
          </cell>
          <cell r="E316" t="str">
            <v>m2</v>
          </cell>
          <cell r="F316">
            <v>695200</v>
          </cell>
          <cell r="G316">
            <v>10</v>
          </cell>
          <cell r="H316">
            <v>0.8</v>
          </cell>
        </row>
        <row r="317">
          <cell r="B317" t="str">
            <v>Tường móng gạch 1</v>
          </cell>
          <cell r="C317" t="str">
            <v>Tường rào móng gạch, trát vữa XM, quét vôi vẻ. Khoang hoa sắt vuông 10x10</v>
          </cell>
          <cell r="E317" t="str">
            <v>m2</v>
          </cell>
          <cell r="F317">
            <v>849970.00000000012</v>
          </cell>
          <cell r="G317">
            <v>10</v>
          </cell>
          <cell r="H317">
            <v>0.8</v>
          </cell>
        </row>
        <row r="318">
          <cell r="B318" t="str">
            <v>Tường móng gạch 2</v>
          </cell>
          <cell r="C318" t="str">
            <v>Tường rào móng gạch, trát vữa XM, quét vôi vẻ. Khoang hoa sắt vuông 12x12</v>
          </cell>
          <cell r="E318" t="str">
            <v>m2</v>
          </cell>
          <cell r="F318">
            <v>890780.00000000012</v>
          </cell>
          <cell r="G318">
            <v>10</v>
          </cell>
          <cell r="H318">
            <v>0.8</v>
          </cell>
        </row>
        <row r="319">
          <cell r="B319" t="str">
            <v>Tường móng gạch 3</v>
          </cell>
          <cell r="C319" t="str">
            <v>Tường rào móng gạch, trát vữa XM, quét vôi vẻ. Khoang hoa sắt vuông 14x14</v>
          </cell>
          <cell r="E319" t="str">
            <v>m2</v>
          </cell>
          <cell r="F319">
            <v>966130.00000000012</v>
          </cell>
          <cell r="G319">
            <v>10</v>
          </cell>
          <cell r="H319">
            <v>0.8</v>
          </cell>
        </row>
        <row r="320">
          <cell r="B320" t="str">
            <v>Tường móng gạch 4</v>
          </cell>
          <cell r="C320" t="str">
            <v>Tường rào móng gạch, trát vữa XM, quét vôi vẻ. Khoang hoa sắt vuông 16x16</v>
          </cell>
          <cell r="E320" t="str">
            <v>m2</v>
          </cell>
          <cell r="F320">
            <v>1051820</v>
          </cell>
          <cell r="G320">
            <v>10</v>
          </cell>
          <cell r="H320">
            <v>0.8</v>
          </cell>
        </row>
        <row r="321">
          <cell r="B321" t="str">
            <v>Tường móng gạch 5</v>
          </cell>
          <cell r="C321" t="str">
            <v>Tường rào móng gạch, trát vữa XM, quét vôi vẻ. Khoang hoa sắt D &gt;= 10mm</v>
          </cell>
          <cell r="E321" t="str">
            <v>m2</v>
          </cell>
          <cell r="F321">
            <v>967890.00000000012</v>
          </cell>
          <cell r="G321">
            <v>10</v>
          </cell>
          <cell r="H321">
            <v>0.8</v>
          </cell>
        </row>
        <row r="322">
          <cell r="B322" t="str">
            <v>HRB40</v>
          </cell>
          <cell r="C322" t="str">
            <v>Hàng rào lưới B40</v>
          </cell>
          <cell r="E322" t="str">
            <v>m2</v>
          </cell>
          <cell r="F322">
            <v>104060.00000000001</v>
          </cell>
          <cell r="G322">
            <v>10</v>
          </cell>
          <cell r="H322">
            <v>0.2</v>
          </cell>
        </row>
        <row r="323">
          <cell r="B323" t="str">
            <v>HRB40.CK</v>
          </cell>
          <cell r="C323" t="str">
            <v>Hàng rào lưới B40 có khung thép</v>
          </cell>
          <cell r="E323" t="str">
            <v>m2</v>
          </cell>
          <cell r="F323">
            <v>189200.00000000003</v>
          </cell>
          <cell r="G323">
            <v>10</v>
          </cell>
          <cell r="H323">
            <v>0.2</v>
          </cell>
        </row>
        <row r="324">
          <cell r="C324" t="str">
            <v>Tường hoa, lan can</v>
          </cell>
        </row>
        <row r="325">
          <cell r="B325" t="str">
            <v>Tường hoa</v>
          </cell>
          <cell r="C325" t="str">
            <v>Tường hoa xây gạch, con tiện sứ (con tiện xi măng), trát vữa XM, quét vôi ve</v>
          </cell>
          <cell r="E325" t="str">
            <v>m2</v>
          </cell>
          <cell r="F325">
            <v>555500</v>
          </cell>
          <cell r="G325">
            <v>10</v>
          </cell>
          <cell r="H325">
            <v>0.8</v>
          </cell>
        </row>
        <row r="326">
          <cell r="B326" t="str">
            <v>Lan can inox</v>
          </cell>
          <cell r="C326" t="str">
            <v>Lan can bằng inox, cao &lt;=900</v>
          </cell>
          <cell r="E326" t="str">
            <v>md</v>
          </cell>
          <cell r="F326">
            <v>1193610</v>
          </cell>
          <cell r="G326">
            <v>10</v>
          </cell>
          <cell r="H326">
            <v>0.8</v>
          </cell>
        </row>
        <row r="327">
          <cell r="B327" t="str">
            <v>Lan can thép hộp</v>
          </cell>
          <cell r="C327" t="str">
            <v>Lan can bằng thép hộp, cao &lt;=900</v>
          </cell>
          <cell r="E327" t="str">
            <v>md</v>
          </cell>
          <cell r="F327">
            <v>444620.00000000006</v>
          </cell>
          <cell r="G327">
            <v>10</v>
          </cell>
          <cell r="H327">
            <v>0.8</v>
          </cell>
        </row>
        <row r="328">
          <cell r="B328" t="str">
            <v>Lan can thép hình</v>
          </cell>
          <cell r="C328" t="str">
            <v>Lan can bằng thép hình, cao &lt;=900</v>
          </cell>
          <cell r="E328" t="str">
            <v>md</v>
          </cell>
          <cell r="F328">
            <v>560010</v>
          </cell>
          <cell r="G328">
            <v>10</v>
          </cell>
          <cell r="H328">
            <v>0.8</v>
          </cell>
        </row>
        <row r="329">
          <cell r="C329" t="str">
            <v>Bể nước, bể phốt</v>
          </cell>
        </row>
        <row r="330">
          <cell r="B330" t="str">
            <v>Bể phốt 01</v>
          </cell>
          <cell r="C330" t="str">
            <v>Bể phốt đáy đổ BTCT, thành bể xây gạch, có nắp đậy BTCT</v>
          </cell>
          <cell r="E330" t="str">
            <v>m3</v>
          </cell>
          <cell r="F330">
            <v>2230140</v>
          </cell>
          <cell r="G330">
            <v>20</v>
          </cell>
          <cell r="H330">
            <v>0.8</v>
          </cell>
        </row>
        <row r="331">
          <cell r="B331" t="str">
            <v>Bể phốt 02</v>
          </cell>
          <cell r="C331" t="str">
            <v>Bể phốt đáy đổ BTCT, thành bể xây gạch, không nắp đậy BTCT</v>
          </cell>
          <cell r="E331" t="str">
            <v>m3</v>
          </cell>
          <cell r="F331">
            <v>1565080.0000000002</v>
          </cell>
          <cell r="G331">
            <v>20</v>
          </cell>
          <cell r="H331">
            <v>0.8</v>
          </cell>
        </row>
        <row r="332">
          <cell r="B332" t="str">
            <v>Bể nước 01</v>
          </cell>
          <cell r="C332" t="str">
            <v>Bể nước đáy đổ BTCT, thành bể xây gạch, có bể lọc</v>
          </cell>
          <cell r="E332" t="str">
            <v>m3</v>
          </cell>
          <cell r="F332">
            <v>2098800</v>
          </cell>
          <cell r="G332">
            <v>20</v>
          </cell>
          <cell r="H332">
            <v>0.8</v>
          </cell>
        </row>
        <row r="333">
          <cell r="B333" t="str">
            <v>Bể nước 02</v>
          </cell>
          <cell r="C333" t="str">
            <v>Bể nước đáy đổ BTCT, thành bể xây gạch, có nắp đậy BTCT</v>
          </cell>
          <cell r="E333" t="str">
            <v>m3</v>
          </cell>
          <cell r="F333">
            <v>2031150.0000000002</v>
          </cell>
          <cell r="G333">
            <v>20</v>
          </cell>
          <cell r="H333">
            <v>0.8</v>
          </cell>
        </row>
        <row r="334">
          <cell r="B334" t="str">
            <v>Bể nước 03</v>
          </cell>
          <cell r="C334" t="str">
            <v>Bể nước đáy đổ BTCT, thành bể xây gạch, không nắp đậy BTCT</v>
          </cell>
          <cell r="E334" t="str">
            <v>m3</v>
          </cell>
          <cell r="F334">
            <v>1565080.0000000002</v>
          </cell>
          <cell r="G334">
            <v>20</v>
          </cell>
          <cell r="H334">
            <v>0.8</v>
          </cell>
        </row>
        <row r="335">
          <cell r="B335" t="str">
            <v>Bể nước 04</v>
          </cell>
          <cell r="C335" t="str">
            <v>Bể nước đáy, thành, nắp bể đổ BTCT</v>
          </cell>
          <cell r="E335" t="str">
            <v>m3</v>
          </cell>
          <cell r="F335">
            <v>3272390.0000000005</v>
          </cell>
          <cell r="G335">
            <v>20</v>
          </cell>
          <cell r="H335">
            <v>0.8</v>
          </cell>
        </row>
        <row r="336">
          <cell r="C336" t="str">
            <v>Rãnh thoát nước</v>
          </cell>
        </row>
        <row r="337">
          <cell r="B337" t="str">
            <v>Rãnh nước 01</v>
          </cell>
          <cell r="C337" t="str">
            <v>Rãnh thoát nước xây gạch 220, có nắp đậy BTCT, rộng B&lt;=400</v>
          </cell>
          <cell r="E337" t="str">
            <v>m</v>
          </cell>
          <cell r="F337">
            <v>1004300.0000000001</v>
          </cell>
          <cell r="G337">
            <v>20</v>
          </cell>
          <cell r="H337">
            <v>0.8</v>
          </cell>
        </row>
        <row r="338">
          <cell r="B338" t="str">
            <v>Rãnh nước 02</v>
          </cell>
          <cell r="C338" t="str">
            <v>Rãnh thoát nước xây gạch 220, không nắp đậy BTCT, rộng B&lt;=400</v>
          </cell>
          <cell r="E338" t="str">
            <v>m</v>
          </cell>
          <cell r="F338">
            <v>840070.00000000012</v>
          </cell>
          <cell r="G338">
            <v>20</v>
          </cell>
          <cell r="H338">
            <v>0.8</v>
          </cell>
        </row>
        <row r="339">
          <cell r="B339" t="str">
            <v>Rãnh nước 03</v>
          </cell>
          <cell r="C339" t="str">
            <v>Rãnh thoát nước xây gạch 110, có nắp đậy BTCT, rộng B&lt;=300</v>
          </cell>
          <cell r="E339" t="str">
            <v>m</v>
          </cell>
          <cell r="F339">
            <v>477070.00000000006</v>
          </cell>
          <cell r="G339">
            <v>20</v>
          </cell>
          <cell r="H339">
            <v>0.8</v>
          </cell>
        </row>
        <row r="340">
          <cell r="B340" t="str">
            <v>Rãnh nước 04</v>
          </cell>
          <cell r="C340" t="str">
            <v>Rãnh thoát nước xây gạch 110, không nắp đậy BTCT, rộng B&lt;=300</v>
          </cell>
          <cell r="E340" t="str">
            <v>m</v>
          </cell>
          <cell r="F340">
            <v>336490</v>
          </cell>
          <cell r="G340">
            <v>20</v>
          </cell>
          <cell r="H340">
            <v>0.8</v>
          </cell>
        </row>
        <row r="341">
          <cell r="C341" t="str">
            <v>Kè, san nền</v>
          </cell>
        </row>
        <row r="342">
          <cell r="B342" t="str">
            <v>San nền</v>
          </cell>
          <cell r="C342" t="str">
            <v>San nền</v>
          </cell>
          <cell r="E342" t="str">
            <v>m3</v>
          </cell>
          <cell r="F342">
            <v>245025.00000000003</v>
          </cell>
          <cell r="G342">
            <v>30</v>
          </cell>
          <cell r="H342">
            <v>0.8</v>
          </cell>
        </row>
        <row r="343">
          <cell r="B343" t="str">
            <v>Kè đá</v>
          </cell>
          <cell r="C343" t="str">
            <v>Kè xây đá hộc</v>
          </cell>
          <cell r="E343" t="str">
            <v>m3</v>
          </cell>
          <cell r="F343">
            <v>2052820.0000000002</v>
          </cell>
          <cell r="G343">
            <v>30</v>
          </cell>
          <cell r="H343">
            <v>0.8</v>
          </cell>
        </row>
        <row r="344">
          <cell r="B344" t="str">
            <v>Kè gạch</v>
          </cell>
          <cell r="C344" t="str">
            <v>Kè gạch</v>
          </cell>
          <cell r="E344" t="str">
            <v>m3</v>
          </cell>
          <cell r="F344">
            <v>2126520</v>
          </cell>
          <cell r="G344">
            <v>30</v>
          </cell>
          <cell r="H344">
            <v>0.8</v>
          </cell>
        </row>
        <row r="345">
          <cell r="C345" t="str">
            <v>Sân, đường bê tông</v>
          </cell>
        </row>
        <row r="346">
          <cell r="B346" t="str">
            <v>Sân BT100</v>
          </cell>
          <cell r="C346" t="str">
            <v>Sân bê tông dày 100, mác 200</v>
          </cell>
          <cell r="E346" t="str">
            <v>m2</v>
          </cell>
          <cell r="F346">
            <v>159830</v>
          </cell>
          <cell r="G346">
            <v>20</v>
          </cell>
          <cell r="H346">
            <v>0.8</v>
          </cell>
        </row>
        <row r="347">
          <cell r="B347" t="str">
            <v>Sân BT150</v>
          </cell>
          <cell r="C347" t="str">
            <v>Sân bê tông dày 150, mác 200</v>
          </cell>
          <cell r="E347" t="str">
            <v>m2</v>
          </cell>
          <cell r="F347">
            <v>159830</v>
          </cell>
          <cell r="G347">
            <v>20</v>
          </cell>
          <cell r="H347">
            <v>0.8</v>
          </cell>
        </row>
        <row r="348">
          <cell r="B348" t="str">
            <v>Sân lót</v>
          </cell>
          <cell r="C348" t="str">
            <v>Sân lót bê tông gạch vỡ, mặt láng vữa XMCV</v>
          </cell>
          <cell r="E348" t="str">
            <v>m2</v>
          </cell>
          <cell r="F348">
            <v>127512.00000000001</v>
          </cell>
          <cell r="G348">
            <v>20</v>
          </cell>
          <cell r="H348">
            <v>0.8</v>
          </cell>
        </row>
        <row r="349">
          <cell r="B349" t="str">
            <v>CỘT TRỤ</v>
          </cell>
          <cell r="C349" t="str">
            <v>Cột trụ, tấm đan, nan chớp</v>
          </cell>
        </row>
        <row r="350">
          <cell r="B350" t="str">
            <v>Cột BTCT</v>
          </cell>
          <cell r="C350" t="str">
            <v>Cột BTCT, trát vữa XM, quét vôi ve</v>
          </cell>
          <cell r="E350" t="str">
            <v>m3</v>
          </cell>
          <cell r="F350">
            <v>4651020</v>
          </cell>
          <cell r="G350">
            <v>10</v>
          </cell>
          <cell r="H350">
            <v>0.8</v>
          </cell>
        </row>
        <row r="351">
          <cell r="B351" t="str">
            <v>Cột BT</v>
          </cell>
          <cell r="C351" t="str">
            <v>Cột bê tông, trát vữa XM, quét vôi ve</v>
          </cell>
          <cell r="E351" t="str">
            <v>m3</v>
          </cell>
          <cell r="F351">
            <v>3108710.0000000005</v>
          </cell>
          <cell r="G351">
            <v>10</v>
          </cell>
          <cell r="H351">
            <v>0.8</v>
          </cell>
        </row>
        <row r="352">
          <cell r="B352" t="str">
            <v>Trụ xây gạch</v>
          </cell>
          <cell r="C352" t="str">
            <v>Trụ xây gạch, trát vữa XM, quét vôi ve</v>
          </cell>
          <cell r="E352" t="str">
            <v>m3</v>
          </cell>
          <cell r="F352">
            <v>2326500</v>
          </cell>
          <cell r="G352">
            <v>10</v>
          </cell>
          <cell r="H352">
            <v>0.8</v>
          </cell>
        </row>
        <row r="353">
          <cell r="B353" t="str">
            <v>Tấm đan, nan chớp</v>
          </cell>
          <cell r="C353" t="str">
            <v>Tấm đan, nan chớp BTCT</v>
          </cell>
          <cell r="E353" t="str">
            <v>m3</v>
          </cell>
          <cell r="F353">
            <v>3589300.0000000005</v>
          </cell>
          <cell r="G353">
            <v>10</v>
          </cell>
          <cell r="H353">
            <v>0.8</v>
          </cell>
        </row>
        <row r="354">
          <cell r="B354" t="str">
            <v>GIẾNG</v>
          </cell>
          <cell r="C354" t="str">
            <v>Giếng khơi , giếng khoan</v>
          </cell>
        </row>
        <row r="355">
          <cell r="B355" t="str">
            <v>GK 01</v>
          </cell>
          <cell r="C355" t="str">
            <v>Giếng khơi thành xây gạch</v>
          </cell>
          <cell r="E355" t="str">
            <v>m sâu</v>
          </cell>
          <cell r="F355">
            <v>1252570</v>
          </cell>
          <cell r="G355">
            <v>10</v>
          </cell>
          <cell r="H355">
            <v>0.8</v>
          </cell>
        </row>
        <row r="356">
          <cell r="B356" t="str">
            <v>GK 02</v>
          </cell>
          <cell r="C356" t="str">
            <v>Giếng khơi thành đất</v>
          </cell>
          <cell r="E356" t="str">
            <v>m sâu</v>
          </cell>
          <cell r="F356">
            <v>696819.20000000007</v>
          </cell>
          <cell r="G356">
            <v>10</v>
          </cell>
          <cell r="H356">
            <v>0.8</v>
          </cell>
        </row>
        <row r="357">
          <cell r="B357" t="str">
            <v>GK</v>
          </cell>
          <cell r="C357" t="str">
            <v>Giếng khoan</v>
          </cell>
          <cell r="E357" t="str">
            <v>Giếng</v>
          </cell>
          <cell r="F357">
            <v>1937980.0000000002</v>
          </cell>
          <cell r="G357">
            <v>10</v>
          </cell>
          <cell r="H357">
            <v>0.8</v>
          </cell>
        </row>
        <row r="358">
          <cell r="B358" t="str">
            <v>THÁO DỠ</v>
          </cell>
          <cell r="C358" t="str">
            <v>Tháo dỡ, di chuyển, lắp đặt thiết bị</v>
          </cell>
        </row>
        <row r="359">
          <cell r="B359" t="str">
            <v>Cánh cổng</v>
          </cell>
          <cell r="C359" t="str">
            <v>Cánh cổng</v>
          </cell>
          <cell r="E359" t="str">
            <v>m2</v>
          </cell>
          <cell r="F359">
            <v>208120.00000000003</v>
          </cell>
          <cell r="G359">
            <v>10</v>
          </cell>
          <cell r="H359">
            <v>0.8</v>
          </cell>
        </row>
        <row r="360">
          <cell r="B360" t="str">
            <v>ĐH 1</v>
          </cell>
          <cell r="C360" t="str">
            <v>Điều hòa 1 cục loại treo tường</v>
          </cell>
          <cell r="E360" t="str">
            <v>máy</v>
          </cell>
          <cell r="F360">
            <v>1108580</v>
          </cell>
          <cell r="G360">
            <v>10</v>
          </cell>
          <cell r="H360">
            <v>0.8</v>
          </cell>
        </row>
        <row r="361">
          <cell r="B361" t="str">
            <v>ĐH 2</v>
          </cell>
          <cell r="C361" t="str">
            <v>Điều hòa 2 cục loại treo tường</v>
          </cell>
          <cell r="E361" t="str">
            <v>máy</v>
          </cell>
          <cell r="F361">
            <v>1108580</v>
          </cell>
          <cell r="G361">
            <v>10</v>
          </cell>
          <cell r="H361">
            <v>0.8</v>
          </cell>
        </row>
        <row r="362">
          <cell r="B362" t="str">
            <v>ĐH 3</v>
          </cell>
          <cell r="C362" t="str">
            <v>Điều hòa 1 cục loại ốp trần</v>
          </cell>
          <cell r="E362" t="str">
            <v>máy</v>
          </cell>
          <cell r="F362">
            <v>1108250</v>
          </cell>
          <cell r="G362">
            <v>10</v>
          </cell>
          <cell r="H362">
            <v>0.8</v>
          </cell>
        </row>
        <row r="363">
          <cell r="B363" t="str">
            <v>ĐH 4</v>
          </cell>
          <cell r="C363" t="str">
            <v>Điều hòa 2 cục loại âm trần</v>
          </cell>
          <cell r="E363" t="str">
            <v>máy</v>
          </cell>
          <cell r="F363">
            <v>869550.00000000012</v>
          </cell>
          <cell r="G363">
            <v>10</v>
          </cell>
          <cell r="H363">
            <v>0.8</v>
          </cell>
        </row>
        <row r="364">
          <cell r="B364" t="str">
            <v>ĐH 5</v>
          </cell>
          <cell r="C364" t="str">
            <v>Điều hòa 2 cục loại tủ đứng</v>
          </cell>
          <cell r="E364" t="str">
            <v>máy</v>
          </cell>
          <cell r="F364">
            <v>992200.00000000012</v>
          </cell>
          <cell r="G364">
            <v>10</v>
          </cell>
          <cell r="H364">
            <v>0.8</v>
          </cell>
        </row>
        <row r="365">
          <cell r="B365" t="str">
            <v>BNL</v>
          </cell>
          <cell r="C365" t="str">
            <v>Bình nóng lạnh</v>
          </cell>
          <cell r="E365" t="str">
            <v>bộ</v>
          </cell>
          <cell r="F365">
            <v>606100</v>
          </cell>
          <cell r="G365">
            <v>10</v>
          </cell>
          <cell r="H365">
            <v>0.8</v>
          </cell>
        </row>
        <row r="366">
          <cell r="B366" t="str">
            <v>XB</v>
          </cell>
          <cell r="C366" t="str">
            <v>Xí bệt</v>
          </cell>
          <cell r="E366" t="str">
            <v>bộ</v>
          </cell>
          <cell r="F366">
            <v>486750.00000000006</v>
          </cell>
          <cell r="G366">
            <v>10</v>
          </cell>
          <cell r="H366">
            <v>0.8</v>
          </cell>
        </row>
        <row r="367">
          <cell r="B367" t="str">
            <v>CR</v>
          </cell>
          <cell r="C367" t="str">
            <v>Chậu rửa</v>
          </cell>
          <cell r="E367" t="str">
            <v>bộ</v>
          </cell>
          <cell r="F367">
            <v>178530</v>
          </cell>
          <cell r="G367">
            <v>10</v>
          </cell>
          <cell r="H367">
            <v>0.8</v>
          </cell>
        </row>
        <row r="368">
          <cell r="B368" t="str">
            <v>CT</v>
          </cell>
          <cell r="C368" t="str">
            <v>Chậu tiểu</v>
          </cell>
          <cell r="E368" t="str">
            <v>bộ</v>
          </cell>
          <cell r="F368">
            <v>486750.00000000006</v>
          </cell>
          <cell r="G368">
            <v>10</v>
          </cell>
          <cell r="H368">
            <v>0.8</v>
          </cell>
        </row>
        <row r="369">
          <cell r="B369" t="str">
            <v>Quạt trần</v>
          </cell>
          <cell r="C369" t="str">
            <v>Quạt trần</v>
          </cell>
          <cell r="E369" t="str">
            <v>bộ</v>
          </cell>
          <cell r="F369">
            <v>649000</v>
          </cell>
          <cell r="G369">
            <v>10</v>
          </cell>
          <cell r="H369">
            <v>0.2</v>
          </cell>
        </row>
        <row r="370">
          <cell r="B370" t="str">
            <v>CỬA GỖ</v>
          </cell>
          <cell r="C370" t="str">
            <v>Cửa gỗ lim</v>
          </cell>
        </row>
        <row r="371">
          <cell r="B371" t="str">
            <v>KC gỗ lim (Kép)</v>
          </cell>
          <cell r="C371" t="str">
            <v>Khuôn cửa gỗ lim, khuôn kép</v>
          </cell>
          <cell r="D371" t="str">
            <v>250x60mm</v>
          </cell>
          <cell r="E371" t="str">
            <v>md</v>
          </cell>
          <cell r="F371">
            <v>1100000</v>
          </cell>
          <cell r="G371">
            <v>25</v>
          </cell>
        </row>
        <row r="372">
          <cell r="B372" t="str">
            <v>KC gỗ lim (Đơn)</v>
          </cell>
          <cell r="C372" t="str">
            <v>Khuôn cửa gỗ lim, khuôn đơn</v>
          </cell>
          <cell r="D372" t="str">
            <v>130x60mm</v>
          </cell>
          <cell r="E372" t="str">
            <v>md</v>
          </cell>
          <cell r="F372">
            <v>693000</v>
          </cell>
          <cell r="G372">
            <v>25</v>
          </cell>
        </row>
        <row r="373">
          <cell r="B373" t="str">
            <v>CC gỗ lim (cửa đi Pano đặc)</v>
          </cell>
          <cell r="C373" t="str">
            <v>Cửa đi gỗ lim Pano đặc</v>
          </cell>
          <cell r="E373" t="str">
            <v>m2</v>
          </cell>
          <cell r="F373">
            <v>2654300</v>
          </cell>
          <cell r="G373">
            <v>25</v>
          </cell>
        </row>
        <row r="374">
          <cell r="B374" t="str">
            <v>CC gỗ lim (cửa đi Pano kính)</v>
          </cell>
          <cell r="C374" t="str">
            <v>Cửa đi gỗ lim Pano kính</v>
          </cell>
          <cell r="E374" t="str">
            <v>m2</v>
          </cell>
          <cell r="F374">
            <v>2379300</v>
          </cell>
          <cell r="G374">
            <v>25</v>
          </cell>
        </row>
        <row r="375">
          <cell r="B375" t="str">
            <v>CC gỗ lim (cửa sổ Pano kính)</v>
          </cell>
          <cell r="C375" t="str">
            <v>Cửa sổ gỗ lim Pano kính</v>
          </cell>
          <cell r="E375" t="str">
            <v>m2</v>
          </cell>
          <cell r="F375">
            <v>2380400</v>
          </cell>
          <cell r="G375">
            <v>25</v>
          </cell>
        </row>
        <row r="376">
          <cell r="B376" t="str">
            <v>CC gỗ lim (cửa chớp)</v>
          </cell>
          <cell r="C376" t="str">
            <v>Cửa chớp gỗ lim</v>
          </cell>
          <cell r="E376" t="str">
            <v>m2</v>
          </cell>
          <cell r="F376">
            <v>2691700</v>
          </cell>
          <cell r="G376">
            <v>25</v>
          </cell>
        </row>
        <row r="377">
          <cell r="B377" t="str">
            <v>Song gỗ cửa sổ</v>
          </cell>
          <cell r="C377" t="str">
            <v>Song gỗ cửa sổ</v>
          </cell>
          <cell r="F377">
            <v>0</v>
          </cell>
          <cell r="G377">
            <v>25</v>
          </cell>
        </row>
        <row r="378">
          <cell r="B378" t="str">
            <v>CỬA GỖ</v>
          </cell>
          <cell r="C378" t="str">
            <v>Cửa gỗ dổi</v>
          </cell>
        </row>
        <row r="379">
          <cell r="B379" t="str">
            <v>KC gỗ dổi (Kép)</v>
          </cell>
          <cell r="C379" t="str">
            <v>Khuôn cửa gỗ dổi, khuôn kép</v>
          </cell>
          <cell r="D379" t="str">
            <v>250x60mm</v>
          </cell>
          <cell r="E379" t="str">
            <v>md</v>
          </cell>
          <cell r="F379">
            <v>1100000</v>
          </cell>
          <cell r="G379">
            <v>25</v>
          </cell>
        </row>
        <row r="380">
          <cell r="B380" t="str">
            <v>KC gỗ dổi (Đơn)</v>
          </cell>
          <cell r="C380" t="str">
            <v>Khuôn cửa gỗ dổi, khuôn đơn</v>
          </cell>
          <cell r="D380" t="str">
            <v>130x60mm</v>
          </cell>
          <cell r="E380" t="str">
            <v>md</v>
          </cell>
          <cell r="F380">
            <v>693000</v>
          </cell>
          <cell r="G380">
            <v>25</v>
          </cell>
        </row>
        <row r="381">
          <cell r="B381" t="str">
            <v>CC gỗ dổi (cửa đi Pano đặc)</v>
          </cell>
          <cell r="C381" t="str">
            <v>Cửa đi gỗ dổi Pano đặc</v>
          </cell>
          <cell r="E381" t="str">
            <v>m2</v>
          </cell>
          <cell r="F381">
            <v>2486000</v>
          </cell>
          <cell r="G381">
            <v>25</v>
          </cell>
        </row>
        <row r="382">
          <cell r="B382" t="str">
            <v>CC gỗ dổi (cửa đi Pano kính)</v>
          </cell>
          <cell r="C382" t="str">
            <v>Cửa đi gỗ dổi Pano kính</v>
          </cell>
          <cell r="E382" t="str">
            <v>m2</v>
          </cell>
          <cell r="F382">
            <v>2228600</v>
          </cell>
          <cell r="G382">
            <v>25</v>
          </cell>
        </row>
        <row r="383">
          <cell r="B383" t="str">
            <v>CC gỗ dổi (cửa sổ Pano kính)</v>
          </cell>
          <cell r="C383" t="str">
            <v>Cửa sổ gỗ dổi Pano kính</v>
          </cell>
          <cell r="E383" t="str">
            <v>m2</v>
          </cell>
          <cell r="F383">
            <v>2228600</v>
          </cell>
          <cell r="G383">
            <v>25</v>
          </cell>
        </row>
        <row r="384">
          <cell r="B384" t="str">
            <v>CC gỗ dổi (cửa chớp)</v>
          </cell>
          <cell r="C384" t="str">
            <v>Cửa chớp gỗ dổi</v>
          </cell>
          <cell r="E384" t="str">
            <v>m2</v>
          </cell>
          <cell r="F384">
            <v>2460700</v>
          </cell>
          <cell r="G384">
            <v>25</v>
          </cell>
        </row>
        <row r="385">
          <cell r="B385" t="str">
            <v>CỬA NHÔM</v>
          </cell>
          <cell r="C385" t="str">
            <v>Cửa nhôm hệ Xingfa</v>
          </cell>
        </row>
        <row r="386">
          <cell r="B386" t="str">
            <v>Của đi nhôm XF (1 cánh mở quay)-01</v>
          </cell>
          <cell r="C386" t="str">
            <v>Cửa đi 1 cánh mở quay XF55 thanh nhôm dày 2.0mm; kính an toàn 6,38mm; KT  700-900x2100-2400; phụ kiện đồng bộ</v>
          </cell>
          <cell r="E386" t="str">
            <v>m2</v>
          </cell>
          <cell r="F386">
            <v>3685000.0000000005</v>
          </cell>
          <cell r="G386">
            <v>25</v>
          </cell>
        </row>
        <row r="387">
          <cell r="B387" t="str">
            <v>Của đi nhôm XF (2 cánh mở quay)-02</v>
          </cell>
          <cell r="C387" t="str">
            <v>Cửa đi 2 cánh mở quay XF55 thanh nhôm dày 2.0mm; kính an toàn 6,38mm; KT  1200-1800x2100-2400; phụ kiện đồng bộ</v>
          </cell>
          <cell r="E387" t="str">
            <v>m2</v>
          </cell>
          <cell r="F387">
            <v>3806000.0000000005</v>
          </cell>
          <cell r="G387">
            <v>25</v>
          </cell>
        </row>
        <row r="388">
          <cell r="B388" t="str">
            <v>Của sổ nhôm XF (1 cánh mở quay)</v>
          </cell>
          <cell r="C388" t="str">
            <v>Cửa sổ 1 cánh mở quay XF55 thanh nhôm dày 1.4mm; kính an toàn 6,38mm; KT  600-1000x1000-1600; phụ kiện đồng bộ</v>
          </cell>
          <cell r="E388" t="str">
            <v>m2</v>
          </cell>
          <cell r="F388">
            <v>3223000.0000000005</v>
          </cell>
          <cell r="G388">
            <v>25</v>
          </cell>
        </row>
        <row r="389">
          <cell r="B389" t="str">
            <v>Của sổ nhôm XF (2 cánh mở quay)</v>
          </cell>
          <cell r="C389" t="str">
            <v>Cửa sổ 2 cánh mở quay XF55 thanh nhôm dày 1.4mm; kính an toàn 6,38mm; KT  1200-2000x1000-1600; phụ kiện đồng bộ</v>
          </cell>
          <cell r="E389" t="str">
            <v>m2</v>
          </cell>
          <cell r="F389">
            <v>2761000</v>
          </cell>
          <cell r="G389">
            <v>25</v>
          </cell>
        </row>
        <row r="390">
          <cell r="B390" t="str">
            <v>CỬA NHÔM</v>
          </cell>
          <cell r="C390" t="str">
            <v>Cửa nhôm hệ Việt Pháp</v>
          </cell>
        </row>
        <row r="391">
          <cell r="B391" t="str">
            <v>Của đi nhôm VP (1 cánh mở quay)</v>
          </cell>
          <cell r="C391" t="str">
            <v>Cửa đi 1 cánh mở quay hệ Việt Pháp EU450 thanh nhôm dày 1,2mm; kính an toàn 6,38mm; KT 700-1000x2100-2400; phụ kiện đồng bộ</v>
          </cell>
          <cell r="E391" t="str">
            <v>m2</v>
          </cell>
          <cell r="F391">
            <v>3025000.0000000005</v>
          </cell>
          <cell r="G391">
            <v>25</v>
          </cell>
        </row>
        <row r="392">
          <cell r="B392" t="str">
            <v>Của đi nhôm VP (2 cánh mở quay)</v>
          </cell>
          <cell r="C392" t="str">
            <v>Cửa đi 2 cánh mở quay hệ Việt Pháp EU450 thanh nhôm dày 1,2mm; kính an toàn 6,38mm; KT 1200-1800x2100-2400; phụ kiện đồng bộ</v>
          </cell>
          <cell r="E392" t="str">
            <v>m2</v>
          </cell>
          <cell r="F392">
            <v>3322000.0000000005</v>
          </cell>
          <cell r="G392">
            <v>25</v>
          </cell>
        </row>
        <row r="393">
          <cell r="B393" t="str">
            <v>Của sổ nhôm VP (1 cánh mở quay)</v>
          </cell>
          <cell r="C393" t="str">
            <v>Cửa sổ 1 cánh mở quay hệ Việt Pháp EU4400 thanh nhôm dày 1,2mm; kính an toàn 6,38mm; KT 600-1000x1000-1600; phụ kiện đồng bộ</v>
          </cell>
          <cell r="E393" t="str">
            <v>m2</v>
          </cell>
          <cell r="F393">
            <v>2123000</v>
          </cell>
          <cell r="G393">
            <v>25</v>
          </cell>
        </row>
        <row r="394">
          <cell r="B394" t="str">
            <v>Của sổ nhôm VP (2 cánh mở quay)</v>
          </cell>
          <cell r="C394" t="str">
            <v>Cửa sổ 1 cánh mở quay hệ Việt Pháp EU4400 thanh nhôm dày 1,2mm; kính an toàn 6,38mm; KT 1200-2000x1000-1600; phụ kiện đồng bộ</v>
          </cell>
          <cell r="E394" t="str">
            <v>m2</v>
          </cell>
          <cell r="F394">
            <v>2332000</v>
          </cell>
          <cell r="G394">
            <v>25</v>
          </cell>
        </row>
        <row r="395">
          <cell r="B395" t="str">
            <v>CỬA NHỰA</v>
          </cell>
          <cell r="C395" t="str">
            <v>Cửa nhựa lõi thép Shide Đông Á</v>
          </cell>
        </row>
        <row r="396">
          <cell r="B396" t="str">
            <v>Của nhựa ĐA (1 cánh mở quay)</v>
          </cell>
          <cell r="C396" t="str">
            <v>Cửa nhựa lõi thép Shide Đông Á, 1 cánh mở quay, kính an toàn 6,38mm. Phụ kiện GQ đồng bộ</v>
          </cell>
          <cell r="E396" t="str">
            <v>m2</v>
          </cell>
          <cell r="F396">
            <v>3509000.0000000005</v>
          </cell>
          <cell r="G396">
            <v>25</v>
          </cell>
        </row>
        <row r="397">
          <cell r="C397" t="str">
            <v>Thiết bị nước, thiết bị vệ sinh</v>
          </cell>
        </row>
        <row r="398">
          <cell r="B398" t="str">
            <v>Tiểu nam</v>
          </cell>
          <cell r="C398" t="str">
            <v>Tiểu nam</v>
          </cell>
          <cell r="E398" t="str">
            <v>bộ</v>
          </cell>
          <cell r="F398">
            <v>486750.00000000006</v>
          </cell>
          <cell r="G398">
            <v>10</v>
          </cell>
          <cell r="H398">
            <v>0.8</v>
          </cell>
        </row>
        <row r="399">
          <cell r="B399" t="str">
            <v>Sen vòi</v>
          </cell>
          <cell r="C399" t="str">
            <v>Sen vòi</v>
          </cell>
          <cell r="E399" t="str">
            <v>bộ</v>
          </cell>
          <cell r="F399">
            <v>1750000</v>
          </cell>
          <cell r="G399">
            <v>10</v>
          </cell>
          <cell r="H399">
            <v>0.8</v>
          </cell>
        </row>
        <row r="400">
          <cell r="B400" t="str">
            <v>Téc nhựa đứng 500L</v>
          </cell>
          <cell r="C400" t="str">
            <v>Téc nhựa đứng 500L</v>
          </cell>
          <cell r="E400" t="str">
            <v>cái</v>
          </cell>
          <cell r="F400">
            <v>1969000.0000000002</v>
          </cell>
          <cell r="G400">
            <v>10</v>
          </cell>
          <cell r="H400">
            <v>0.2</v>
          </cell>
        </row>
        <row r="401">
          <cell r="B401" t="str">
            <v>Téc nhựa đứng 1000L</v>
          </cell>
          <cell r="C401" t="str">
            <v>Téc nhựa đứng 1000L</v>
          </cell>
          <cell r="E401" t="str">
            <v>cái</v>
          </cell>
          <cell r="F401">
            <v>3329000</v>
          </cell>
          <cell r="G401">
            <v>10</v>
          </cell>
          <cell r="H401">
            <v>0.2</v>
          </cell>
        </row>
        <row r="402">
          <cell r="B402" t="str">
            <v>Téc nhựa đứng 1500L</v>
          </cell>
          <cell r="C402" t="str">
            <v>Téc nhựa đứng 1500L</v>
          </cell>
          <cell r="E402" t="str">
            <v>cái</v>
          </cell>
          <cell r="F402">
            <v>5049000</v>
          </cell>
          <cell r="G402">
            <v>10</v>
          </cell>
          <cell r="H402">
            <v>0.2</v>
          </cell>
        </row>
        <row r="403">
          <cell r="B403" t="str">
            <v>Téc nhựa đứng 2000L</v>
          </cell>
          <cell r="C403" t="str">
            <v>Téc nhựa đứng 2000L</v>
          </cell>
          <cell r="E403" t="str">
            <v>cái</v>
          </cell>
          <cell r="F403">
            <v>6559000</v>
          </cell>
          <cell r="G403">
            <v>10</v>
          </cell>
          <cell r="H403">
            <v>0.2</v>
          </cell>
        </row>
        <row r="404">
          <cell r="B404" t="str">
            <v>Téc nhựa ngang 500L</v>
          </cell>
          <cell r="C404" t="str">
            <v>Téc nhựa ngang 500L</v>
          </cell>
          <cell r="E404" t="str">
            <v>cái</v>
          </cell>
          <cell r="F404">
            <v>2049000</v>
          </cell>
          <cell r="G404">
            <v>10</v>
          </cell>
          <cell r="H404">
            <v>0.2</v>
          </cell>
        </row>
        <row r="405">
          <cell r="B405" t="str">
            <v>Téc nhựa ngang 1000L</v>
          </cell>
          <cell r="C405" t="str">
            <v>Téc nhựa ngang 1000L</v>
          </cell>
          <cell r="E405" t="str">
            <v>cái</v>
          </cell>
          <cell r="F405">
            <v>3928999.8000000003</v>
          </cell>
          <cell r="G405">
            <v>10</v>
          </cell>
          <cell r="H405">
            <v>0.2</v>
          </cell>
        </row>
        <row r="406">
          <cell r="B406" t="str">
            <v>Téc nhựa ngang 1500L</v>
          </cell>
          <cell r="C406" t="str">
            <v>Téc nhựa ngang 1500L</v>
          </cell>
          <cell r="E406" t="str">
            <v>cái</v>
          </cell>
          <cell r="F406">
            <v>6149000.0000000009</v>
          </cell>
          <cell r="G406">
            <v>10</v>
          </cell>
          <cell r="H406">
            <v>0.2</v>
          </cell>
        </row>
        <row r="407">
          <cell r="B407" t="str">
            <v>Téc nhựa ngang 2000L</v>
          </cell>
          <cell r="C407" t="str">
            <v>Téc nhựa ngang 2000L</v>
          </cell>
          <cell r="E407" t="str">
            <v>cái</v>
          </cell>
          <cell r="F407">
            <v>7959000</v>
          </cell>
          <cell r="G407">
            <v>10</v>
          </cell>
          <cell r="H407">
            <v>0.2</v>
          </cell>
        </row>
        <row r="408">
          <cell r="B408" t="str">
            <v>Téc Inox đứng 500L</v>
          </cell>
          <cell r="C408" t="str">
            <v>Téc inox đứng 500L</v>
          </cell>
          <cell r="E408" t="str">
            <v>cái</v>
          </cell>
          <cell r="F408">
            <v>2789000</v>
          </cell>
          <cell r="G408">
            <v>10</v>
          </cell>
          <cell r="H408">
            <v>0.2</v>
          </cell>
        </row>
        <row r="409">
          <cell r="B409" t="str">
            <v>Téc Inox đứng 1000L</v>
          </cell>
          <cell r="C409" t="str">
            <v>Téc inox đứng 1000L</v>
          </cell>
          <cell r="E409" t="str">
            <v>cái</v>
          </cell>
          <cell r="F409">
            <v>4619000</v>
          </cell>
          <cell r="G409">
            <v>10</v>
          </cell>
          <cell r="H409">
            <v>0.2</v>
          </cell>
        </row>
        <row r="410">
          <cell r="B410" t="str">
            <v>Téc Inox đứng 1500L</v>
          </cell>
          <cell r="C410" t="str">
            <v>Téc inox đứng 1500L</v>
          </cell>
          <cell r="E410" t="str">
            <v>cái</v>
          </cell>
          <cell r="F410">
            <v>7079000</v>
          </cell>
          <cell r="G410">
            <v>10</v>
          </cell>
          <cell r="H410">
            <v>0.2</v>
          </cell>
        </row>
        <row r="411">
          <cell r="B411" t="str">
            <v>Téc Inox đứng 2000L</v>
          </cell>
          <cell r="C411" t="str">
            <v>Téc inox đứng 2000L</v>
          </cell>
          <cell r="E411" t="str">
            <v>cái</v>
          </cell>
          <cell r="F411">
            <v>9239000</v>
          </cell>
          <cell r="G411">
            <v>10</v>
          </cell>
          <cell r="H411">
            <v>0.2</v>
          </cell>
        </row>
        <row r="412">
          <cell r="B412" t="str">
            <v>Téc Inox ngang 500L</v>
          </cell>
          <cell r="C412" t="str">
            <v>Téc inox ngang 500L</v>
          </cell>
          <cell r="E412" t="str">
            <v>cái</v>
          </cell>
          <cell r="F412">
            <v>2939000</v>
          </cell>
          <cell r="G412">
            <v>10</v>
          </cell>
          <cell r="H412">
            <v>0.2</v>
          </cell>
        </row>
        <row r="413">
          <cell r="B413" t="str">
            <v>Téc Inox ngang 1000L</v>
          </cell>
          <cell r="C413" t="str">
            <v>Téc inox ngang 1000L</v>
          </cell>
          <cell r="E413" t="str">
            <v>cái</v>
          </cell>
          <cell r="F413">
            <v>4819000</v>
          </cell>
          <cell r="G413">
            <v>10</v>
          </cell>
          <cell r="H413">
            <v>0.2</v>
          </cell>
        </row>
        <row r="414">
          <cell r="B414" t="str">
            <v>Téc Inox ngang 1500L</v>
          </cell>
          <cell r="C414" t="str">
            <v>Téc inox ngang 1500L</v>
          </cell>
          <cell r="E414" t="str">
            <v>cái</v>
          </cell>
          <cell r="F414">
            <v>7329000</v>
          </cell>
          <cell r="G414">
            <v>10</v>
          </cell>
          <cell r="H414">
            <v>0.2</v>
          </cell>
        </row>
        <row r="415">
          <cell r="B415" t="str">
            <v>Téc Inox ngang 2000L</v>
          </cell>
          <cell r="C415" t="str">
            <v>Téc inox ngang 2000L</v>
          </cell>
          <cell r="E415" t="str">
            <v>cái</v>
          </cell>
          <cell r="F415">
            <v>9589000</v>
          </cell>
          <cell r="G415">
            <v>10</v>
          </cell>
          <cell r="H415">
            <v>0.2</v>
          </cell>
        </row>
        <row r="416">
          <cell r="B416" t="str">
            <v>MÁI</v>
          </cell>
        </row>
        <row r="417">
          <cell r="B417" t="str">
            <v>Mái ngói 01</v>
          </cell>
          <cell r="C417" t="str">
            <v>Mái ngói đỏ Hạ Long (22v/m2)</v>
          </cell>
          <cell r="E417" t="str">
            <v>m2</v>
          </cell>
          <cell r="F417">
            <v>275396.00000000006</v>
          </cell>
          <cell r="G417">
            <v>25</v>
          </cell>
          <cell r="H417">
            <v>0.8</v>
          </cell>
        </row>
        <row r="418">
          <cell r="B418" t="str">
            <v>Mái ngói 02</v>
          </cell>
          <cell r="C418" t="str">
            <v>Mái ngói mũi hài Hạ Long (85v/m2)</v>
          </cell>
          <cell r="E418" t="str">
            <v>m2</v>
          </cell>
          <cell r="F418">
            <v>319770</v>
          </cell>
          <cell r="G418">
            <v>25</v>
          </cell>
          <cell r="H418">
            <v>0.8</v>
          </cell>
        </row>
        <row r="419">
          <cell r="C419" t="str">
            <v>Cột tuýp</v>
          </cell>
        </row>
        <row r="420">
          <cell r="B420" t="str">
            <v>Tuyp21</v>
          </cell>
          <cell r="C420" t="str">
            <v>Cột tuýp ɸ21 dày 1.8mm</v>
          </cell>
          <cell r="E420" t="str">
            <v>kg</v>
          </cell>
          <cell r="F420">
            <v>37180</v>
          </cell>
          <cell r="H420">
            <v>0.2</v>
          </cell>
          <cell r="I420">
            <v>0.9073</v>
          </cell>
        </row>
        <row r="421">
          <cell r="B421" t="str">
            <v>Tuyp27</v>
          </cell>
          <cell r="C421" t="str">
            <v>Cột tuýp ɸ27 dày 1.8mm</v>
          </cell>
          <cell r="E421" t="str">
            <v>kg</v>
          </cell>
          <cell r="F421">
            <v>37180</v>
          </cell>
          <cell r="H421">
            <v>0.2</v>
          </cell>
          <cell r="I421">
            <v>1.173</v>
          </cell>
        </row>
        <row r="422">
          <cell r="B422" t="str">
            <v>Tuyp34</v>
          </cell>
          <cell r="C422" t="str">
            <v>Cột tuýp ɸ34 dày 1.8mm</v>
          </cell>
          <cell r="E422" t="str">
            <v>kg</v>
          </cell>
          <cell r="F422">
            <v>37180</v>
          </cell>
          <cell r="H422">
            <v>0.2</v>
          </cell>
          <cell r="I422">
            <v>1.484</v>
          </cell>
        </row>
        <row r="423">
          <cell r="B423" t="str">
            <v>Tuyp42</v>
          </cell>
          <cell r="C423" t="str">
            <v>Cột tuýp ɸ42 dày 1.8mm</v>
          </cell>
          <cell r="E423" t="str">
            <v>kg</v>
          </cell>
          <cell r="F423">
            <v>37180</v>
          </cell>
          <cell r="H423">
            <v>0.2</v>
          </cell>
          <cell r="I423">
            <v>1.839</v>
          </cell>
        </row>
        <row r="424">
          <cell r="B424" t="str">
            <v>Tuyp48</v>
          </cell>
          <cell r="C424" t="str">
            <v>Cột tuýp ɸ48 dày 1.8mm</v>
          </cell>
          <cell r="E424" t="str">
            <v>kg</v>
          </cell>
          <cell r="F424">
            <v>36960</v>
          </cell>
          <cell r="H424">
            <v>0.2</v>
          </cell>
          <cell r="I424">
            <v>2.15</v>
          </cell>
        </row>
        <row r="425">
          <cell r="B425" t="str">
            <v>Tuyp60</v>
          </cell>
          <cell r="C425" t="str">
            <v>Cột tuýp ɸ60 dày 1.8mm</v>
          </cell>
          <cell r="E425" t="str">
            <v>kg</v>
          </cell>
          <cell r="F425">
            <v>36960</v>
          </cell>
          <cell r="H425">
            <v>0.2</v>
          </cell>
          <cell r="I425">
            <v>2.6379999999999999</v>
          </cell>
        </row>
        <row r="426">
          <cell r="B426" t="str">
            <v>Tuyp76</v>
          </cell>
          <cell r="C426" t="str">
            <v>Cột tuýp ɸ76 dày1.8mm</v>
          </cell>
          <cell r="E426" t="str">
            <v>kg</v>
          </cell>
          <cell r="F426">
            <v>36960</v>
          </cell>
          <cell r="H426">
            <v>0.2</v>
          </cell>
          <cell r="I426">
            <v>3.8085</v>
          </cell>
        </row>
        <row r="427">
          <cell r="B427" t="str">
            <v>Tuyp90</v>
          </cell>
          <cell r="C427" t="str">
            <v>Cột tuýp ɸ90 dày 1.8mm</v>
          </cell>
          <cell r="E427" t="str">
            <v>kg</v>
          </cell>
          <cell r="F427">
            <v>36960</v>
          </cell>
          <cell r="H427">
            <v>0.2</v>
          </cell>
          <cell r="I427">
            <v>4.4664999999999999</v>
          </cell>
        </row>
        <row r="428">
          <cell r="B428" t="str">
            <v>Sắt hộp</v>
          </cell>
          <cell r="E428" t="str">
            <v>kg</v>
          </cell>
          <cell r="F428">
            <v>29590.000000000004</v>
          </cell>
          <cell r="H428">
            <v>0.2</v>
          </cell>
        </row>
        <row r="429">
          <cell r="C429" t="str">
            <v>Ống nước</v>
          </cell>
        </row>
        <row r="430">
          <cell r="B430" t="str">
            <v>PVCD27</v>
          </cell>
          <cell r="C430" t="str">
            <v>Ống thoát nước PVC D27 Pn10</v>
          </cell>
          <cell r="E430" t="str">
            <v>m</v>
          </cell>
          <cell r="F430">
            <v>13999.7</v>
          </cell>
          <cell r="H430">
            <v>0.8</v>
          </cell>
        </row>
        <row r="431">
          <cell r="B431" t="str">
            <v>PVCD34</v>
          </cell>
          <cell r="C431" t="str">
            <v>Ống thoát nước PVC D34 Pn10</v>
          </cell>
          <cell r="E431" t="str">
            <v>m</v>
          </cell>
          <cell r="F431">
            <v>21499.5</v>
          </cell>
          <cell r="H431">
            <v>0.8</v>
          </cell>
        </row>
        <row r="432">
          <cell r="B432" t="str">
            <v>PVCD48</v>
          </cell>
          <cell r="C432" t="str">
            <v>Ống thoát nước PVC D48 Pn10</v>
          </cell>
          <cell r="E432" t="str">
            <v>m</v>
          </cell>
          <cell r="F432">
            <v>40199.5</v>
          </cell>
          <cell r="H432">
            <v>0.8</v>
          </cell>
        </row>
        <row r="433">
          <cell r="B433" t="str">
            <v>PVCD110</v>
          </cell>
          <cell r="C433" t="str">
            <v>Ống thoát nước PVC D110 Pn10</v>
          </cell>
          <cell r="E433" t="str">
            <v>m</v>
          </cell>
          <cell r="F433">
            <v>182099.50000000003</v>
          </cell>
          <cell r="H433">
            <v>0.8</v>
          </cell>
        </row>
        <row r="434">
          <cell r="C434" t="str">
            <v>Dây điện</v>
          </cell>
        </row>
        <row r="435">
          <cell r="B435" t="str">
            <v>DĐ 2x2,5mm</v>
          </cell>
          <cell r="C435" t="str">
            <v>Dây điện 2x2,5mm</v>
          </cell>
          <cell r="E435" t="str">
            <v>m</v>
          </cell>
          <cell r="F435">
            <v>26500</v>
          </cell>
          <cell r="H435">
            <v>0.2</v>
          </cell>
        </row>
        <row r="436">
          <cell r="B436" t="str">
            <v>DĐ 2x4mm</v>
          </cell>
          <cell r="C436" t="str">
            <v>Dây điện 2x4mm</v>
          </cell>
          <cell r="E436" t="str">
            <v>m</v>
          </cell>
          <cell r="F436">
            <v>43200</v>
          </cell>
          <cell r="H436">
            <v>0.2</v>
          </cell>
        </row>
        <row r="437">
          <cell r="B437" t="str">
            <v>DĐ 2x6mm</v>
          </cell>
          <cell r="C437" t="str">
            <v>Dây điện 2x6mm</v>
          </cell>
          <cell r="E437" t="str">
            <v>m</v>
          </cell>
          <cell r="F437">
            <v>58700</v>
          </cell>
          <cell r="H437">
            <v>0.2</v>
          </cell>
        </row>
        <row r="438">
          <cell r="B438" t="str">
            <v>DĐ 2x10mm</v>
          </cell>
          <cell r="C438" t="str">
            <v>Dây điện 2x10mm</v>
          </cell>
          <cell r="E438" t="str">
            <v>m</v>
          </cell>
          <cell r="F438">
            <v>89200</v>
          </cell>
          <cell r="H438">
            <v>0.2</v>
          </cell>
        </row>
        <row r="439">
          <cell r="B439" t="str">
            <v>DĐ 2x35mm</v>
          </cell>
          <cell r="C439" t="str">
            <v>Dây điện 2x35mm</v>
          </cell>
          <cell r="E439" t="str">
            <v>m</v>
          </cell>
          <cell r="F439">
            <v>312800</v>
          </cell>
          <cell r="H439">
            <v>0.2</v>
          </cell>
        </row>
        <row r="440">
          <cell r="B440" t="str">
            <v>DĐ 2x50mm</v>
          </cell>
          <cell r="C440" t="str">
            <v>Dây điện 2x50mm</v>
          </cell>
          <cell r="E440" t="str">
            <v>m</v>
          </cell>
          <cell r="F440">
            <v>423200</v>
          </cell>
          <cell r="H440">
            <v>0.2</v>
          </cell>
        </row>
        <row r="441">
          <cell r="B441" t="str">
            <v>DĐ an90</v>
          </cell>
          <cell r="C441" t="str">
            <v>Dây điện AN90</v>
          </cell>
          <cell r="E441" t="str">
            <v>m</v>
          </cell>
          <cell r="F441">
            <v>81010</v>
          </cell>
          <cell r="H441">
            <v>0.2</v>
          </cell>
        </row>
        <row r="442">
          <cell r="B442" t="str">
            <v>DĐ ac90</v>
          </cell>
          <cell r="C442" t="str">
            <v>Dây điện AC90</v>
          </cell>
          <cell r="E442" t="str">
            <v>m</v>
          </cell>
          <cell r="F442">
            <v>81010</v>
          </cell>
          <cell r="H442">
            <v>0.2</v>
          </cell>
        </row>
        <row r="443">
          <cell r="C443" t="str">
            <v>Khác</v>
          </cell>
        </row>
        <row r="444">
          <cell r="B444" t="str">
            <v>Gác xép WC mái BTCT</v>
          </cell>
          <cell r="C444" t="str">
            <v>Gác xép nhà vệ sinh mái BTCT</v>
          </cell>
          <cell r="E444" t="str">
            <v>m2</v>
          </cell>
          <cell r="F444">
            <v>1757250.0000000002</v>
          </cell>
          <cell r="G444">
            <v>25</v>
          </cell>
          <cell r="H444">
            <v>0.8</v>
          </cell>
        </row>
        <row r="445">
          <cell r="B445" t="str">
            <v>Tôn quây</v>
          </cell>
          <cell r="C445" t="str">
            <v>Tôn quây EK106 (6 sóng) dày 0,4mm</v>
          </cell>
          <cell r="E445" t="str">
            <v>m2</v>
          </cell>
          <cell r="F445">
            <v>135999.6</v>
          </cell>
          <cell r="H445">
            <v>0.8</v>
          </cell>
        </row>
        <row r="446">
          <cell r="B446" t="str">
            <v>Dây thép gai</v>
          </cell>
          <cell r="C446" t="str">
            <v>Dây thép gai</v>
          </cell>
          <cell r="E446" t="str">
            <v>kg</v>
          </cell>
          <cell r="F446">
            <v>15972.000000000002</v>
          </cell>
          <cell r="G446">
            <v>10</v>
          </cell>
          <cell r="H446">
            <v>0.8</v>
          </cell>
        </row>
        <row r="447">
          <cell r="B447" t="str">
            <v>CỐNG</v>
          </cell>
          <cell r="C447" t="str">
            <v>Cống tròn rung ép</v>
          </cell>
        </row>
        <row r="448">
          <cell r="B448" t="str">
            <v>Cống D300</v>
          </cell>
          <cell r="C448" t="str">
            <v>Cống D300 M300</v>
          </cell>
          <cell r="E448" t="str">
            <v>m</v>
          </cell>
          <cell r="F448">
            <v>311300</v>
          </cell>
          <cell r="H448">
            <v>0.8</v>
          </cell>
        </row>
        <row r="449">
          <cell r="B449" t="str">
            <v>Cống D400</v>
          </cell>
          <cell r="C449" t="str">
            <v>Cống D400 M300</v>
          </cell>
          <cell r="E449" t="str">
            <v>m</v>
          </cell>
          <cell r="F449">
            <v>344300</v>
          </cell>
          <cell r="H449">
            <v>0.8</v>
          </cell>
        </row>
        <row r="450">
          <cell r="B450" t="str">
            <v>Cống D500</v>
          </cell>
          <cell r="C450" t="str">
            <v>Cống D500 M300</v>
          </cell>
          <cell r="E450" t="str">
            <v>m</v>
          </cell>
          <cell r="F450">
            <v>513700.00000000006</v>
          </cell>
          <cell r="H450">
            <v>0.8</v>
          </cell>
        </row>
        <row r="451">
          <cell r="B451" t="str">
            <v>Cống D600</v>
          </cell>
          <cell r="C451" t="str">
            <v>Cống D600 M300</v>
          </cell>
          <cell r="E451" t="str">
            <v>m</v>
          </cell>
          <cell r="F451">
            <v>586300</v>
          </cell>
          <cell r="H451">
            <v>0.8</v>
          </cell>
        </row>
        <row r="452">
          <cell r="B452" t="str">
            <v>Cống D800</v>
          </cell>
          <cell r="C452" t="str">
            <v>Cống D800 M300</v>
          </cell>
          <cell r="E452" t="str">
            <v>m</v>
          </cell>
          <cell r="F452">
            <v>1075800</v>
          </cell>
          <cell r="H452">
            <v>0.8</v>
          </cell>
        </row>
        <row r="453">
          <cell r="B453" t="str">
            <v>Cống D1000</v>
          </cell>
          <cell r="C453" t="str">
            <v>Cống D1000 M300</v>
          </cell>
          <cell r="E453" t="str">
            <v>m</v>
          </cell>
          <cell r="F453">
            <v>1461900.0000000002</v>
          </cell>
          <cell r="H453">
            <v>0.8</v>
          </cell>
        </row>
        <row r="454">
          <cell r="B454" t="str">
            <v>Cống D1250</v>
          </cell>
          <cell r="C454" t="str">
            <v>Cống D1250 M300</v>
          </cell>
          <cell r="E454" t="str">
            <v>m</v>
          </cell>
          <cell r="F454">
            <v>2281400</v>
          </cell>
          <cell r="H454">
            <v>0.8</v>
          </cell>
        </row>
      </sheetData>
      <sheetData sheetId="2" refreshError="1">
        <row r="4">
          <cell r="C4" t="str">
            <v>Ổi Đài Loan</v>
          </cell>
          <cell r="E4" t="str">
            <v>10.000/1000=10m/ cây</v>
          </cell>
        </row>
        <row r="5">
          <cell r="B5" t="str">
            <v>Ổi01</v>
          </cell>
          <cell r="C5" t="str">
            <v>Ổi Đài Loan</v>
          </cell>
          <cell r="D5" t="str">
            <v>cây giống</v>
          </cell>
          <cell r="F5" t="str">
            <v>m2</v>
          </cell>
          <cell r="G5">
            <v>70000</v>
          </cell>
          <cell r="H5">
            <v>1</v>
          </cell>
          <cell r="I5">
            <v>70000</v>
          </cell>
          <cell r="J5" t="str">
            <v>ĐG 16,01,2025</v>
          </cell>
        </row>
        <row r="6">
          <cell r="B6" t="str">
            <v>Ổi27</v>
          </cell>
          <cell r="C6" t="str">
            <v>Ổi Đài Loan</v>
          </cell>
          <cell r="D6" t="str">
            <v>2cm ≤ đk gốc &lt; 7cm</v>
          </cell>
          <cell r="E6">
            <v>10</v>
          </cell>
          <cell r="F6" t="str">
            <v>cây</v>
          </cell>
          <cell r="G6">
            <v>200000</v>
          </cell>
          <cell r="H6">
            <v>1</v>
          </cell>
          <cell r="I6">
            <v>20000</v>
          </cell>
          <cell r="J6" t="str">
            <v>ĐG 16,01,2025</v>
          </cell>
        </row>
        <row r="7">
          <cell r="B7" t="str">
            <v>Ổi712</v>
          </cell>
          <cell r="C7" t="str">
            <v>Ổi Đài Loan</v>
          </cell>
          <cell r="D7" t="str">
            <v>7cm ≤ đk gốc &lt; 12cm</v>
          </cell>
          <cell r="E7">
            <v>10</v>
          </cell>
          <cell r="F7" t="str">
            <v>cây</v>
          </cell>
          <cell r="G7">
            <v>500000</v>
          </cell>
          <cell r="H7">
            <v>1</v>
          </cell>
          <cell r="I7">
            <v>50000</v>
          </cell>
          <cell r="J7" t="str">
            <v>ĐG 16,01,2025</v>
          </cell>
        </row>
        <row r="8">
          <cell r="B8" t="str">
            <v>Ổi1220</v>
          </cell>
          <cell r="C8" t="str">
            <v>Ổi Đài Loan</v>
          </cell>
          <cell r="D8" t="str">
            <v>12cm ≤ đk gốc &lt; 20cm</v>
          </cell>
          <cell r="E8">
            <v>10</v>
          </cell>
          <cell r="F8" t="str">
            <v>cây</v>
          </cell>
          <cell r="G8">
            <v>600000</v>
          </cell>
          <cell r="H8">
            <v>1</v>
          </cell>
          <cell r="I8">
            <v>60000</v>
          </cell>
          <cell r="J8" t="str">
            <v>ĐG 16,01,2025</v>
          </cell>
        </row>
        <row r="9">
          <cell r="B9" t="str">
            <v>Ổi2030</v>
          </cell>
          <cell r="C9" t="str">
            <v>Ổi Đài Loan</v>
          </cell>
          <cell r="D9" t="str">
            <v>20cm ≤ đk gốc &lt; 30cm</v>
          </cell>
          <cell r="E9">
            <v>10</v>
          </cell>
          <cell r="F9" t="str">
            <v>cây</v>
          </cell>
          <cell r="G9">
            <v>800000</v>
          </cell>
          <cell r="H9">
            <v>1</v>
          </cell>
          <cell r="I9">
            <v>80000</v>
          </cell>
          <cell r="J9" t="str">
            <v>ĐG 16,01,2025</v>
          </cell>
        </row>
        <row r="10">
          <cell r="B10" t="str">
            <v>Ổi30+</v>
          </cell>
          <cell r="C10" t="str">
            <v>Ổi Đài Loan</v>
          </cell>
          <cell r="D10" t="str">
            <v>đk gốc từ 30cm trở lên</v>
          </cell>
          <cell r="E10">
            <v>10</v>
          </cell>
          <cell r="F10" t="str">
            <v>cây</v>
          </cell>
          <cell r="G10">
            <v>1000000</v>
          </cell>
          <cell r="H10">
            <v>1</v>
          </cell>
          <cell r="I10">
            <v>100000</v>
          </cell>
          <cell r="J10" t="str">
            <v>ĐG 16,01,2025</v>
          </cell>
        </row>
        <row r="11">
          <cell r="B11" t="str">
            <v>Ổi01vmd</v>
          </cell>
          <cell r="C11" t="str">
            <v>Ổi Đài Loan vượt mật độ</v>
          </cell>
          <cell r="D11" t="str">
            <v>cây giống</v>
          </cell>
          <cell r="F11" t="str">
            <v>m2</v>
          </cell>
          <cell r="G11">
            <v>70000</v>
          </cell>
          <cell r="H11">
            <v>0.5</v>
          </cell>
          <cell r="I11">
            <v>70000</v>
          </cell>
          <cell r="J11" t="str">
            <v>ĐG 16,01,2025</v>
          </cell>
        </row>
        <row r="12">
          <cell r="B12" t="str">
            <v>Ổi27vmd</v>
          </cell>
          <cell r="C12" t="str">
            <v>Ổi Đài Loan vượt mật độ</v>
          </cell>
          <cell r="D12" t="str">
            <v>2cm ≤ đk gốc &lt; 7cm</v>
          </cell>
          <cell r="E12">
            <v>10</v>
          </cell>
          <cell r="F12" t="str">
            <v>cây</v>
          </cell>
          <cell r="G12">
            <v>200000</v>
          </cell>
          <cell r="H12">
            <v>0.5</v>
          </cell>
          <cell r="I12">
            <v>20000</v>
          </cell>
          <cell r="J12" t="str">
            <v>ĐG 16,01,2025</v>
          </cell>
        </row>
        <row r="13">
          <cell r="B13" t="str">
            <v>Ổi712vmd</v>
          </cell>
          <cell r="C13" t="str">
            <v>Ổi Đài Loan vượt mật độ</v>
          </cell>
          <cell r="D13" t="str">
            <v>7cm ≤ đk gốc &lt; 12cm</v>
          </cell>
          <cell r="E13">
            <v>10</v>
          </cell>
          <cell r="F13" t="str">
            <v>cây</v>
          </cell>
          <cell r="G13">
            <v>500000</v>
          </cell>
          <cell r="H13">
            <v>0.5</v>
          </cell>
          <cell r="I13">
            <v>50000</v>
          </cell>
          <cell r="J13" t="str">
            <v>ĐG 16,01,2025</v>
          </cell>
        </row>
        <row r="14">
          <cell r="B14" t="str">
            <v>Ổi1220vmd</v>
          </cell>
          <cell r="C14" t="str">
            <v>Ổi Đài Loan vượt mật độ</v>
          </cell>
          <cell r="D14" t="str">
            <v>12cm ≤ đk gốc &lt; 20cm</v>
          </cell>
          <cell r="E14">
            <v>10</v>
          </cell>
          <cell r="F14" t="str">
            <v>cây</v>
          </cell>
          <cell r="G14">
            <v>600000</v>
          </cell>
          <cell r="H14">
            <v>0.5</v>
          </cell>
          <cell r="I14">
            <v>60000</v>
          </cell>
          <cell r="J14" t="str">
            <v>ĐG 16,01,2025</v>
          </cell>
        </row>
        <row r="15">
          <cell r="B15" t="str">
            <v>Ổi2030vmd</v>
          </cell>
          <cell r="C15" t="str">
            <v>Ổi Đài Loan vượt mật độ</v>
          </cell>
          <cell r="D15" t="str">
            <v>20cm ≤ đk gốc &lt; 30cm</v>
          </cell>
          <cell r="E15">
            <v>10</v>
          </cell>
          <cell r="F15" t="str">
            <v>cây</v>
          </cell>
          <cell r="G15">
            <v>800000</v>
          </cell>
          <cell r="H15">
            <v>0.5</v>
          </cell>
          <cell r="I15">
            <v>80000</v>
          </cell>
          <cell r="J15" t="str">
            <v>ĐG 16,01,2025</v>
          </cell>
        </row>
        <row r="16">
          <cell r="B16" t="str">
            <v>Ổi30+vmd</v>
          </cell>
          <cell r="C16" t="str">
            <v>Ổi Đài Loan vượt mật độ</v>
          </cell>
          <cell r="D16" t="str">
            <v>đk gốc từ 30cm trở lên</v>
          </cell>
          <cell r="E16">
            <v>10</v>
          </cell>
          <cell r="F16" t="str">
            <v>cây</v>
          </cell>
          <cell r="G16">
            <v>1000000</v>
          </cell>
          <cell r="H16">
            <v>0.5</v>
          </cell>
          <cell r="I16">
            <v>100000</v>
          </cell>
          <cell r="J16" t="str">
            <v>ĐG 16,01,2025</v>
          </cell>
        </row>
        <row r="17">
          <cell r="B17" t="str">
            <v>Ổi27#</v>
          </cell>
          <cell r="C17" t="str">
            <v>Ổi Đài Loan trồng trên đất GTTL</v>
          </cell>
          <cell r="D17" t="str">
            <v>2cm ≤ đk gốc &lt; 7cm</v>
          </cell>
          <cell r="E17">
            <v>10</v>
          </cell>
          <cell r="F17" t="str">
            <v>cây</v>
          </cell>
          <cell r="G17">
            <v>200000</v>
          </cell>
          <cell r="H17">
            <v>0.3</v>
          </cell>
          <cell r="I17">
            <v>20000</v>
          </cell>
          <cell r="J17" t="str">
            <v>ĐG 16,01,2025</v>
          </cell>
        </row>
        <row r="18">
          <cell r="B18" t="str">
            <v>Ổi712#</v>
          </cell>
          <cell r="C18" t="str">
            <v>Ổi Đài Loan trồng trên đất GTTL</v>
          </cell>
          <cell r="D18" t="str">
            <v>7cm ≤ đk gốc &lt; 12cm</v>
          </cell>
          <cell r="E18">
            <v>10</v>
          </cell>
          <cell r="F18" t="str">
            <v>cây</v>
          </cell>
          <cell r="G18">
            <v>500000</v>
          </cell>
          <cell r="H18">
            <v>0.3</v>
          </cell>
          <cell r="I18">
            <v>50000</v>
          </cell>
          <cell r="J18" t="str">
            <v>ĐG 16,01,2025</v>
          </cell>
        </row>
        <row r="19">
          <cell r="B19" t="str">
            <v>Ổi30+#</v>
          </cell>
          <cell r="C19" t="str">
            <v>Ổi Đài Loan trồng trên đất GTTL</v>
          </cell>
          <cell r="D19" t="str">
            <v>đk gốc từ 30cm trở lên</v>
          </cell>
          <cell r="E19">
            <v>10</v>
          </cell>
          <cell r="F19" t="str">
            <v>cây</v>
          </cell>
          <cell r="G19">
            <v>1000000</v>
          </cell>
          <cell r="H19">
            <v>0.3</v>
          </cell>
          <cell r="I19">
            <v>100000</v>
          </cell>
          <cell r="J19" t="str">
            <v>ĐG 16,01,2025</v>
          </cell>
        </row>
        <row r="20">
          <cell r="C20" t="str">
            <v>Bưởi diễn</v>
          </cell>
          <cell r="E20" t="str">
            <v>10.000/500=20m/cây</v>
          </cell>
        </row>
        <row r="21">
          <cell r="B21" t="str">
            <v>Bưởi01</v>
          </cell>
          <cell r="C21" t="str">
            <v>Bưởi diễn</v>
          </cell>
          <cell r="D21" t="str">
            <v>cây giống</v>
          </cell>
          <cell r="F21" t="str">
            <v>m2</v>
          </cell>
          <cell r="G21">
            <v>110000</v>
          </cell>
          <cell r="H21">
            <v>1</v>
          </cell>
          <cell r="I21">
            <v>110000</v>
          </cell>
          <cell r="J21" t="str">
            <v>ĐG 30.12.2022</v>
          </cell>
        </row>
        <row r="22">
          <cell r="B22" t="str">
            <v>Bưởi27</v>
          </cell>
          <cell r="C22" t="str">
            <v>Bưởi diễn</v>
          </cell>
          <cell r="D22" t="str">
            <v>2cm ≤ đk gốc &lt; 7cm</v>
          </cell>
          <cell r="E22">
            <v>20</v>
          </cell>
          <cell r="F22" t="str">
            <v>cây</v>
          </cell>
          <cell r="G22">
            <v>330000</v>
          </cell>
          <cell r="H22">
            <v>1</v>
          </cell>
          <cell r="I22">
            <v>16500</v>
          </cell>
          <cell r="J22" t="str">
            <v>ĐG 30.12.2022</v>
          </cell>
        </row>
        <row r="23">
          <cell r="B23" t="str">
            <v>Bưởi712</v>
          </cell>
          <cell r="C23" t="str">
            <v>Bưởi diễn</v>
          </cell>
          <cell r="D23" t="str">
            <v>7cm ≤ đk gốc &lt; 12cm</v>
          </cell>
          <cell r="E23">
            <v>20</v>
          </cell>
          <cell r="F23" t="str">
            <v>cây</v>
          </cell>
          <cell r="G23">
            <v>1380000</v>
          </cell>
          <cell r="H23">
            <v>1</v>
          </cell>
          <cell r="I23">
            <v>69000</v>
          </cell>
          <cell r="J23" t="str">
            <v>ĐG 30.12.2022</v>
          </cell>
        </row>
        <row r="24">
          <cell r="B24" t="str">
            <v>Bưởi1220</v>
          </cell>
          <cell r="C24" t="str">
            <v>Bưởi diễn</v>
          </cell>
          <cell r="D24" t="str">
            <v>12cm ≤ đk gốc &lt; 20cm</v>
          </cell>
          <cell r="E24">
            <v>20</v>
          </cell>
          <cell r="F24" t="str">
            <v>cây</v>
          </cell>
          <cell r="G24">
            <v>1920000</v>
          </cell>
          <cell r="H24">
            <v>1</v>
          </cell>
          <cell r="I24">
            <v>96000</v>
          </cell>
          <cell r="J24" t="str">
            <v>ĐG 30.12.2022</v>
          </cell>
        </row>
        <row r="25">
          <cell r="B25" t="str">
            <v>Bưởi20+</v>
          </cell>
          <cell r="C25" t="str">
            <v>Bưởi diễn</v>
          </cell>
          <cell r="D25" t="str">
            <v>đk gốc từ 20cm trở lên</v>
          </cell>
          <cell r="E25">
            <v>20</v>
          </cell>
          <cell r="F25" t="str">
            <v>cây</v>
          </cell>
          <cell r="G25">
            <v>2200000</v>
          </cell>
          <cell r="H25">
            <v>1</v>
          </cell>
          <cell r="I25">
            <v>110000</v>
          </cell>
          <cell r="J25" t="str">
            <v>ĐG 30.12.2022</v>
          </cell>
        </row>
        <row r="26">
          <cell r="B26" t="str">
            <v>Bưởi01#</v>
          </cell>
          <cell r="C26" t="str">
            <v>Bưởi diễn trồng trên đất GTTL</v>
          </cell>
          <cell r="D26" t="str">
            <v>cây giống</v>
          </cell>
          <cell r="E26">
            <v>20</v>
          </cell>
          <cell r="F26" t="str">
            <v>m2</v>
          </cell>
          <cell r="G26">
            <v>110000</v>
          </cell>
          <cell r="H26">
            <v>0.3</v>
          </cell>
          <cell r="J26" t="str">
            <v>ĐG 30.12.2022</v>
          </cell>
        </row>
        <row r="27">
          <cell r="B27" t="str">
            <v>Bưởi27#</v>
          </cell>
          <cell r="C27" t="str">
            <v>Bưởi diễn trồng trên đất GTTL</v>
          </cell>
          <cell r="D27" t="str">
            <v>2cm ≤ đk gốc &lt; 7cm</v>
          </cell>
          <cell r="E27">
            <v>20</v>
          </cell>
          <cell r="F27" t="str">
            <v>cây</v>
          </cell>
          <cell r="G27">
            <v>330000</v>
          </cell>
          <cell r="H27">
            <v>0.3</v>
          </cell>
          <cell r="J27" t="str">
            <v>ĐG 30.12.2022</v>
          </cell>
        </row>
        <row r="28">
          <cell r="B28" t="str">
            <v>Bưởi712#</v>
          </cell>
          <cell r="C28" t="str">
            <v>Bưởi diễn trồng trên đất GTTL</v>
          </cell>
          <cell r="D28" t="str">
            <v>7cm ≤ đk gốc &lt; 12cm</v>
          </cell>
          <cell r="E28">
            <v>20</v>
          </cell>
          <cell r="F28" t="str">
            <v>cây</v>
          </cell>
          <cell r="G28">
            <v>1380000</v>
          </cell>
          <cell r="H28">
            <v>0.3</v>
          </cell>
          <cell r="J28" t="str">
            <v>ĐG 30.12.2022</v>
          </cell>
        </row>
        <row r="29">
          <cell r="B29" t="str">
            <v>Bưởi1220#</v>
          </cell>
          <cell r="C29" t="str">
            <v>Bưởi diễn trồng trên đất GTTL</v>
          </cell>
          <cell r="D29" t="str">
            <v>12cm ≤ đk gốc &lt; 20cm</v>
          </cell>
          <cell r="E29">
            <v>20</v>
          </cell>
          <cell r="F29" t="str">
            <v>cây</v>
          </cell>
          <cell r="G29">
            <v>1920000</v>
          </cell>
          <cell r="H29">
            <v>0.3</v>
          </cell>
          <cell r="J29" t="str">
            <v>ĐG 30.12.2022</v>
          </cell>
        </row>
        <row r="30">
          <cell r="B30" t="str">
            <v>Bưởi20#</v>
          </cell>
          <cell r="C30" t="str">
            <v>Bưởi diễn trồng trên đất GTTL</v>
          </cell>
          <cell r="D30" t="str">
            <v>đk gốc từ 20cm trở lên</v>
          </cell>
          <cell r="E30">
            <v>20</v>
          </cell>
          <cell r="F30" t="str">
            <v>cây</v>
          </cell>
          <cell r="G30">
            <v>2200000</v>
          </cell>
          <cell r="H30">
            <v>0.3</v>
          </cell>
          <cell r="J30" t="str">
            <v>ĐG 30.12.2022</v>
          </cell>
        </row>
        <row r="31">
          <cell r="B31" t="str">
            <v>Bưởi01vmd</v>
          </cell>
          <cell r="C31" t="str">
            <v>Bưởi diễn vượt mật độ</v>
          </cell>
          <cell r="D31" t="str">
            <v>cây giống</v>
          </cell>
          <cell r="E31">
            <v>20</v>
          </cell>
          <cell r="F31" t="str">
            <v>m2</v>
          </cell>
          <cell r="G31">
            <v>110000</v>
          </cell>
          <cell r="H31">
            <v>0.5</v>
          </cell>
          <cell r="I31">
            <v>110000</v>
          </cell>
          <cell r="J31" t="str">
            <v>ĐG 30.12.2022</v>
          </cell>
        </row>
        <row r="32">
          <cell r="B32" t="str">
            <v>Bưởi27vmd</v>
          </cell>
          <cell r="C32" t="str">
            <v>Bưởi diễn vượt mật độ</v>
          </cell>
          <cell r="D32" t="str">
            <v>2cm ≤ đk gốc &lt; 7cm</v>
          </cell>
          <cell r="E32">
            <v>20</v>
          </cell>
          <cell r="F32" t="str">
            <v>cây</v>
          </cell>
          <cell r="G32">
            <v>330000</v>
          </cell>
          <cell r="H32">
            <v>0.5</v>
          </cell>
          <cell r="I32">
            <v>16500</v>
          </cell>
          <cell r="J32" t="str">
            <v>ĐG 30.12.2022</v>
          </cell>
        </row>
        <row r="33">
          <cell r="B33" t="str">
            <v>Bưởi712vmd</v>
          </cell>
          <cell r="C33" t="str">
            <v>Bưởi diễn vượt mật độ</v>
          </cell>
          <cell r="D33" t="str">
            <v>7cm ≤ đk gốc &lt; 12cm</v>
          </cell>
          <cell r="E33">
            <v>20</v>
          </cell>
          <cell r="F33" t="str">
            <v>cây</v>
          </cell>
          <cell r="G33">
            <v>1380000</v>
          </cell>
          <cell r="H33">
            <v>0.5</v>
          </cell>
          <cell r="I33">
            <v>69000</v>
          </cell>
          <cell r="J33" t="str">
            <v>ĐG 30.12.2022</v>
          </cell>
        </row>
        <row r="34">
          <cell r="B34" t="str">
            <v>Bưởi1220vmd</v>
          </cell>
          <cell r="C34" t="str">
            <v>Bưởi diễn vượt mật độ</v>
          </cell>
          <cell r="D34" t="str">
            <v>12cm ≤ đk gốc &lt; 20cm</v>
          </cell>
          <cell r="E34">
            <v>20</v>
          </cell>
          <cell r="F34" t="str">
            <v>cây</v>
          </cell>
          <cell r="G34">
            <v>1920000</v>
          </cell>
          <cell r="H34">
            <v>0.5</v>
          </cell>
          <cell r="I34">
            <v>96000</v>
          </cell>
          <cell r="J34" t="str">
            <v>ĐG 30.12.2022</v>
          </cell>
        </row>
        <row r="35">
          <cell r="B35" t="str">
            <v>Bưởi20+vmd</v>
          </cell>
          <cell r="C35" t="str">
            <v>Bưởi diễn vượt mật độ</v>
          </cell>
          <cell r="D35" t="str">
            <v>đk gốc từ 20cm trở lên</v>
          </cell>
          <cell r="E35">
            <v>20</v>
          </cell>
          <cell r="F35" t="str">
            <v>cây</v>
          </cell>
          <cell r="G35">
            <v>2200000</v>
          </cell>
          <cell r="H35">
            <v>0.5</v>
          </cell>
          <cell r="I35">
            <v>110000</v>
          </cell>
          <cell r="J35" t="str">
            <v>ĐG 30.12.2022</v>
          </cell>
        </row>
        <row r="36">
          <cell r="B36" t="str">
            <v>Bưởi27itl</v>
          </cell>
          <cell r="C36" t="str">
            <v>Bưởi diễn (ít tán, ít lá)</v>
          </cell>
          <cell r="D36" t="str">
            <v>2cm ≤ đk gốc &lt; 7cm</v>
          </cell>
          <cell r="E36">
            <v>20</v>
          </cell>
          <cell r="F36" t="str">
            <v>cây</v>
          </cell>
          <cell r="G36">
            <v>330000</v>
          </cell>
          <cell r="H36">
            <v>0.3</v>
          </cell>
          <cell r="I36">
            <v>4950</v>
          </cell>
          <cell r="J36" t="str">
            <v>ĐG 30.12.2022</v>
          </cell>
        </row>
        <row r="37">
          <cell r="B37" t="str">
            <v>Bưởi712itl</v>
          </cell>
          <cell r="C37" t="str">
            <v>Bưởi diễn (ít tán, ít lá)</v>
          </cell>
          <cell r="D37" t="str">
            <v>7cm ≤ đk gốc &lt; 12cm</v>
          </cell>
          <cell r="E37">
            <v>20</v>
          </cell>
          <cell r="F37" t="str">
            <v>cây</v>
          </cell>
          <cell r="G37">
            <v>1380000</v>
          </cell>
          <cell r="H37">
            <v>0.3</v>
          </cell>
          <cell r="I37">
            <v>20700</v>
          </cell>
          <cell r="J37" t="str">
            <v>ĐG 30.12.2022</v>
          </cell>
        </row>
        <row r="38">
          <cell r="B38" t="str">
            <v>Bưởi1220itl</v>
          </cell>
          <cell r="C38" t="str">
            <v>Bưởi diễn (ít tán, ít lá)</v>
          </cell>
          <cell r="D38" t="str">
            <v>12cm ≤ đk gốc &lt; 20cm</v>
          </cell>
          <cell r="E38">
            <v>20</v>
          </cell>
          <cell r="F38" t="str">
            <v>cây</v>
          </cell>
          <cell r="G38">
            <v>1920000</v>
          </cell>
          <cell r="H38">
            <v>0.3</v>
          </cell>
          <cell r="I38">
            <v>28800</v>
          </cell>
          <cell r="J38" t="str">
            <v>ĐG 30.12.2022</v>
          </cell>
        </row>
        <row r="39">
          <cell r="B39" t="str">
            <v>Bưởi20+itl</v>
          </cell>
          <cell r="C39" t="str">
            <v>Bưởi diễn (ít tán, ít lá)</v>
          </cell>
          <cell r="D39" t="str">
            <v>đk gốc từ 20cm trở lên</v>
          </cell>
          <cell r="E39">
            <v>20</v>
          </cell>
          <cell r="F39" t="str">
            <v>cây</v>
          </cell>
          <cell r="G39">
            <v>2200000</v>
          </cell>
          <cell r="H39">
            <v>0.3</v>
          </cell>
          <cell r="I39">
            <v>33000</v>
          </cell>
          <cell r="J39" t="str">
            <v>ĐG 30.12.2022</v>
          </cell>
        </row>
        <row r="40">
          <cell r="B40" t="str">
            <v>Bưởi27itl.vmd</v>
          </cell>
          <cell r="C40" t="str">
            <v>Bưởi diễn (ít tán, ít lá) vượt mật độ</v>
          </cell>
          <cell r="D40" t="str">
            <v>2cm ≤ đk gốc &lt; 7cm</v>
          </cell>
          <cell r="E40">
            <v>20</v>
          </cell>
          <cell r="F40" t="str">
            <v>cây</v>
          </cell>
          <cell r="G40">
            <v>330000</v>
          </cell>
          <cell r="H40">
            <v>0.15</v>
          </cell>
          <cell r="J40" t="str">
            <v>ĐG 30.12.2022</v>
          </cell>
        </row>
        <row r="41">
          <cell r="B41" t="str">
            <v>Bưởi712itl.vmd</v>
          </cell>
          <cell r="C41" t="str">
            <v>Bưởi diễn (ít tán, ít lá) vượt mật độ</v>
          </cell>
          <cell r="D41" t="str">
            <v>7cm ≤ đk gốc &lt; 12cm</v>
          </cell>
          <cell r="E41">
            <v>20</v>
          </cell>
          <cell r="F41" t="str">
            <v>cây</v>
          </cell>
          <cell r="G41">
            <v>1380000</v>
          </cell>
          <cell r="H41">
            <v>0.15</v>
          </cell>
          <cell r="J41" t="str">
            <v>ĐG 30.12.2022</v>
          </cell>
        </row>
        <row r="42">
          <cell r="B42" t="str">
            <v>Bưởi1220itl.vmd</v>
          </cell>
          <cell r="C42" t="str">
            <v>Bưởi diễn (ít tán, ít lá) vượt mật độ</v>
          </cell>
          <cell r="D42" t="str">
            <v>12cm ≤ đk gốc &lt; 20cm</v>
          </cell>
          <cell r="E42">
            <v>20</v>
          </cell>
          <cell r="F42" t="str">
            <v>cây</v>
          </cell>
          <cell r="G42">
            <v>1920000</v>
          </cell>
          <cell r="H42">
            <v>0.15</v>
          </cell>
          <cell r="J42" t="str">
            <v>ĐG 30.12.2022</v>
          </cell>
        </row>
        <row r="43">
          <cell r="B43" t="str">
            <v>Bưởi20+itl.vmd</v>
          </cell>
          <cell r="C43" t="str">
            <v>Bưởi diễn (ít tán, ít lá) vượt mật độ</v>
          </cell>
          <cell r="D43" t="str">
            <v>đk gốc từ 20cm trở lên</v>
          </cell>
          <cell r="E43">
            <v>20</v>
          </cell>
          <cell r="F43" t="str">
            <v>cây</v>
          </cell>
          <cell r="G43">
            <v>2200000</v>
          </cell>
          <cell r="H43">
            <v>0.15</v>
          </cell>
          <cell r="J43" t="str">
            <v>ĐG 30.12.2022</v>
          </cell>
        </row>
        <row r="44">
          <cell r="B44" t="str">
            <v>Bưởi27mt</v>
          </cell>
          <cell r="C44" t="str">
            <v>Bưởi diễn mới trồng</v>
          </cell>
          <cell r="D44" t="str">
            <v>2cm ≤ đk gốc &lt; 7cm</v>
          </cell>
          <cell r="E44">
            <v>20</v>
          </cell>
          <cell r="F44" t="str">
            <v>cây</v>
          </cell>
          <cell r="G44">
            <v>59000</v>
          </cell>
          <cell r="H44">
            <v>1</v>
          </cell>
          <cell r="I44">
            <v>2950</v>
          </cell>
          <cell r="J44" t="str">
            <v>ĐG 12.2021</v>
          </cell>
        </row>
        <row r="45">
          <cell r="B45" t="str">
            <v>Bưởi712mt</v>
          </cell>
          <cell r="C45" t="str">
            <v>Bưởi diễn mới trồng</v>
          </cell>
          <cell r="D45" t="str">
            <v>7cm ≤ đk gốc &lt; 12cm</v>
          </cell>
          <cell r="E45">
            <v>20</v>
          </cell>
          <cell r="F45" t="str">
            <v>cây</v>
          </cell>
          <cell r="G45">
            <v>272000</v>
          </cell>
          <cell r="H45">
            <v>1</v>
          </cell>
          <cell r="I45">
            <v>13600</v>
          </cell>
          <cell r="J45" t="str">
            <v>ĐG 12.2021</v>
          </cell>
        </row>
        <row r="46">
          <cell r="B46" t="str">
            <v>Bưởi1220mt</v>
          </cell>
          <cell r="C46" t="str">
            <v>Bưởi diễn mới trồng</v>
          </cell>
          <cell r="D46" t="str">
            <v>12cm ≤ đk gốc &lt; 20cm</v>
          </cell>
          <cell r="E46">
            <v>20</v>
          </cell>
          <cell r="F46" t="str">
            <v>cây</v>
          </cell>
          <cell r="G46">
            <v>408000</v>
          </cell>
          <cell r="H46">
            <v>1</v>
          </cell>
          <cell r="I46">
            <v>20400</v>
          </cell>
          <cell r="J46" t="str">
            <v>ĐG 12.2021</v>
          </cell>
        </row>
        <row r="47">
          <cell r="B47" t="str">
            <v>Bưởi20+mt</v>
          </cell>
          <cell r="C47" t="str">
            <v>Bưởi diễn mới trồng</v>
          </cell>
          <cell r="D47" t="str">
            <v>đk gốc từ 20cm trở lên</v>
          </cell>
          <cell r="E47">
            <v>20</v>
          </cell>
          <cell r="F47" t="str">
            <v>cây</v>
          </cell>
          <cell r="H47">
            <v>1</v>
          </cell>
          <cell r="I47">
            <v>0</v>
          </cell>
          <cell r="J47" t="str">
            <v>ĐG 12.2021</v>
          </cell>
        </row>
        <row r="48">
          <cell r="B48" t="str">
            <v>Bưởi27mt.vmd</v>
          </cell>
          <cell r="C48" t="str">
            <v>Bưởi diễn mới trồng vượt mật độ</v>
          </cell>
          <cell r="D48" t="str">
            <v>2cm ≤ đk gốc &lt; 7cm</v>
          </cell>
          <cell r="E48">
            <v>20</v>
          </cell>
          <cell r="F48" t="str">
            <v>cây</v>
          </cell>
          <cell r="G48">
            <v>59000</v>
          </cell>
          <cell r="H48">
            <v>0.5</v>
          </cell>
          <cell r="I48">
            <v>2950</v>
          </cell>
          <cell r="J48" t="str">
            <v>ĐG 12.2021</v>
          </cell>
        </row>
        <row r="49">
          <cell r="B49" t="str">
            <v>Bưởi712mt.vmd</v>
          </cell>
          <cell r="C49" t="str">
            <v>Bưởi diễn mới trồng vượt mật độ</v>
          </cell>
          <cell r="D49" t="str">
            <v>7cm ≤ đk gốc &lt; 12cm</v>
          </cell>
          <cell r="E49">
            <v>20</v>
          </cell>
          <cell r="F49" t="str">
            <v>cây</v>
          </cell>
          <cell r="G49">
            <v>272000</v>
          </cell>
          <cell r="H49">
            <v>0.5</v>
          </cell>
          <cell r="I49">
            <v>13600</v>
          </cell>
          <cell r="J49" t="str">
            <v>ĐG 12.2021</v>
          </cell>
        </row>
        <row r="50">
          <cell r="B50" t="str">
            <v>Bưởi1220mt.vmd</v>
          </cell>
          <cell r="C50" t="str">
            <v>Bưởi diễn mới trồng vượt mật độ</v>
          </cell>
          <cell r="D50" t="str">
            <v>12cm ≤ đk gốc &lt; 20cm</v>
          </cell>
          <cell r="E50">
            <v>20</v>
          </cell>
          <cell r="F50" t="str">
            <v>cây</v>
          </cell>
          <cell r="G50">
            <v>408000</v>
          </cell>
          <cell r="H50">
            <v>0.5</v>
          </cell>
          <cell r="I50">
            <v>20400</v>
          </cell>
          <cell r="J50" t="str">
            <v>ĐG 12.2021</v>
          </cell>
        </row>
        <row r="51">
          <cell r="B51" t="str">
            <v>Bưởi20+mt.vmd</v>
          </cell>
          <cell r="C51" t="str">
            <v>Bưởi diễn mới trồng</v>
          </cell>
          <cell r="D51" t="str">
            <v>đk gốc từ 20cm trở lên</v>
          </cell>
          <cell r="E51">
            <v>20</v>
          </cell>
          <cell r="F51" t="str">
            <v>cây</v>
          </cell>
          <cell r="H51">
            <v>0.5</v>
          </cell>
          <cell r="I51">
            <v>0</v>
          </cell>
          <cell r="J51" t="str">
            <v>ĐG 12.2021</v>
          </cell>
        </row>
        <row r="52">
          <cell r="B52" t="str">
            <v>Bưởi27.cth</v>
          </cell>
          <cell r="C52" t="str">
            <v>Bưởi diễn sinh trưởng tốt, chưa thu hoạch</v>
          </cell>
          <cell r="D52" t="str">
            <v>2cm ≤ đk gốc &lt; 7cm</v>
          </cell>
          <cell r="E52">
            <v>20</v>
          </cell>
          <cell r="F52" t="str">
            <v>cây</v>
          </cell>
          <cell r="G52">
            <v>330000</v>
          </cell>
          <cell r="H52">
            <v>0.5</v>
          </cell>
          <cell r="I52">
            <v>16500</v>
          </cell>
          <cell r="J52" t="str">
            <v>ĐG 30.12.2022</v>
          </cell>
        </row>
        <row r="53">
          <cell r="B53" t="str">
            <v>Bưởi712.cth</v>
          </cell>
          <cell r="C53" t="str">
            <v>Bưởi diễn sinh trưởng tốt, chưa thu hoạch</v>
          </cell>
          <cell r="D53" t="str">
            <v>7cm ≤ đk gốc &lt; 12cm</v>
          </cell>
          <cell r="E53">
            <v>20</v>
          </cell>
          <cell r="F53" t="str">
            <v>cây</v>
          </cell>
          <cell r="G53">
            <v>1380000</v>
          </cell>
          <cell r="H53">
            <v>0.5</v>
          </cell>
          <cell r="I53">
            <v>69000</v>
          </cell>
          <cell r="J53" t="str">
            <v>ĐG 30.12.2022</v>
          </cell>
        </row>
        <row r="54">
          <cell r="B54" t="str">
            <v>Bưởi1220.cth</v>
          </cell>
          <cell r="C54" t="str">
            <v>Bưởi diễn sinh trưởng tốt, chưa thu hoạch</v>
          </cell>
          <cell r="D54" t="str">
            <v>12cm ≤ đk gốc &lt; 20cm</v>
          </cell>
          <cell r="E54">
            <v>20</v>
          </cell>
          <cell r="F54" t="str">
            <v>cây</v>
          </cell>
          <cell r="G54">
            <v>1920000</v>
          </cell>
          <cell r="H54">
            <v>0.5</v>
          </cell>
          <cell r="I54">
            <v>96000</v>
          </cell>
          <cell r="J54" t="str">
            <v>ĐG 30.12.2022</v>
          </cell>
        </row>
        <row r="55">
          <cell r="B55" t="str">
            <v>Bưởi20+.cth</v>
          </cell>
          <cell r="C55" t="str">
            <v>Bưởi diễn sinh trưởng tốt, chưa thu hoạch</v>
          </cell>
          <cell r="D55" t="str">
            <v>đk gốc từ 20cm trở lên</v>
          </cell>
          <cell r="E55">
            <v>20</v>
          </cell>
          <cell r="F55" t="str">
            <v>cây</v>
          </cell>
          <cell r="G55">
            <v>2200000</v>
          </cell>
          <cell r="H55">
            <v>0.5</v>
          </cell>
          <cell r="I55">
            <v>110000</v>
          </cell>
          <cell r="J55" t="str">
            <v>ĐG 30.12.2022</v>
          </cell>
        </row>
        <row r="56">
          <cell r="B56" t="str">
            <v>Bưởi712.cth.vmd</v>
          </cell>
          <cell r="C56" t="str">
            <v>Bưởi diễn sinh trưởng tốt, chưa thu hoạch</v>
          </cell>
          <cell r="D56" t="str">
            <v>7cm ≤ đk gốc &lt; 12cm</v>
          </cell>
          <cell r="E56">
            <v>20</v>
          </cell>
          <cell r="F56" t="str">
            <v>cây</v>
          </cell>
          <cell r="G56">
            <v>1380000</v>
          </cell>
          <cell r="H56">
            <v>0.25</v>
          </cell>
          <cell r="I56">
            <v>69000</v>
          </cell>
          <cell r="J56" t="str">
            <v>ĐG 30.12.2022</v>
          </cell>
        </row>
        <row r="57">
          <cell r="B57" t="str">
            <v>Bưởi27.cth.vmd</v>
          </cell>
          <cell r="C57" t="str">
            <v>Bưởi diễn sinh trưởng tốt, chưa thu hoạch, vượt mật độ</v>
          </cell>
          <cell r="D57" t="str">
            <v>2cm ≤ đk gốc &lt; 7cm</v>
          </cell>
          <cell r="E57">
            <v>20</v>
          </cell>
          <cell r="F57" t="str">
            <v>cây</v>
          </cell>
          <cell r="G57">
            <v>330000</v>
          </cell>
          <cell r="H57">
            <v>0.25</v>
          </cell>
          <cell r="I57">
            <v>16500</v>
          </cell>
          <cell r="J57" t="str">
            <v>ĐG 30.12.2022</v>
          </cell>
        </row>
        <row r="58">
          <cell r="B58" t="str">
            <v>Bưởi1220.cth.vmd</v>
          </cell>
          <cell r="C58" t="str">
            <v>Bưởi diễn sinh trưởng tốt, chưa thu hoạch, vượt mật độ</v>
          </cell>
          <cell r="D58" t="str">
            <v>12cm ≤ đk gốc &lt; 20cm</v>
          </cell>
          <cell r="E58">
            <v>20</v>
          </cell>
          <cell r="F58" t="str">
            <v>cây</v>
          </cell>
          <cell r="G58">
            <v>1920000</v>
          </cell>
          <cell r="H58">
            <v>0.25</v>
          </cell>
          <cell r="I58">
            <v>96000</v>
          </cell>
          <cell r="J58" t="str">
            <v>ĐG 30.12.2022</v>
          </cell>
        </row>
        <row r="59">
          <cell r="B59" t="str">
            <v>Bưởi20+.cth.vmd</v>
          </cell>
          <cell r="C59" t="str">
            <v>Bưởi diễn sinh trưởng tốt, chưa thu hoạch, vượt mật độ</v>
          </cell>
          <cell r="D59" t="str">
            <v>đk gốc từ 20cm trở lên</v>
          </cell>
          <cell r="E59">
            <v>20</v>
          </cell>
          <cell r="F59" t="str">
            <v>cây</v>
          </cell>
          <cell r="G59">
            <v>2200000</v>
          </cell>
          <cell r="H59">
            <v>0.25</v>
          </cell>
          <cell r="I59">
            <v>110000</v>
          </cell>
          <cell r="J59" t="str">
            <v>ĐG 30.12.2022</v>
          </cell>
        </row>
        <row r="60">
          <cell r="C60" t="str">
            <v>Bưởi khác</v>
          </cell>
        </row>
        <row r="61">
          <cell r="B61" t="str">
            <v>BK1</v>
          </cell>
          <cell r="C61" t="str">
            <v>Bưởi khác</v>
          </cell>
          <cell r="D61" t="str">
            <v>cây giống</v>
          </cell>
          <cell r="F61" t="str">
            <v>m2</v>
          </cell>
          <cell r="G61">
            <v>70000</v>
          </cell>
          <cell r="H61">
            <v>1</v>
          </cell>
          <cell r="I61">
            <v>70000</v>
          </cell>
          <cell r="J61" t="str">
            <v>ĐG 30.12.2022</v>
          </cell>
        </row>
        <row r="62">
          <cell r="B62" t="str">
            <v>BK27</v>
          </cell>
          <cell r="C62" t="str">
            <v>Bưởi khác</v>
          </cell>
          <cell r="D62" t="str">
            <v>2cm ≤ đk gốc &lt; 7cm</v>
          </cell>
          <cell r="E62">
            <v>5</v>
          </cell>
          <cell r="F62" t="str">
            <v>cây</v>
          </cell>
          <cell r="G62">
            <v>220000</v>
          </cell>
          <cell r="H62">
            <v>1</v>
          </cell>
          <cell r="I62">
            <v>44000</v>
          </cell>
          <cell r="J62" t="str">
            <v>ĐG 30.12.2022</v>
          </cell>
        </row>
        <row r="63">
          <cell r="B63" t="str">
            <v>BK712</v>
          </cell>
          <cell r="C63" t="str">
            <v>Bưởi khác</v>
          </cell>
          <cell r="D63" t="str">
            <v>7cm ≤ đk gốc &lt; 12cm</v>
          </cell>
          <cell r="E63">
            <v>6.6666666666666696</v>
          </cell>
          <cell r="F63" t="str">
            <v>cây</v>
          </cell>
          <cell r="G63">
            <v>550000</v>
          </cell>
          <cell r="H63">
            <v>1</v>
          </cell>
          <cell r="I63">
            <v>82500</v>
          </cell>
          <cell r="J63" t="str">
            <v>ĐG 30.12.2022</v>
          </cell>
        </row>
        <row r="64">
          <cell r="B64" t="str">
            <v>BK1220</v>
          </cell>
          <cell r="C64" t="str">
            <v>Bưởi khác</v>
          </cell>
          <cell r="D64" t="str">
            <v>12cm ≤ đk gốc &lt; 20cm</v>
          </cell>
          <cell r="E64">
            <v>8.3720930232558093</v>
          </cell>
          <cell r="F64" t="str">
            <v>cây</v>
          </cell>
          <cell r="G64">
            <v>770000</v>
          </cell>
          <cell r="H64">
            <v>1</v>
          </cell>
          <cell r="I64">
            <v>91972.222222222204</v>
          </cell>
          <cell r="J64" t="str">
            <v>ĐG 30.12.2022</v>
          </cell>
        </row>
        <row r="65">
          <cell r="B65" t="str">
            <v>BK20+</v>
          </cell>
          <cell r="C65" t="str">
            <v>Bưởi khác</v>
          </cell>
          <cell r="D65" t="str">
            <v>đk gốc từ 20cm trở lên</v>
          </cell>
          <cell r="E65">
            <v>8.3720930232558093</v>
          </cell>
          <cell r="F65" t="str">
            <v>cây</v>
          </cell>
          <cell r="G65">
            <v>1100000</v>
          </cell>
          <cell r="H65">
            <v>1</v>
          </cell>
          <cell r="I65">
            <v>131388.88888888899</v>
          </cell>
          <cell r="J65" t="str">
            <v>ĐG 30.12.2022</v>
          </cell>
        </row>
        <row r="66">
          <cell r="B66" t="str">
            <v>BK1vmd</v>
          </cell>
          <cell r="C66" t="str">
            <v>Bưởi khác, vượt mật độ</v>
          </cell>
          <cell r="D66" t="str">
            <v>cây giống</v>
          </cell>
          <cell r="F66" t="str">
            <v>m2</v>
          </cell>
          <cell r="G66">
            <v>70000</v>
          </cell>
          <cell r="H66">
            <v>0.5</v>
          </cell>
          <cell r="I66">
            <v>70000</v>
          </cell>
          <cell r="J66" t="str">
            <v>ĐG 30.12.2022</v>
          </cell>
        </row>
        <row r="67">
          <cell r="B67" t="str">
            <v>BK27vmd</v>
          </cell>
          <cell r="C67" t="str">
            <v>Bưởi khác, vượt mật độ</v>
          </cell>
          <cell r="D67" t="str">
            <v>2cm ≤ đk gốc &lt; 7cm</v>
          </cell>
          <cell r="E67">
            <v>5</v>
          </cell>
          <cell r="F67" t="str">
            <v>cây</v>
          </cell>
          <cell r="G67">
            <v>220000</v>
          </cell>
          <cell r="H67">
            <v>0.5</v>
          </cell>
          <cell r="I67">
            <v>44000</v>
          </cell>
          <cell r="J67" t="str">
            <v>ĐG 30.12.2022</v>
          </cell>
        </row>
        <row r="68">
          <cell r="B68" t="str">
            <v>BK712vmd</v>
          </cell>
          <cell r="C68" t="str">
            <v>Bưởi khác, vượt mật độ</v>
          </cell>
          <cell r="D68" t="str">
            <v>7cm ≤ đk gốc &lt; 12cm</v>
          </cell>
          <cell r="E68">
            <v>6.6666666666666696</v>
          </cell>
          <cell r="F68" t="str">
            <v>cây</v>
          </cell>
          <cell r="G68">
            <v>550000</v>
          </cell>
          <cell r="H68">
            <v>0.5</v>
          </cell>
          <cell r="I68">
            <v>82500</v>
          </cell>
          <cell r="J68" t="str">
            <v>ĐG 30.12.2022</v>
          </cell>
        </row>
        <row r="69">
          <cell r="B69" t="str">
            <v>BK1220vmd</v>
          </cell>
          <cell r="C69" t="str">
            <v>Bưởi khác, vượt mật độ</v>
          </cell>
          <cell r="D69" t="str">
            <v>12cm ≤ đk gốc &lt; 20cm</v>
          </cell>
          <cell r="E69">
            <v>8.3720930232558093</v>
          </cell>
          <cell r="F69" t="str">
            <v>cây</v>
          </cell>
          <cell r="G69">
            <v>770000</v>
          </cell>
          <cell r="H69">
            <v>0.5</v>
          </cell>
          <cell r="I69">
            <v>91972.222222222204</v>
          </cell>
          <cell r="J69" t="str">
            <v>ĐG 30.12.2022</v>
          </cell>
        </row>
        <row r="70">
          <cell r="B70" t="str">
            <v>BK20+vmd</v>
          </cell>
          <cell r="C70" t="str">
            <v>Bưởi khác, vượt mật độ</v>
          </cell>
          <cell r="D70" t="str">
            <v>đk gốc từ 20cm trở lên</v>
          </cell>
          <cell r="E70">
            <v>8.3720930232558093</v>
          </cell>
          <cell r="F70" t="str">
            <v>cây</v>
          </cell>
          <cell r="G70">
            <v>1100000</v>
          </cell>
          <cell r="H70">
            <v>0.5</v>
          </cell>
          <cell r="I70">
            <v>131388.88888888899</v>
          </cell>
          <cell r="J70" t="str">
            <v>ĐG 30.12.2022</v>
          </cell>
        </row>
        <row r="71">
          <cell r="C71" t="str">
            <v>Cam đường canh</v>
          </cell>
          <cell r="E71" t="str">
            <v>10.000/620=16,129</v>
          </cell>
          <cell r="F71">
            <v>16.129032258064498</v>
          </cell>
        </row>
        <row r="72">
          <cell r="B72" t="str">
            <v>Cam01</v>
          </cell>
          <cell r="C72" t="str">
            <v>Cam đường canh</v>
          </cell>
          <cell r="D72" t="str">
            <v>cây giống</v>
          </cell>
          <cell r="F72" t="str">
            <v>m2</v>
          </cell>
          <cell r="G72">
            <v>100000</v>
          </cell>
          <cell r="H72">
            <v>1</v>
          </cell>
          <cell r="I72">
            <v>100000</v>
          </cell>
          <cell r="J72" t="str">
            <v>ĐG 30.12.2022</v>
          </cell>
        </row>
        <row r="73">
          <cell r="B73" t="str">
            <v>Cam27</v>
          </cell>
          <cell r="C73" t="str">
            <v>Cam đường canh</v>
          </cell>
          <cell r="D73" t="str">
            <v>2cm ≤ đk gốc &lt; 7cm</v>
          </cell>
          <cell r="E73">
            <v>16.129000000000001</v>
          </cell>
          <cell r="F73" t="str">
            <v>cây</v>
          </cell>
          <cell r="G73">
            <v>300000</v>
          </cell>
          <cell r="H73">
            <v>1</v>
          </cell>
          <cell r="I73">
            <v>18600.037200074399</v>
          </cell>
          <cell r="J73" t="str">
            <v>ĐG 30.12.2022</v>
          </cell>
        </row>
        <row r="74">
          <cell r="B74" t="str">
            <v>Cam712</v>
          </cell>
          <cell r="C74" t="str">
            <v>Cam đường canh</v>
          </cell>
          <cell r="D74" t="str">
            <v>7cm ≤ đk gốc &lt; 12cm</v>
          </cell>
          <cell r="E74">
            <v>16.129000000000001</v>
          </cell>
          <cell r="F74" t="str">
            <v>cây</v>
          </cell>
          <cell r="G74">
            <v>1500000</v>
          </cell>
          <cell r="H74">
            <v>1</v>
          </cell>
          <cell r="I74">
            <v>93000.186000372007</v>
          </cell>
          <cell r="J74" t="str">
            <v>ĐG 30.12.2022</v>
          </cell>
        </row>
        <row r="75">
          <cell r="B75" t="str">
            <v>Cam1220</v>
          </cell>
          <cell r="C75" t="str">
            <v>Cam đường canh</v>
          </cell>
          <cell r="D75" t="str">
            <v>12cm ≤ đk gốc &lt; 20cm</v>
          </cell>
          <cell r="E75">
            <v>16.129000000000001</v>
          </cell>
          <cell r="F75" t="str">
            <v>cây</v>
          </cell>
          <cell r="G75">
            <v>2000000</v>
          </cell>
          <cell r="H75">
            <v>1</v>
          </cell>
          <cell r="I75">
            <v>124000.24800049599</v>
          </cell>
          <cell r="J75" t="str">
            <v>ĐG 30.12.2022</v>
          </cell>
        </row>
        <row r="76">
          <cell r="B76" t="str">
            <v>Cam20+</v>
          </cell>
          <cell r="C76" t="str">
            <v>Cam đường canh</v>
          </cell>
          <cell r="D76" t="str">
            <v>đk gốc từ 20cm trở lên</v>
          </cell>
          <cell r="E76">
            <v>16.129000000000001</v>
          </cell>
          <cell r="F76" t="str">
            <v>cây</v>
          </cell>
          <cell r="G76">
            <v>2500000</v>
          </cell>
          <cell r="H76">
            <v>1</v>
          </cell>
          <cell r="I76">
            <v>155000.31000062</v>
          </cell>
          <cell r="J76" t="str">
            <v>ĐG 30.12.2022</v>
          </cell>
        </row>
        <row r="77">
          <cell r="B77" t="str">
            <v>Cam27vmd</v>
          </cell>
          <cell r="C77" t="str">
            <v>Cam đường canh vượt mật độ</v>
          </cell>
          <cell r="D77" t="str">
            <v>2cm ≤ đk gốc &lt; 7cm</v>
          </cell>
          <cell r="E77">
            <v>16.129000000000001</v>
          </cell>
          <cell r="F77" t="str">
            <v>cây</v>
          </cell>
          <cell r="G77">
            <v>300000</v>
          </cell>
          <cell r="H77">
            <v>0.5</v>
          </cell>
          <cell r="I77">
            <v>18600.037200074399</v>
          </cell>
          <cell r="J77" t="str">
            <v>ĐG 30.12.2022</v>
          </cell>
        </row>
        <row r="78">
          <cell r="B78" t="str">
            <v>Cam712vmd</v>
          </cell>
          <cell r="C78" t="str">
            <v>Cam đường canh vượt mật độ</v>
          </cell>
          <cell r="D78" t="str">
            <v>7cm ≤ đk gốc &lt; 12cm</v>
          </cell>
          <cell r="E78">
            <v>16.129000000000001</v>
          </cell>
          <cell r="F78" t="str">
            <v>cây</v>
          </cell>
          <cell r="G78">
            <v>1500000</v>
          </cell>
          <cell r="H78">
            <v>0.5</v>
          </cell>
          <cell r="I78">
            <v>93000.186000372007</v>
          </cell>
          <cell r="J78" t="str">
            <v>ĐG 30.12.2022</v>
          </cell>
        </row>
        <row r="79">
          <cell r="B79" t="str">
            <v>Cam1220vmd</v>
          </cell>
          <cell r="C79" t="str">
            <v>Cam đường canh vượt mật độ</v>
          </cell>
          <cell r="D79" t="str">
            <v>12cm ≤ đk gốc &lt; 20cm</v>
          </cell>
          <cell r="E79">
            <v>16.129000000000001</v>
          </cell>
          <cell r="F79" t="str">
            <v>cây</v>
          </cell>
          <cell r="G79">
            <v>2000000</v>
          </cell>
          <cell r="H79">
            <v>0.5</v>
          </cell>
          <cell r="I79">
            <v>124000.24800049599</v>
          </cell>
          <cell r="J79" t="str">
            <v>ĐG 30.12.2022</v>
          </cell>
        </row>
        <row r="80">
          <cell r="B80" t="str">
            <v>Cam20+vmd</v>
          </cell>
          <cell r="C80" t="str">
            <v>Cam đường canh vượt mật độ</v>
          </cell>
          <cell r="D80" t="str">
            <v>đk gốc từ 20cm trở lên</v>
          </cell>
          <cell r="E80">
            <v>16.129000000000001</v>
          </cell>
          <cell r="F80" t="str">
            <v>cây</v>
          </cell>
          <cell r="G80">
            <v>2500000</v>
          </cell>
          <cell r="H80">
            <v>0.5</v>
          </cell>
          <cell r="I80">
            <v>155000.31000062</v>
          </cell>
          <cell r="J80" t="str">
            <v>ĐG 30.12.2022</v>
          </cell>
        </row>
        <row r="81">
          <cell r="B81" t="str">
            <v>Cam27itl</v>
          </cell>
          <cell r="C81" t="str">
            <v>Cam đường canh (ít tán, ít lá)</v>
          </cell>
          <cell r="D81" t="str">
            <v>2cm ≤ đk gốc &lt; 7cm</v>
          </cell>
          <cell r="E81">
            <v>16.129000000000001</v>
          </cell>
          <cell r="F81" t="str">
            <v>cây</v>
          </cell>
          <cell r="G81">
            <v>300000</v>
          </cell>
          <cell r="H81">
            <v>0.3</v>
          </cell>
          <cell r="I81">
            <v>5580.0111600223199</v>
          </cell>
          <cell r="J81" t="str">
            <v>ĐG 30.12.2022</v>
          </cell>
        </row>
        <row r="82">
          <cell r="B82" t="str">
            <v>Cam712itl</v>
          </cell>
          <cell r="C82" t="str">
            <v>Cam đường canh (ít tán, ít lá)</v>
          </cell>
          <cell r="D82" t="str">
            <v>7cm ≤ đk gốc &lt; 12cm</v>
          </cell>
          <cell r="E82">
            <v>16.129000000000001</v>
          </cell>
          <cell r="F82" t="str">
            <v>cây</v>
          </cell>
          <cell r="G82">
            <v>1500000</v>
          </cell>
          <cell r="H82">
            <v>0.3</v>
          </cell>
          <cell r="I82">
            <v>27900.055800111601</v>
          </cell>
          <cell r="J82" t="str">
            <v>ĐG 30.12.2022</v>
          </cell>
        </row>
        <row r="83">
          <cell r="B83" t="str">
            <v>Cam1220itl</v>
          </cell>
          <cell r="C83" t="str">
            <v>Cam đường canh (ít tán, ít lá)</v>
          </cell>
          <cell r="D83" t="str">
            <v>12cm ≤ đk gốc &lt; 20cm</v>
          </cell>
          <cell r="E83">
            <v>16.129000000000001</v>
          </cell>
          <cell r="F83" t="str">
            <v>cây</v>
          </cell>
          <cell r="G83">
            <v>2000000</v>
          </cell>
          <cell r="H83">
            <v>0.3</v>
          </cell>
          <cell r="I83">
            <v>37200.074400148798</v>
          </cell>
          <cell r="J83" t="str">
            <v>ĐG 30.12.2022</v>
          </cell>
        </row>
        <row r="84">
          <cell r="B84" t="str">
            <v>Cam20+itl</v>
          </cell>
          <cell r="C84" t="str">
            <v>Cam đường canh (ít tán, ít lá)</v>
          </cell>
          <cell r="D84" t="str">
            <v>đk gốc từ 20cm trở lên</v>
          </cell>
          <cell r="E84">
            <v>16.129000000000001</v>
          </cell>
          <cell r="F84" t="str">
            <v>cây</v>
          </cell>
          <cell r="G84">
            <v>2500000</v>
          </cell>
          <cell r="H84">
            <v>0.3</v>
          </cell>
          <cell r="I84">
            <v>46500.093000186003</v>
          </cell>
          <cell r="J84" t="str">
            <v>ĐG 30.12.2022</v>
          </cell>
        </row>
        <row r="85">
          <cell r="B85" t="str">
            <v>Cam27itl.vmd</v>
          </cell>
          <cell r="C85" t="str">
            <v>Cam đường canh (ít tán, ít lá) vượt mật độ</v>
          </cell>
          <cell r="D85" t="str">
            <v>2cm ≤ đk gốc &lt; 7cm</v>
          </cell>
          <cell r="E85">
            <v>16.129000000000001</v>
          </cell>
          <cell r="F85" t="str">
            <v>cây</v>
          </cell>
          <cell r="G85">
            <v>300000</v>
          </cell>
          <cell r="H85">
            <v>0.15</v>
          </cell>
          <cell r="J85" t="str">
            <v>ĐG 30.12.2022</v>
          </cell>
        </row>
        <row r="86">
          <cell r="B86" t="str">
            <v>Cam712itl.vmd</v>
          </cell>
          <cell r="C86" t="str">
            <v>Cam đường canh (ít tán, ít lá) vượt mật độ</v>
          </cell>
          <cell r="D86" t="str">
            <v>7cm ≤ đk gốc &lt; 12cm</v>
          </cell>
          <cell r="E86">
            <v>16.129000000000001</v>
          </cell>
          <cell r="F86" t="str">
            <v>cây</v>
          </cell>
          <cell r="G86">
            <v>1500000</v>
          </cell>
          <cell r="H86">
            <v>0.15</v>
          </cell>
          <cell r="J86" t="str">
            <v>ĐG 30.12.2022</v>
          </cell>
        </row>
        <row r="87">
          <cell r="B87" t="str">
            <v>Cam1220itl.vmd</v>
          </cell>
          <cell r="C87" t="str">
            <v>Cam đường canh (ít tán, ít lá) vượt mật độ</v>
          </cell>
          <cell r="D87" t="str">
            <v>12cm ≤ đk gốc &lt; 20cm</v>
          </cell>
          <cell r="E87">
            <v>16.129000000000001</v>
          </cell>
          <cell r="F87" t="str">
            <v>cây</v>
          </cell>
          <cell r="G87">
            <v>2000000</v>
          </cell>
          <cell r="H87">
            <v>0.15</v>
          </cell>
          <cell r="J87" t="str">
            <v>ĐG 30.12.2022</v>
          </cell>
        </row>
        <row r="88">
          <cell r="B88" t="str">
            <v>Cam20+itl.vmd</v>
          </cell>
          <cell r="C88" t="str">
            <v>Cam đường canh (ít tán, ít lá) vượt mật độ</v>
          </cell>
          <cell r="D88" t="str">
            <v>đk gốc từ 20cm trở lên</v>
          </cell>
          <cell r="E88">
            <v>16.129000000000001</v>
          </cell>
          <cell r="F88" t="str">
            <v>cây</v>
          </cell>
          <cell r="G88">
            <v>2500000</v>
          </cell>
          <cell r="H88">
            <v>0.15</v>
          </cell>
          <cell r="J88" t="str">
            <v>ĐG 30.12.2022</v>
          </cell>
        </row>
        <row r="89">
          <cell r="B89" t="str">
            <v>Cam27mt</v>
          </cell>
          <cell r="C89" t="str">
            <v>Cam đường canh mới trồng</v>
          </cell>
          <cell r="D89" t="str">
            <v>2cm ≤ đk gốc &lt; 7cm</v>
          </cell>
          <cell r="E89">
            <v>16.129000000000001</v>
          </cell>
          <cell r="F89" t="str">
            <v>cây</v>
          </cell>
          <cell r="G89">
            <v>63000</v>
          </cell>
          <cell r="H89">
            <v>1</v>
          </cell>
          <cell r="I89">
            <v>3906.0078120156199</v>
          </cell>
          <cell r="J89" t="str">
            <v>ĐG 12.2021</v>
          </cell>
        </row>
        <row r="90">
          <cell r="B90" t="str">
            <v>Cam712mt</v>
          </cell>
          <cell r="C90" t="str">
            <v>Cam đường canh mới trồng</v>
          </cell>
          <cell r="D90" t="str">
            <v>7cm ≤ đk gốc &lt; 12cm</v>
          </cell>
          <cell r="E90">
            <v>16.129000000000001</v>
          </cell>
          <cell r="F90" t="str">
            <v>cây</v>
          </cell>
          <cell r="G90">
            <v>288000</v>
          </cell>
          <cell r="H90">
            <v>1</v>
          </cell>
          <cell r="I90">
            <v>17856.0357120714</v>
          </cell>
          <cell r="J90" t="str">
            <v>ĐG 12.2021</v>
          </cell>
        </row>
        <row r="91">
          <cell r="B91" t="str">
            <v>Cam1220mt</v>
          </cell>
          <cell r="C91" t="str">
            <v>Cam đường canh mới trồng</v>
          </cell>
          <cell r="D91" t="str">
            <v>12cm ≤ đk gốc &lt; 20cm</v>
          </cell>
          <cell r="E91">
            <v>16.129000000000001</v>
          </cell>
          <cell r="F91" t="str">
            <v>cây</v>
          </cell>
          <cell r="G91">
            <v>378000</v>
          </cell>
          <cell r="H91">
            <v>1</v>
          </cell>
          <cell r="I91">
            <v>23436.046872093699</v>
          </cell>
          <cell r="J91" t="str">
            <v>ĐG 12.2021</v>
          </cell>
        </row>
        <row r="92">
          <cell r="B92" t="str">
            <v>Cam27mt.vmd</v>
          </cell>
          <cell r="C92" t="str">
            <v>Cam đường canh mới trồng, vượt mật độ</v>
          </cell>
          <cell r="D92" t="str">
            <v>2cm ≤ đk gốc &lt; 7cm</v>
          </cell>
          <cell r="E92">
            <v>16.129000000000001</v>
          </cell>
          <cell r="F92" t="str">
            <v>cây</v>
          </cell>
          <cell r="G92">
            <v>63000</v>
          </cell>
          <cell r="H92">
            <v>0.5</v>
          </cell>
          <cell r="I92">
            <v>3906.0078120156199</v>
          </cell>
          <cell r="J92" t="str">
            <v>ĐG 12.2021</v>
          </cell>
        </row>
        <row r="93">
          <cell r="B93" t="str">
            <v>Cam712mt.vmd</v>
          </cell>
          <cell r="C93" t="str">
            <v>Cam đường canh mới trồng, vượt mật độ</v>
          </cell>
          <cell r="D93" t="str">
            <v>7cm ≤ đk gốc &lt; 12cm</v>
          </cell>
          <cell r="E93">
            <v>16.129000000000001</v>
          </cell>
          <cell r="F93" t="str">
            <v>cây</v>
          </cell>
          <cell r="G93">
            <v>288000</v>
          </cell>
          <cell r="H93">
            <v>0.5</v>
          </cell>
          <cell r="I93">
            <v>17856.0357120714</v>
          </cell>
          <cell r="J93" t="str">
            <v>ĐG 12.2021</v>
          </cell>
        </row>
        <row r="94">
          <cell r="B94" t="str">
            <v>Cam1220mt.vmd</v>
          </cell>
          <cell r="C94" t="str">
            <v>Cam đường canh mới trồng, vượt mật độ</v>
          </cell>
          <cell r="D94" t="str">
            <v>12cm ≤ đk gốc &lt; 20cm</v>
          </cell>
          <cell r="E94">
            <v>16.129000000000001</v>
          </cell>
          <cell r="F94" t="str">
            <v>cây</v>
          </cell>
          <cell r="G94">
            <v>378000</v>
          </cell>
          <cell r="H94">
            <v>0.5</v>
          </cell>
          <cell r="I94">
            <v>23436.046872093699</v>
          </cell>
          <cell r="J94" t="str">
            <v>ĐG 12.2021</v>
          </cell>
        </row>
        <row r="95">
          <cell r="B95" t="str">
            <v>Cam27.cth</v>
          </cell>
          <cell r="C95" t="str">
            <v>Cam đường canh sinh trưởng tốt, chưa thu hoạch</v>
          </cell>
          <cell r="D95" t="str">
            <v>2cm ≤ đk gốc &lt; 7cm</v>
          </cell>
          <cell r="E95">
            <v>16.129000000000001</v>
          </cell>
          <cell r="F95" t="str">
            <v>cây</v>
          </cell>
          <cell r="G95">
            <v>300000</v>
          </cell>
          <cell r="H95">
            <v>0.4</v>
          </cell>
          <cell r="I95">
            <v>18600.037200074399</v>
          </cell>
          <cell r="J95" t="str">
            <v>ĐG 30.12.2022</v>
          </cell>
        </row>
        <row r="96">
          <cell r="B96" t="str">
            <v>Cam712.cth</v>
          </cell>
          <cell r="C96" t="str">
            <v>Cam đường canh sinh trưởng tốt, chưa thu hoạch</v>
          </cell>
          <cell r="D96" t="str">
            <v>7cm ≤ đk gốc &lt; 12cm</v>
          </cell>
          <cell r="E96">
            <v>16.129000000000001</v>
          </cell>
          <cell r="F96" t="str">
            <v>cây</v>
          </cell>
          <cell r="G96">
            <v>1500000</v>
          </cell>
          <cell r="H96">
            <v>0.4</v>
          </cell>
          <cell r="I96">
            <v>93000.186000372007</v>
          </cell>
          <cell r="J96" t="str">
            <v>ĐG 30.12.2022</v>
          </cell>
        </row>
        <row r="97">
          <cell r="B97" t="str">
            <v>Cam1220.cth</v>
          </cell>
          <cell r="C97" t="str">
            <v>Cam đường canh sinh trưởng tốt, chưa thu hoạch</v>
          </cell>
          <cell r="D97" t="str">
            <v>12cm ≤ đk gốc &lt; 20cm</v>
          </cell>
          <cell r="E97">
            <v>16.129000000000001</v>
          </cell>
          <cell r="F97" t="str">
            <v>cây</v>
          </cell>
          <cell r="G97">
            <v>2000000</v>
          </cell>
          <cell r="H97">
            <v>0.4</v>
          </cell>
          <cell r="I97">
            <v>124000.24800049599</v>
          </cell>
          <cell r="J97" t="str">
            <v>ĐG 30.12.2022</v>
          </cell>
        </row>
        <row r="98">
          <cell r="B98" t="str">
            <v>Cam27.cth.vmd</v>
          </cell>
          <cell r="C98" t="str">
            <v>Cam đường canh sinh trưởng tốt, chưa thu hoạch, vượt mật độ</v>
          </cell>
          <cell r="D98" t="str">
            <v>2cm ≤ đk gốc &lt; 7cm</v>
          </cell>
          <cell r="E98">
            <v>16.129000000000001</v>
          </cell>
          <cell r="F98" t="str">
            <v>cây</v>
          </cell>
          <cell r="G98">
            <v>300000</v>
          </cell>
          <cell r="H98">
            <v>0.2</v>
          </cell>
          <cell r="I98">
            <v>18600.037200074399</v>
          </cell>
          <cell r="J98" t="str">
            <v>ĐG 30.12.2022</v>
          </cell>
        </row>
        <row r="99">
          <cell r="B99" t="str">
            <v>Cam712.cth.vmd</v>
          </cell>
          <cell r="C99" t="str">
            <v>Cam đường canh sinh trưởng tốt, chưa thu hoạch, vượt mật độ</v>
          </cell>
          <cell r="D99" t="str">
            <v>7cm ≤ đk gốc &lt; 12cm</v>
          </cell>
          <cell r="E99">
            <v>16.129000000000001</v>
          </cell>
          <cell r="F99" t="str">
            <v>cây</v>
          </cell>
          <cell r="G99">
            <v>1500000</v>
          </cell>
          <cell r="H99">
            <v>0.2</v>
          </cell>
          <cell r="I99">
            <v>93000.186000372007</v>
          </cell>
          <cell r="J99" t="str">
            <v>ĐG 30.12.2022</v>
          </cell>
        </row>
        <row r="100">
          <cell r="B100" t="str">
            <v>Cam1220.cth.vmd</v>
          </cell>
          <cell r="C100" t="str">
            <v>Cam đường canh sinh trưởng tốt, chưa thu hoạch, vượt mật độ</v>
          </cell>
          <cell r="D100" t="str">
            <v>12cm ≤ đk gốc &lt; 20cm</v>
          </cell>
          <cell r="E100">
            <v>16.129000000000001</v>
          </cell>
          <cell r="F100" t="str">
            <v>cây</v>
          </cell>
          <cell r="G100">
            <v>2000000</v>
          </cell>
          <cell r="H100">
            <v>0.2</v>
          </cell>
          <cell r="I100">
            <v>124000.24800049599</v>
          </cell>
          <cell r="J100" t="str">
            <v>ĐG 30.12.2022</v>
          </cell>
        </row>
        <row r="101">
          <cell r="C101" t="str">
            <v>Cam khác</v>
          </cell>
        </row>
        <row r="102">
          <cell r="B102" t="str">
            <v>Cam#01</v>
          </cell>
          <cell r="C102" t="str">
            <v>Cây cam khác</v>
          </cell>
          <cell r="D102" t="str">
            <v>cây giống</v>
          </cell>
          <cell r="F102" t="str">
            <v>m2</v>
          </cell>
          <cell r="G102">
            <v>70000</v>
          </cell>
          <cell r="H102">
            <v>1</v>
          </cell>
          <cell r="I102">
            <v>70000</v>
          </cell>
          <cell r="J102" t="str">
            <v>ĐG 30.12.2022</v>
          </cell>
        </row>
        <row r="103">
          <cell r="B103" t="str">
            <v>Cam#27</v>
          </cell>
          <cell r="C103" t="str">
            <v>Cây cam khác</v>
          </cell>
          <cell r="D103" t="str">
            <v>2cm ≤ đk gốc &lt; 7cm</v>
          </cell>
          <cell r="E103">
            <v>5</v>
          </cell>
          <cell r="F103" t="str">
            <v>cây</v>
          </cell>
          <cell r="G103">
            <v>200000</v>
          </cell>
          <cell r="H103">
            <v>1</v>
          </cell>
          <cell r="I103">
            <v>40000</v>
          </cell>
          <cell r="J103" t="str">
            <v>ĐG 30.12.2022</v>
          </cell>
        </row>
        <row r="104">
          <cell r="B104" t="str">
            <v>Cam#712</v>
          </cell>
          <cell r="C104" t="str">
            <v>Cây cam khác</v>
          </cell>
          <cell r="D104" t="str">
            <v>7cm ≤ đk gốc &lt; 12cm</v>
          </cell>
          <cell r="E104">
            <v>6.6666666666666696</v>
          </cell>
          <cell r="F104" t="str">
            <v>cây</v>
          </cell>
          <cell r="G104">
            <v>500000</v>
          </cell>
          <cell r="H104">
            <v>1</v>
          </cell>
          <cell r="I104">
            <v>75000</v>
          </cell>
          <cell r="J104" t="str">
            <v>ĐG 30.12.2022</v>
          </cell>
        </row>
        <row r="105">
          <cell r="B105" t="str">
            <v>Cam#1220</v>
          </cell>
          <cell r="C105" t="str">
            <v>Cây cam khác</v>
          </cell>
          <cell r="D105" t="str">
            <v>12cm ≤ đk gốc &lt; 20cm</v>
          </cell>
          <cell r="E105">
            <v>8.3720930232558093</v>
          </cell>
          <cell r="F105" t="str">
            <v>cây</v>
          </cell>
          <cell r="G105">
            <v>700000</v>
          </cell>
          <cell r="H105">
            <v>1</v>
          </cell>
          <cell r="I105">
            <v>83611.111111111095</v>
          </cell>
          <cell r="J105" t="str">
            <v>ĐG 30.12.2022</v>
          </cell>
        </row>
        <row r="106">
          <cell r="B106" t="str">
            <v>Cam#20+</v>
          </cell>
          <cell r="C106" t="str">
            <v>Cây cam khác</v>
          </cell>
          <cell r="D106" t="str">
            <v>đk gốc từ 20cm trở lên</v>
          </cell>
          <cell r="E106">
            <v>8.3720930232558093</v>
          </cell>
          <cell r="F106" t="str">
            <v>cây</v>
          </cell>
          <cell r="G106">
            <v>1000000</v>
          </cell>
          <cell r="H106">
            <v>1</v>
          </cell>
          <cell r="I106">
            <v>119444.444444444</v>
          </cell>
          <cell r="J106" t="str">
            <v>ĐG 30.12.2022</v>
          </cell>
        </row>
        <row r="107">
          <cell r="B107" t="str">
            <v>Cam#01vmd</v>
          </cell>
          <cell r="C107" t="str">
            <v>Cây cam khác vượt mật độ</v>
          </cell>
          <cell r="D107" t="str">
            <v>cây giống</v>
          </cell>
          <cell r="F107" t="str">
            <v>m2</v>
          </cell>
          <cell r="G107">
            <v>70000</v>
          </cell>
          <cell r="H107">
            <v>0.5</v>
          </cell>
          <cell r="I107">
            <v>70000</v>
          </cell>
          <cell r="J107" t="str">
            <v>ĐG 30.12.2022</v>
          </cell>
        </row>
        <row r="108">
          <cell r="B108" t="str">
            <v>Cam#27vmd</v>
          </cell>
          <cell r="C108" t="str">
            <v>Cây cam khác vượt mật độ</v>
          </cell>
          <cell r="D108" t="str">
            <v>2cm ≤ đk gốc &lt; 7cm</v>
          </cell>
          <cell r="E108">
            <v>5</v>
          </cell>
          <cell r="F108" t="str">
            <v>cây</v>
          </cell>
          <cell r="G108">
            <v>200000</v>
          </cell>
          <cell r="H108">
            <v>0.5</v>
          </cell>
          <cell r="I108">
            <v>40000</v>
          </cell>
          <cell r="J108" t="str">
            <v>ĐG 30.12.2022</v>
          </cell>
        </row>
        <row r="109">
          <cell r="B109" t="str">
            <v>Cam#712vmd</v>
          </cell>
          <cell r="C109" t="str">
            <v>Cây cam khác vượt mật độ</v>
          </cell>
          <cell r="D109" t="str">
            <v>7cm ≤ đk gốc &lt; 12cm</v>
          </cell>
          <cell r="E109">
            <v>6.6666666666666696</v>
          </cell>
          <cell r="F109" t="str">
            <v>cây</v>
          </cell>
          <cell r="G109">
            <v>500000</v>
          </cell>
          <cell r="H109">
            <v>0.5</v>
          </cell>
          <cell r="I109">
            <v>75000</v>
          </cell>
          <cell r="J109" t="str">
            <v>ĐG 30.12.2022</v>
          </cell>
        </row>
        <row r="110">
          <cell r="B110" t="str">
            <v>Cam#1220vmd</v>
          </cell>
          <cell r="C110" t="str">
            <v>Cây cam khác vượt mật độ</v>
          </cell>
          <cell r="D110" t="str">
            <v>12cm ≤ đk gốc &lt; 20cm</v>
          </cell>
          <cell r="E110">
            <v>8.3720930232558093</v>
          </cell>
          <cell r="F110" t="str">
            <v>cây</v>
          </cell>
          <cell r="G110">
            <v>700000</v>
          </cell>
          <cell r="H110">
            <v>0.5</v>
          </cell>
          <cell r="I110">
            <v>83611.111111111095</v>
          </cell>
          <cell r="J110" t="str">
            <v>ĐG 30.12.2022</v>
          </cell>
        </row>
        <row r="111">
          <cell r="B111" t="str">
            <v>Cam#20+vmd</v>
          </cell>
          <cell r="C111" t="str">
            <v>Cây cam khác vượt mật độ</v>
          </cell>
          <cell r="D111" t="str">
            <v>đk gốc từ 20cm trở lên</v>
          </cell>
          <cell r="E111">
            <v>8.3720930232558093</v>
          </cell>
          <cell r="F111" t="str">
            <v>cây</v>
          </cell>
          <cell r="G111">
            <v>1000000</v>
          </cell>
          <cell r="H111">
            <v>0.5</v>
          </cell>
          <cell r="I111">
            <v>119444.444444444</v>
          </cell>
          <cell r="J111" t="str">
            <v>ĐG 30.12.2022</v>
          </cell>
        </row>
        <row r="112">
          <cell r="C112" t="str">
            <v>Chanh</v>
          </cell>
          <cell r="E112" t="str">
            <v>10.000/1600=6,25</v>
          </cell>
        </row>
        <row r="113">
          <cell r="B113" t="str">
            <v>Chanh01</v>
          </cell>
          <cell r="C113" t="str">
            <v>Cây chanh</v>
          </cell>
          <cell r="D113" t="str">
            <v>cây giống</v>
          </cell>
          <cell r="F113" t="str">
            <v>m2</v>
          </cell>
          <cell r="G113">
            <v>70000</v>
          </cell>
          <cell r="H113">
            <v>1</v>
          </cell>
          <cell r="I113">
            <v>70000</v>
          </cell>
          <cell r="J113" t="str">
            <v>ĐG 30.12.2022</v>
          </cell>
        </row>
        <row r="114">
          <cell r="B114" t="str">
            <v>Chanh27</v>
          </cell>
          <cell r="C114" t="str">
            <v>Cây chanh</v>
          </cell>
          <cell r="D114" t="str">
            <v>2cm ≤ đk gốc &lt; 7cm</v>
          </cell>
          <cell r="E114">
            <v>6.25</v>
          </cell>
          <cell r="F114" t="str">
            <v>cây</v>
          </cell>
          <cell r="G114">
            <v>200000</v>
          </cell>
          <cell r="H114">
            <v>1</v>
          </cell>
          <cell r="I114">
            <v>32000</v>
          </cell>
          <cell r="J114" t="str">
            <v>ĐG 30.12.2022</v>
          </cell>
        </row>
        <row r="115">
          <cell r="B115" t="str">
            <v>Chanh712</v>
          </cell>
          <cell r="C115" t="str">
            <v>Cây chanh</v>
          </cell>
          <cell r="D115" t="str">
            <v>7cm ≤ đk gốc &lt; 12cm</v>
          </cell>
          <cell r="E115">
            <v>6.25</v>
          </cell>
          <cell r="F115" t="str">
            <v>cây</v>
          </cell>
          <cell r="G115">
            <v>500000</v>
          </cell>
          <cell r="H115">
            <v>1</v>
          </cell>
          <cell r="I115">
            <v>80000</v>
          </cell>
          <cell r="J115" t="str">
            <v>ĐG 30.12.2022</v>
          </cell>
        </row>
        <row r="116">
          <cell r="B116" t="str">
            <v>Chanh1220</v>
          </cell>
          <cell r="C116" t="str">
            <v>Cây chanh</v>
          </cell>
          <cell r="D116" t="str">
            <v>12cm ≤ đk gốc &lt; 20cm</v>
          </cell>
          <cell r="E116">
            <v>6.25</v>
          </cell>
          <cell r="F116" t="str">
            <v>cây</v>
          </cell>
          <cell r="G116">
            <v>700000</v>
          </cell>
          <cell r="H116">
            <v>1</v>
          </cell>
          <cell r="I116">
            <v>112000</v>
          </cell>
          <cell r="J116" t="str">
            <v>ĐG 30.12.2022</v>
          </cell>
        </row>
        <row r="117">
          <cell r="B117" t="str">
            <v>Chanh20+</v>
          </cell>
          <cell r="C117" t="str">
            <v>Cây chanh</v>
          </cell>
          <cell r="D117" t="str">
            <v>đk gốc từ 20cm trở lên</v>
          </cell>
          <cell r="E117">
            <v>6.25</v>
          </cell>
          <cell r="F117" t="str">
            <v>cây</v>
          </cell>
          <cell r="G117">
            <v>1000000</v>
          </cell>
          <cell r="H117">
            <v>1</v>
          </cell>
          <cell r="I117">
            <v>160000</v>
          </cell>
          <cell r="J117" t="str">
            <v>ĐG 30.12.2022</v>
          </cell>
        </row>
        <row r="118">
          <cell r="B118" t="str">
            <v>Chanh01vmd</v>
          </cell>
          <cell r="C118" t="str">
            <v>Cây chanh vượt mật độ</v>
          </cell>
          <cell r="D118" t="str">
            <v>cây giống</v>
          </cell>
          <cell r="E118">
            <v>6.25</v>
          </cell>
          <cell r="F118" t="str">
            <v>m2</v>
          </cell>
          <cell r="G118">
            <v>70000</v>
          </cell>
          <cell r="H118">
            <v>0.5</v>
          </cell>
          <cell r="I118">
            <v>70000</v>
          </cell>
          <cell r="J118" t="str">
            <v>ĐG 30.12.2022</v>
          </cell>
        </row>
        <row r="119">
          <cell r="B119" t="str">
            <v>Chanh27vmd</v>
          </cell>
          <cell r="C119" t="str">
            <v>Cây chanh vượt mật độ</v>
          </cell>
          <cell r="D119" t="str">
            <v>2cm ≤ đk gốc &lt; 7cm</v>
          </cell>
          <cell r="E119">
            <v>6.25</v>
          </cell>
          <cell r="F119" t="str">
            <v>cây</v>
          </cell>
          <cell r="G119">
            <v>200000</v>
          </cell>
          <cell r="H119">
            <v>0.5</v>
          </cell>
          <cell r="I119">
            <v>32000</v>
          </cell>
          <cell r="J119" t="str">
            <v>ĐG 30.12.2022</v>
          </cell>
        </row>
        <row r="120">
          <cell r="B120" t="str">
            <v>Chanh712vmd</v>
          </cell>
          <cell r="C120" t="str">
            <v>Cây chanh vượt mật độ</v>
          </cell>
          <cell r="D120" t="str">
            <v>7cm ≤ đk gốc &lt; 12cm</v>
          </cell>
          <cell r="E120">
            <v>6.25</v>
          </cell>
          <cell r="F120" t="str">
            <v>cây</v>
          </cell>
          <cell r="G120">
            <v>500000</v>
          </cell>
          <cell r="H120">
            <v>0.5</v>
          </cell>
          <cell r="I120">
            <v>80000</v>
          </cell>
          <cell r="J120" t="str">
            <v>ĐG 30.12.2022</v>
          </cell>
        </row>
        <row r="121">
          <cell r="B121" t="str">
            <v>Chanh1220vmd</v>
          </cell>
          <cell r="C121" t="str">
            <v>Cây chanh vượt mật độ</v>
          </cell>
          <cell r="D121" t="str">
            <v>12cm ≤ đk gốc &lt; 20cm</v>
          </cell>
          <cell r="E121">
            <v>6.25</v>
          </cell>
          <cell r="F121" t="str">
            <v>cây</v>
          </cell>
          <cell r="G121">
            <v>700000</v>
          </cell>
          <cell r="H121">
            <v>0.5</v>
          </cell>
          <cell r="I121">
            <v>112000</v>
          </cell>
          <cell r="J121" t="str">
            <v>ĐG 30.12.2022</v>
          </cell>
        </row>
        <row r="122">
          <cell r="B122" t="str">
            <v>Chanh20+vmd</v>
          </cell>
          <cell r="C122" t="str">
            <v>Cây chanh vượt mật độ</v>
          </cell>
          <cell r="D122" t="str">
            <v>đk gốc từ 20cm trở lên</v>
          </cell>
          <cell r="E122">
            <v>6.25</v>
          </cell>
          <cell r="F122" t="str">
            <v>cây</v>
          </cell>
          <cell r="G122">
            <v>1000000</v>
          </cell>
          <cell r="H122">
            <v>0.5</v>
          </cell>
          <cell r="I122">
            <v>160000</v>
          </cell>
          <cell r="J122" t="str">
            <v>ĐG 30.12.2022</v>
          </cell>
        </row>
        <row r="123">
          <cell r="B123" t="str">
            <v>Chanh01mt</v>
          </cell>
          <cell r="C123" t="str">
            <v>Cây chanh mới trồng</v>
          </cell>
          <cell r="D123" t="str">
            <v>cây giống</v>
          </cell>
          <cell r="F123" t="str">
            <v>m2</v>
          </cell>
          <cell r="G123">
            <v>70000</v>
          </cell>
          <cell r="H123">
            <v>0.2</v>
          </cell>
          <cell r="I123">
            <v>70000</v>
          </cell>
          <cell r="J123" t="str">
            <v>ĐG 12.2021</v>
          </cell>
        </row>
        <row r="124">
          <cell r="B124" t="str">
            <v>Chanh27mt</v>
          </cell>
          <cell r="C124" t="str">
            <v>Cây chanh mới trồng</v>
          </cell>
          <cell r="D124" t="str">
            <v>2cm ≤ đk gốc &lt; 7cm</v>
          </cell>
          <cell r="E124">
            <v>5</v>
          </cell>
          <cell r="F124" t="str">
            <v>cây</v>
          </cell>
          <cell r="G124">
            <v>200000</v>
          </cell>
          <cell r="H124">
            <v>0.2</v>
          </cell>
          <cell r="I124">
            <v>40000</v>
          </cell>
          <cell r="J124" t="str">
            <v>ĐG 12.2021</v>
          </cell>
        </row>
        <row r="125">
          <cell r="B125" t="str">
            <v>Chanh712mt</v>
          </cell>
          <cell r="C125" t="str">
            <v>Cây chanh mới trồng</v>
          </cell>
          <cell r="D125" t="str">
            <v>7cm ≤ đk gốc &lt; 12cm</v>
          </cell>
          <cell r="E125">
            <v>6.6666666666666696</v>
          </cell>
          <cell r="F125" t="str">
            <v>cây</v>
          </cell>
          <cell r="G125">
            <v>500000</v>
          </cell>
          <cell r="H125">
            <v>0.2</v>
          </cell>
          <cell r="I125">
            <v>75000</v>
          </cell>
          <cell r="J125" t="str">
            <v>ĐG 12.2021</v>
          </cell>
        </row>
        <row r="126">
          <cell r="B126" t="str">
            <v>Chanh1220mt</v>
          </cell>
          <cell r="C126" t="str">
            <v>Cây chanh mới trồng</v>
          </cell>
          <cell r="D126" t="str">
            <v>12cm ≤ đk gốc &lt; 20cm</v>
          </cell>
          <cell r="E126">
            <v>8.3720930232558093</v>
          </cell>
          <cell r="F126" t="str">
            <v>cây</v>
          </cell>
          <cell r="G126">
            <v>700000</v>
          </cell>
          <cell r="H126">
            <v>0.2</v>
          </cell>
          <cell r="I126">
            <v>83611.111111111095</v>
          </cell>
          <cell r="J126" t="str">
            <v>ĐG 12.2021</v>
          </cell>
        </row>
        <row r="127">
          <cell r="B127" t="str">
            <v>Chanh20+mt</v>
          </cell>
          <cell r="C127" t="str">
            <v>Cây chanh mới trồng</v>
          </cell>
          <cell r="D127" t="str">
            <v>đk gốc từ 20cm trở lên</v>
          </cell>
          <cell r="E127">
            <v>8.3720930232558093</v>
          </cell>
          <cell r="F127" t="str">
            <v>cây</v>
          </cell>
          <cell r="G127">
            <v>1000000</v>
          </cell>
          <cell r="H127">
            <v>0.2</v>
          </cell>
          <cell r="I127">
            <v>119444.444444444</v>
          </cell>
          <cell r="J127" t="str">
            <v>ĐG 12.2021</v>
          </cell>
        </row>
        <row r="128">
          <cell r="C128" t="str">
            <v>Quất</v>
          </cell>
          <cell r="E128" t="str">
            <v>10.000/2600=3,84</v>
          </cell>
        </row>
        <row r="129">
          <cell r="B129" t="str">
            <v>Quất01</v>
          </cell>
          <cell r="C129" t="str">
            <v>Cây quất</v>
          </cell>
          <cell r="D129" t="str">
            <v>cây giống</v>
          </cell>
          <cell r="F129" t="str">
            <v>m2</v>
          </cell>
          <cell r="G129">
            <v>70000</v>
          </cell>
          <cell r="H129">
            <v>1</v>
          </cell>
          <cell r="I129">
            <v>70000</v>
          </cell>
          <cell r="J129" t="str">
            <v>ĐG 30.12.2022</v>
          </cell>
        </row>
        <row r="130">
          <cell r="B130" t="str">
            <v>Quất27</v>
          </cell>
          <cell r="C130" t="str">
            <v>Cây quất</v>
          </cell>
          <cell r="D130" t="str">
            <v>2cm ≤ đk gốc &lt; 7cm</v>
          </cell>
          <cell r="E130">
            <v>3.84</v>
          </cell>
          <cell r="F130" t="str">
            <v>cây</v>
          </cell>
          <cell r="G130">
            <v>200000</v>
          </cell>
          <cell r="H130">
            <v>1</v>
          </cell>
          <cell r="I130">
            <v>52083.333333333299</v>
          </cell>
          <cell r="J130" t="str">
            <v>ĐG 30.12.2022</v>
          </cell>
        </row>
        <row r="131">
          <cell r="B131" t="str">
            <v>Quất712</v>
          </cell>
          <cell r="C131" t="str">
            <v>Cây quất</v>
          </cell>
          <cell r="D131" t="str">
            <v>7cm ≤ đk gốc &lt; 12cm</v>
          </cell>
          <cell r="E131">
            <v>3.84</v>
          </cell>
          <cell r="F131" t="str">
            <v>cây</v>
          </cell>
          <cell r="G131">
            <v>500000</v>
          </cell>
          <cell r="H131">
            <v>1</v>
          </cell>
          <cell r="I131">
            <v>130208.33333333299</v>
          </cell>
          <cell r="J131" t="str">
            <v>ĐG 30.12.2022</v>
          </cell>
        </row>
        <row r="132">
          <cell r="B132" t="str">
            <v>Quất1220</v>
          </cell>
          <cell r="C132" t="str">
            <v>Cây quất</v>
          </cell>
          <cell r="D132" t="str">
            <v>12cm ≤ đk gốc &lt; 20cm</v>
          </cell>
          <cell r="E132">
            <v>3.84</v>
          </cell>
          <cell r="F132" t="str">
            <v>cây</v>
          </cell>
          <cell r="G132">
            <v>700000</v>
          </cell>
          <cell r="H132">
            <v>1</v>
          </cell>
          <cell r="I132">
            <v>182291.66666666701</v>
          </cell>
          <cell r="J132" t="str">
            <v>ĐG 30.12.2022</v>
          </cell>
        </row>
        <row r="133">
          <cell r="B133" t="str">
            <v>Quất20+</v>
          </cell>
          <cell r="C133" t="str">
            <v>Cây quất</v>
          </cell>
          <cell r="D133" t="str">
            <v>đk gốc từ 20cm trở lên</v>
          </cell>
          <cell r="E133">
            <v>3.84</v>
          </cell>
          <cell r="F133" t="str">
            <v>cây</v>
          </cell>
          <cell r="G133">
            <v>1000000</v>
          </cell>
          <cell r="H133">
            <v>1</v>
          </cell>
          <cell r="I133">
            <v>260416.66666666701</v>
          </cell>
          <cell r="J133" t="str">
            <v>ĐG 30.12.2022</v>
          </cell>
        </row>
        <row r="134">
          <cell r="B134" t="str">
            <v>Quấtchum27</v>
          </cell>
          <cell r="C134" t="str">
            <v>Cây quất trồng trên chum</v>
          </cell>
          <cell r="D134" t="str">
            <v>2cm ≤ đk gốc &lt; 7cm</v>
          </cell>
          <cell r="E134">
            <v>3.84</v>
          </cell>
          <cell r="F134" t="str">
            <v>cây</v>
          </cell>
          <cell r="G134">
            <v>40000</v>
          </cell>
          <cell r="H134">
            <v>1</v>
          </cell>
          <cell r="J134" t="str">
            <v>ĐG 12.2021</v>
          </cell>
        </row>
        <row r="135">
          <cell r="B135" t="str">
            <v>Quất01vmd</v>
          </cell>
          <cell r="C135" t="str">
            <v>Cây quất vượt mật độ</v>
          </cell>
          <cell r="D135" t="str">
            <v>cây giống</v>
          </cell>
          <cell r="E135">
            <v>3.84</v>
          </cell>
          <cell r="F135" t="str">
            <v>m2</v>
          </cell>
          <cell r="G135">
            <v>70000</v>
          </cell>
          <cell r="H135">
            <v>0.5</v>
          </cell>
          <cell r="I135">
            <v>70000</v>
          </cell>
          <cell r="J135" t="str">
            <v>ĐG 30.12.2022</v>
          </cell>
        </row>
        <row r="136">
          <cell r="B136" t="str">
            <v>Quất27vmd</v>
          </cell>
          <cell r="C136" t="str">
            <v>Cây quất vượt mật độ</v>
          </cell>
          <cell r="D136" t="str">
            <v>2cm ≤ đk gốc &lt; 7cm</v>
          </cell>
          <cell r="E136">
            <v>3.84</v>
          </cell>
          <cell r="F136" t="str">
            <v>cây</v>
          </cell>
          <cell r="G136">
            <v>200000</v>
          </cell>
          <cell r="H136">
            <v>0.5</v>
          </cell>
          <cell r="I136">
            <v>52083.333333333299</v>
          </cell>
          <cell r="J136" t="str">
            <v>ĐG 30.12.2022</v>
          </cell>
        </row>
        <row r="137">
          <cell r="B137" t="str">
            <v>Quất712vmd</v>
          </cell>
          <cell r="C137" t="str">
            <v>Cây quất vượt mật độ</v>
          </cell>
          <cell r="D137" t="str">
            <v>7cm ≤ đk gốc &lt; 12cm</v>
          </cell>
          <cell r="E137">
            <v>3.84</v>
          </cell>
          <cell r="F137" t="str">
            <v>cây</v>
          </cell>
          <cell r="G137">
            <v>500000</v>
          </cell>
          <cell r="H137">
            <v>0.5</v>
          </cell>
          <cell r="I137">
            <v>130208.33333333299</v>
          </cell>
          <cell r="J137" t="str">
            <v>ĐG 30.12.2022</v>
          </cell>
        </row>
        <row r="138">
          <cell r="B138" t="str">
            <v>Quất1220vmd</v>
          </cell>
          <cell r="C138" t="str">
            <v>Cây quất vượt mật độ</v>
          </cell>
          <cell r="D138" t="str">
            <v>12cm ≤ đk gốc &lt; 20cm</v>
          </cell>
          <cell r="E138">
            <v>3.84</v>
          </cell>
          <cell r="F138" t="str">
            <v>cây</v>
          </cell>
          <cell r="G138">
            <v>700000</v>
          </cell>
          <cell r="H138">
            <v>0.5</v>
          </cell>
          <cell r="I138">
            <v>182291.66666666701</v>
          </cell>
          <cell r="J138" t="str">
            <v>ĐG 30.12.2022</v>
          </cell>
        </row>
        <row r="139">
          <cell r="B139" t="str">
            <v>Quất20+vmd</v>
          </cell>
          <cell r="C139" t="str">
            <v>Cây quất vượt mật độ</v>
          </cell>
          <cell r="D139" t="str">
            <v>đk gốc từ 20cm trở lên</v>
          </cell>
          <cell r="E139">
            <v>3.84</v>
          </cell>
          <cell r="F139" t="str">
            <v>cây</v>
          </cell>
          <cell r="G139">
            <v>1000000</v>
          </cell>
          <cell r="H139">
            <v>0.5</v>
          </cell>
          <cell r="I139">
            <v>260416.66666666701</v>
          </cell>
          <cell r="J139" t="str">
            <v>ĐG 30.12.2022</v>
          </cell>
        </row>
        <row r="140">
          <cell r="C140" t="str">
            <v>Đu đủ</v>
          </cell>
          <cell r="E140">
            <v>4.5454545454545503</v>
          </cell>
        </row>
        <row r="141">
          <cell r="B141" t="str">
            <v>Đủ25.vmd</v>
          </cell>
          <cell r="C141" t="str">
            <v>Cây đu đủ vượt mật độ</v>
          </cell>
          <cell r="D141" t="str">
            <v>0,2m ≤ cao &lt; 0,5m (chưa có quả)</v>
          </cell>
          <cell r="E141">
            <v>4.54</v>
          </cell>
          <cell r="F141" t="str">
            <v>cây</v>
          </cell>
          <cell r="G141">
            <v>15000</v>
          </cell>
          <cell r="H141">
            <v>0.5</v>
          </cell>
          <cell r="I141">
            <v>15000</v>
          </cell>
          <cell r="J141" t="str">
            <v>ĐG 30.12.2022</v>
          </cell>
        </row>
        <row r="142">
          <cell r="B142" t="str">
            <v>Đủ5+chq.vmd</v>
          </cell>
          <cell r="C142" t="str">
            <v>Cây đu đủ vượt mật độ</v>
          </cell>
          <cell r="D142" t="str">
            <v>cao ≥ 0,5m, chưa có quả</v>
          </cell>
          <cell r="E142">
            <v>4.54</v>
          </cell>
          <cell r="F142" t="str">
            <v>cây</v>
          </cell>
          <cell r="G142">
            <v>30000</v>
          </cell>
          <cell r="H142">
            <v>0.5</v>
          </cell>
          <cell r="I142">
            <v>6607.9295154185002</v>
          </cell>
          <cell r="J142" t="str">
            <v>ĐG 30.12.2022</v>
          </cell>
        </row>
        <row r="143">
          <cell r="B143" t="str">
            <v>Đủ5+coq.vmd</v>
          </cell>
          <cell r="C143" t="str">
            <v>Cây đu đủ vượt mật độ</v>
          </cell>
          <cell r="D143" t="str">
            <v>cao ≥ 0,5m, đang có quả</v>
          </cell>
          <cell r="E143">
            <v>4.54</v>
          </cell>
          <cell r="F143" t="str">
            <v>cây</v>
          </cell>
          <cell r="G143">
            <v>60000</v>
          </cell>
          <cell r="H143">
            <v>0.5</v>
          </cell>
          <cell r="I143">
            <v>13215.859030837</v>
          </cell>
          <cell r="J143" t="str">
            <v>ĐG 30.12.2022</v>
          </cell>
        </row>
        <row r="144">
          <cell r="B144" t="str">
            <v>Đủ01</v>
          </cell>
          <cell r="C144" t="str">
            <v>Cây đu đủ</v>
          </cell>
          <cell r="D144" t="str">
            <v>cây giống</v>
          </cell>
          <cell r="E144">
            <v>4.54</v>
          </cell>
          <cell r="F144" t="str">
            <v>m2</v>
          </cell>
          <cell r="G144">
            <v>50000</v>
          </cell>
          <cell r="H144">
            <v>1</v>
          </cell>
          <cell r="I144">
            <v>11013.215859030801</v>
          </cell>
          <cell r="J144" t="str">
            <v>ĐG 30.12.2022</v>
          </cell>
        </row>
        <row r="145">
          <cell r="B145" t="str">
            <v>Đủ25</v>
          </cell>
          <cell r="C145" t="str">
            <v>Cây đu đủ</v>
          </cell>
          <cell r="D145" t="str">
            <v>0,2m ≤ cao &lt; 0,5m (chưa có quả)</v>
          </cell>
          <cell r="E145">
            <v>4.54</v>
          </cell>
          <cell r="F145" t="str">
            <v>cây</v>
          </cell>
          <cell r="G145">
            <v>15000</v>
          </cell>
          <cell r="H145">
            <v>1</v>
          </cell>
          <cell r="I145">
            <v>3303.9647577092501</v>
          </cell>
          <cell r="J145" t="str">
            <v>ĐG 30.12.2022</v>
          </cell>
        </row>
        <row r="146">
          <cell r="B146" t="str">
            <v>Đủ5+chq</v>
          </cell>
          <cell r="C146" t="str">
            <v>Cây đu đủ</v>
          </cell>
          <cell r="D146" t="str">
            <v>cao ≥ 0,5m, chưa có quả</v>
          </cell>
          <cell r="E146">
            <v>4.54</v>
          </cell>
          <cell r="F146" t="str">
            <v>cây</v>
          </cell>
          <cell r="G146">
            <v>30000</v>
          </cell>
          <cell r="H146">
            <v>1</v>
          </cell>
          <cell r="I146">
            <v>6607.9295154185002</v>
          </cell>
          <cell r="J146" t="str">
            <v>ĐG 30.12.2022</v>
          </cell>
        </row>
        <row r="147">
          <cell r="B147" t="str">
            <v>Đủ5+coq</v>
          </cell>
          <cell r="C147" t="str">
            <v>Cây đu đủ</v>
          </cell>
          <cell r="D147" t="str">
            <v>cao ≥ 0,5m, đang có quả</v>
          </cell>
          <cell r="E147">
            <v>4.54</v>
          </cell>
          <cell r="F147" t="str">
            <v>cây</v>
          </cell>
          <cell r="G147">
            <v>60000</v>
          </cell>
          <cell r="H147">
            <v>1</v>
          </cell>
          <cell r="I147">
            <v>13215.859030837</v>
          </cell>
          <cell r="J147" t="str">
            <v>ĐG 30.12.2022</v>
          </cell>
        </row>
        <row r="148">
          <cell r="C148" t="str">
            <v>Chuối</v>
          </cell>
          <cell r="E148">
            <v>4</v>
          </cell>
        </row>
        <row r="149">
          <cell r="B149" t="str">
            <v>Chuối10-</v>
          </cell>
          <cell r="C149" t="str">
            <v>Chuối</v>
          </cell>
          <cell r="D149" t="str">
            <v>đk gốc &lt; 10cm</v>
          </cell>
          <cell r="E149">
            <v>4</v>
          </cell>
          <cell r="F149" t="str">
            <v>cây</v>
          </cell>
          <cell r="G149">
            <v>30000</v>
          </cell>
          <cell r="H149">
            <v>1</v>
          </cell>
          <cell r="I149">
            <v>7500</v>
          </cell>
          <cell r="J149" t="str">
            <v>ĐG 30.12.2022</v>
          </cell>
        </row>
        <row r="150">
          <cell r="B150" t="str">
            <v>Chuối10+</v>
          </cell>
          <cell r="C150" t="str">
            <v>Chuối</v>
          </cell>
          <cell r="D150" t="str">
            <v>đk gốc ≥ 10cm</v>
          </cell>
          <cell r="E150">
            <v>4</v>
          </cell>
          <cell r="F150" t="str">
            <v>cây</v>
          </cell>
          <cell r="G150">
            <v>60000</v>
          </cell>
          <cell r="H150">
            <v>1</v>
          </cell>
          <cell r="I150">
            <v>15000</v>
          </cell>
          <cell r="J150" t="str">
            <v>ĐG 30.12.2022</v>
          </cell>
        </row>
        <row r="151">
          <cell r="B151" t="str">
            <v>Chuối10-vmd</v>
          </cell>
          <cell r="C151" t="str">
            <v>Chuối vượt mật độ</v>
          </cell>
          <cell r="D151" t="str">
            <v>đk gốc &lt; 10cm</v>
          </cell>
          <cell r="E151">
            <v>4</v>
          </cell>
          <cell r="F151" t="str">
            <v>cây</v>
          </cell>
          <cell r="G151">
            <v>30000</v>
          </cell>
          <cell r="H151">
            <v>0.5</v>
          </cell>
          <cell r="I151">
            <v>7500</v>
          </cell>
          <cell r="J151" t="str">
            <v>ĐG 30.12.2022</v>
          </cell>
        </row>
        <row r="152">
          <cell r="B152" t="str">
            <v>Chuối10+vmd</v>
          </cell>
          <cell r="C152" t="str">
            <v>Chuối vượt mật độ</v>
          </cell>
          <cell r="D152" t="str">
            <v>đk gốc ≥ 10cm</v>
          </cell>
          <cell r="E152">
            <v>4</v>
          </cell>
          <cell r="F152" t="str">
            <v>cây</v>
          </cell>
          <cell r="G152">
            <v>60000</v>
          </cell>
          <cell r="H152">
            <v>0.5</v>
          </cell>
          <cell r="I152">
            <v>15000</v>
          </cell>
          <cell r="J152" t="str">
            <v>ĐG 30.12.2022</v>
          </cell>
        </row>
        <row r="153">
          <cell r="B153" t="str">
            <v>Chuối10-#</v>
          </cell>
          <cell r="C153" t="str">
            <v>Chuối trồng trên đất GTTL</v>
          </cell>
          <cell r="D153" t="str">
            <v>đk gốc &lt; 10cm</v>
          </cell>
          <cell r="E153">
            <v>4</v>
          </cell>
          <cell r="F153" t="str">
            <v>cây</v>
          </cell>
          <cell r="G153">
            <v>30000</v>
          </cell>
          <cell r="H153">
            <v>0.3</v>
          </cell>
          <cell r="I153">
            <v>7500</v>
          </cell>
          <cell r="J153" t="str">
            <v>ĐG 30.12.2022</v>
          </cell>
        </row>
        <row r="154">
          <cell r="B154" t="str">
            <v>Chuối10+#</v>
          </cell>
          <cell r="C154" t="str">
            <v>Chuối trồng trên đất GTTL</v>
          </cell>
          <cell r="D154" t="str">
            <v>đk gốc ≥ 10cm</v>
          </cell>
          <cell r="E154">
            <v>4</v>
          </cell>
          <cell r="F154" t="str">
            <v>cây</v>
          </cell>
          <cell r="G154">
            <v>60000</v>
          </cell>
          <cell r="H154">
            <v>0.3</v>
          </cell>
          <cell r="I154">
            <v>15000</v>
          </cell>
          <cell r="J154" t="str">
            <v>ĐG 30.12.2022</v>
          </cell>
        </row>
        <row r="155">
          <cell r="C155" t="str">
            <v>Nhãn</v>
          </cell>
          <cell r="E155">
            <v>25</v>
          </cell>
        </row>
        <row r="156">
          <cell r="B156" t="str">
            <v>Nhãn01</v>
          </cell>
          <cell r="C156" t="str">
            <v>Cây nhãn</v>
          </cell>
          <cell r="D156" t="str">
            <v>cây giống</v>
          </cell>
          <cell r="E156">
            <v>25</v>
          </cell>
          <cell r="F156" t="str">
            <v>m2</v>
          </cell>
          <cell r="G156">
            <v>180000</v>
          </cell>
          <cell r="H156">
            <v>1</v>
          </cell>
          <cell r="I156">
            <v>180000</v>
          </cell>
          <cell r="J156" t="str">
            <v>ĐG 30.12.2022</v>
          </cell>
        </row>
        <row r="157">
          <cell r="B157" t="str">
            <v>Nhãn25</v>
          </cell>
          <cell r="C157" t="str">
            <v>Cây nhãn</v>
          </cell>
          <cell r="D157" t="str">
            <v>2cm ≤ đk gốc &lt; 5cm</v>
          </cell>
          <cell r="E157">
            <v>25</v>
          </cell>
          <cell r="F157" t="str">
            <v>cây</v>
          </cell>
          <cell r="G157">
            <v>370000</v>
          </cell>
          <cell r="H157">
            <v>1</v>
          </cell>
          <cell r="I157">
            <v>14800</v>
          </cell>
          <cell r="J157" t="str">
            <v>ĐG 30.12.2022</v>
          </cell>
        </row>
        <row r="158">
          <cell r="B158" t="str">
            <v>Nhãn57</v>
          </cell>
          <cell r="C158" t="str">
            <v>Cây nhãn</v>
          </cell>
          <cell r="D158" t="str">
            <v>5cm ≤ đk gốc &lt; 7cm</v>
          </cell>
          <cell r="E158">
            <v>25</v>
          </cell>
          <cell r="F158" t="str">
            <v>cây</v>
          </cell>
          <cell r="G158">
            <v>1125000</v>
          </cell>
          <cell r="H158">
            <v>1</v>
          </cell>
          <cell r="I158">
            <v>45000</v>
          </cell>
          <cell r="J158" t="str">
            <v>ĐG 30.12.2022</v>
          </cell>
        </row>
        <row r="159">
          <cell r="B159" t="str">
            <v>Nhãn712</v>
          </cell>
          <cell r="C159" t="str">
            <v>Cây nhãn</v>
          </cell>
          <cell r="D159" t="str">
            <v>7cm ≤ đk gốc &lt; 12cm</v>
          </cell>
          <cell r="E159">
            <v>25</v>
          </cell>
          <cell r="F159" t="str">
            <v>cây</v>
          </cell>
          <cell r="G159">
            <v>2700000</v>
          </cell>
          <cell r="H159">
            <v>1</v>
          </cell>
          <cell r="I159">
            <v>108000</v>
          </cell>
          <cell r="J159" t="str">
            <v>ĐG 30.12.2022</v>
          </cell>
        </row>
        <row r="160">
          <cell r="B160" t="str">
            <v>Nhãn1220</v>
          </cell>
          <cell r="C160" t="str">
            <v>Cây nhãn</v>
          </cell>
          <cell r="D160" t="str">
            <v>12cm ≤ đk gốc &lt; 20cm</v>
          </cell>
          <cell r="E160">
            <v>25</v>
          </cell>
          <cell r="F160" t="str">
            <v>cây</v>
          </cell>
          <cell r="G160">
            <v>3750000</v>
          </cell>
          <cell r="H160">
            <v>1</v>
          </cell>
          <cell r="I160">
            <v>150000</v>
          </cell>
          <cell r="J160" t="str">
            <v>ĐG 30.12.2022</v>
          </cell>
        </row>
        <row r="161">
          <cell r="B161" t="str">
            <v>Nhãn2030</v>
          </cell>
          <cell r="C161" t="str">
            <v>Cây nhãn</v>
          </cell>
          <cell r="D161" t="str">
            <v>20cm ≤ đk gốc &lt; 30cm</v>
          </cell>
          <cell r="E161">
            <v>25</v>
          </cell>
          <cell r="F161" t="str">
            <v>cây</v>
          </cell>
          <cell r="G161">
            <v>3850000</v>
          </cell>
          <cell r="H161">
            <v>1</v>
          </cell>
          <cell r="I161">
            <v>154000</v>
          </cell>
          <cell r="J161" t="str">
            <v>ĐG 30.12.2022</v>
          </cell>
        </row>
        <row r="162">
          <cell r="B162" t="str">
            <v>Nhãn30+</v>
          </cell>
          <cell r="C162" t="str">
            <v>Cây nhãn</v>
          </cell>
          <cell r="D162" t="str">
            <v>đk gốc từ 30cm trở lên</v>
          </cell>
          <cell r="E162">
            <v>25</v>
          </cell>
          <cell r="F162" t="str">
            <v>cây</v>
          </cell>
          <cell r="G162">
            <v>4500000</v>
          </cell>
          <cell r="H162">
            <v>1</v>
          </cell>
          <cell r="I162">
            <v>180000</v>
          </cell>
          <cell r="J162" t="str">
            <v>ĐG 30.12.2022</v>
          </cell>
        </row>
        <row r="163">
          <cell r="B163" t="str">
            <v>Nhãn01vmd</v>
          </cell>
          <cell r="C163" t="str">
            <v>Cây nhãn vượt mật độ</v>
          </cell>
          <cell r="D163" t="str">
            <v>cây giống</v>
          </cell>
          <cell r="E163">
            <v>25</v>
          </cell>
          <cell r="F163" t="str">
            <v>m2</v>
          </cell>
          <cell r="G163">
            <v>180000</v>
          </cell>
          <cell r="H163">
            <v>0.5</v>
          </cell>
          <cell r="I163">
            <v>180000</v>
          </cell>
          <cell r="J163" t="str">
            <v>ĐG 30.12.2022</v>
          </cell>
        </row>
        <row r="164">
          <cell r="B164" t="str">
            <v>Nhãn25vmd</v>
          </cell>
          <cell r="C164" t="str">
            <v>Cây nhãn vượt mật độ</v>
          </cell>
          <cell r="D164" t="str">
            <v>2cm ≤ đk gốc &lt; 5cm</v>
          </cell>
          <cell r="E164">
            <v>25</v>
          </cell>
          <cell r="F164" t="str">
            <v>cây</v>
          </cell>
          <cell r="G164">
            <v>370000</v>
          </cell>
          <cell r="H164">
            <v>0.5</v>
          </cell>
          <cell r="I164">
            <v>14800</v>
          </cell>
          <cell r="J164" t="str">
            <v>ĐG 30.12.2022</v>
          </cell>
        </row>
        <row r="165">
          <cell r="B165" t="str">
            <v>Nhãn57vmd</v>
          </cell>
          <cell r="C165" t="str">
            <v>Cây nhãn vượt mật độ</v>
          </cell>
          <cell r="D165" t="str">
            <v>5cm ≤ đk gốc &lt; 7cm</v>
          </cell>
          <cell r="E165">
            <v>25</v>
          </cell>
          <cell r="F165" t="str">
            <v>cây</v>
          </cell>
          <cell r="G165">
            <v>1125000</v>
          </cell>
          <cell r="H165">
            <v>0.5</v>
          </cell>
          <cell r="I165">
            <v>45000</v>
          </cell>
          <cell r="J165" t="str">
            <v>ĐG 30.12.2022</v>
          </cell>
        </row>
        <row r="166">
          <cell r="B166" t="str">
            <v>Nhãn712vmd</v>
          </cell>
          <cell r="C166" t="str">
            <v>Cây nhãn vượt mật độ</v>
          </cell>
          <cell r="D166" t="str">
            <v>7cm ≤ đk gốc &lt; 12cm</v>
          </cell>
          <cell r="E166">
            <v>25</v>
          </cell>
          <cell r="F166" t="str">
            <v>cây</v>
          </cell>
          <cell r="G166">
            <v>2700000</v>
          </cell>
          <cell r="H166">
            <v>0.5</v>
          </cell>
          <cell r="I166">
            <v>108000</v>
          </cell>
          <cell r="J166" t="str">
            <v>ĐG 30.12.2022</v>
          </cell>
        </row>
        <row r="167">
          <cell r="B167" t="str">
            <v>Nhãn1220vmd</v>
          </cell>
          <cell r="C167" t="str">
            <v>Cây nhãn vượt mật độ</v>
          </cell>
          <cell r="D167" t="str">
            <v>12cm ≤ đk gốc &lt; 20cm</v>
          </cell>
          <cell r="E167">
            <v>25</v>
          </cell>
          <cell r="F167" t="str">
            <v>cây</v>
          </cell>
          <cell r="G167">
            <v>3750000</v>
          </cell>
          <cell r="H167">
            <v>0.5</v>
          </cell>
          <cell r="I167">
            <v>150000</v>
          </cell>
          <cell r="J167" t="str">
            <v>ĐG 30.12.2022</v>
          </cell>
        </row>
        <row r="168">
          <cell r="B168" t="str">
            <v>Nhãn2030vmd</v>
          </cell>
          <cell r="C168" t="str">
            <v>Cây nhãn vượt mật độ</v>
          </cell>
          <cell r="D168" t="str">
            <v>20cm ≤ đk gốc &lt; 30cm</v>
          </cell>
          <cell r="E168">
            <v>25</v>
          </cell>
          <cell r="F168" t="str">
            <v>cây</v>
          </cell>
          <cell r="G168">
            <v>3850000</v>
          </cell>
          <cell r="H168">
            <v>0.5</v>
          </cell>
          <cell r="I168">
            <v>154000</v>
          </cell>
          <cell r="J168" t="str">
            <v>ĐG 30.12.2022</v>
          </cell>
        </row>
        <row r="169">
          <cell r="B169" t="str">
            <v>Nhãn30+vmd</v>
          </cell>
          <cell r="C169" t="str">
            <v>Cây nhãn vượt mật độ</v>
          </cell>
          <cell r="D169" t="str">
            <v>đk gốc từ 30cm trở lên</v>
          </cell>
          <cell r="E169">
            <v>25</v>
          </cell>
          <cell r="F169" t="str">
            <v>cây</v>
          </cell>
          <cell r="G169">
            <v>4500000</v>
          </cell>
          <cell r="H169">
            <v>0.5</v>
          </cell>
          <cell r="I169">
            <v>180000</v>
          </cell>
          <cell r="J169" t="str">
            <v>ĐG 30.12.2022</v>
          </cell>
        </row>
        <row r="170">
          <cell r="B170" t="str">
            <v>Nhãn25itl</v>
          </cell>
          <cell r="C170" t="str">
            <v>Cây nhãn (ít tán, ít lá)</v>
          </cell>
          <cell r="D170" t="str">
            <v>2cm ≤ đk gốc &lt; 5cm</v>
          </cell>
          <cell r="E170">
            <v>25</v>
          </cell>
          <cell r="F170" t="str">
            <v>cây</v>
          </cell>
          <cell r="G170">
            <v>370000</v>
          </cell>
          <cell r="H170">
            <v>0.3</v>
          </cell>
          <cell r="I170">
            <v>4440</v>
          </cell>
          <cell r="J170" t="str">
            <v>ĐG 30.12.2022</v>
          </cell>
        </row>
        <row r="171">
          <cell r="B171" t="str">
            <v>Nhãn57itl</v>
          </cell>
          <cell r="C171" t="str">
            <v>Cây nhãn (ít tán, ít lá)</v>
          </cell>
          <cell r="D171" t="str">
            <v>5cm ≤ đk gốc &lt; 7cm</v>
          </cell>
          <cell r="E171">
            <v>25</v>
          </cell>
          <cell r="F171" t="str">
            <v>cây</v>
          </cell>
          <cell r="G171">
            <v>1125000</v>
          </cell>
          <cell r="H171">
            <v>0.3</v>
          </cell>
          <cell r="I171">
            <v>13500</v>
          </cell>
          <cell r="J171" t="str">
            <v>ĐG 30.12.2022</v>
          </cell>
        </row>
        <row r="172">
          <cell r="B172" t="str">
            <v>Nhãn712itl</v>
          </cell>
          <cell r="C172" t="str">
            <v>Cây nhãn (ít tán, ít lá)</v>
          </cell>
          <cell r="D172" t="str">
            <v>7cm ≤ đk gốc &lt; 12cm</v>
          </cell>
          <cell r="E172">
            <v>25</v>
          </cell>
          <cell r="F172" t="str">
            <v>cây</v>
          </cell>
          <cell r="G172">
            <v>2700000</v>
          </cell>
          <cell r="H172">
            <v>0.3</v>
          </cell>
          <cell r="I172">
            <v>32400</v>
          </cell>
          <cell r="J172" t="str">
            <v>ĐG 30.12.2022</v>
          </cell>
        </row>
        <row r="173">
          <cell r="B173" t="str">
            <v>Nhãn1220itl</v>
          </cell>
          <cell r="C173" t="str">
            <v>Cây nhãn (ít tán, ít lá)</v>
          </cell>
          <cell r="D173" t="str">
            <v>12cm ≤ đk gốc &lt; 20cm</v>
          </cell>
          <cell r="E173">
            <v>25</v>
          </cell>
          <cell r="F173" t="str">
            <v>cây</v>
          </cell>
          <cell r="G173">
            <v>3750000</v>
          </cell>
          <cell r="H173">
            <v>0.3</v>
          </cell>
          <cell r="I173">
            <v>150000</v>
          </cell>
          <cell r="J173" t="str">
            <v>ĐG 30.12.2022</v>
          </cell>
        </row>
        <row r="174">
          <cell r="B174" t="str">
            <v>Nhãn2030itl</v>
          </cell>
          <cell r="C174" t="str">
            <v>Cây nhãn (ít tán, ít lá)</v>
          </cell>
          <cell r="D174" t="str">
            <v>20cm ≤ đk gốc &lt; 30cm</v>
          </cell>
          <cell r="E174">
            <v>25</v>
          </cell>
          <cell r="F174" t="str">
            <v>cây</v>
          </cell>
          <cell r="G174">
            <v>3850000</v>
          </cell>
          <cell r="H174">
            <v>0.3</v>
          </cell>
          <cell r="I174">
            <v>154000</v>
          </cell>
          <cell r="J174" t="str">
            <v>ĐG 30.12.2022</v>
          </cell>
        </row>
        <row r="175">
          <cell r="B175" t="str">
            <v>Nhãn30+itl</v>
          </cell>
          <cell r="C175" t="str">
            <v>Cây nhãn (ít tán, ít lá)</v>
          </cell>
          <cell r="D175" t="str">
            <v>đk gốc từ 30cm trở lên</v>
          </cell>
          <cell r="E175">
            <v>25</v>
          </cell>
          <cell r="F175" t="str">
            <v>cây</v>
          </cell>
          <cell r="G175">
            <v>4500000</v>
          </cell>
          <cell r="H175">
            <v>0.3</v>
          </cell>
          <cell r="I175">
            <v>54000</v>
          </cell>
          <cell r="J175" t="str">
            <v>ĐG 30.12.2022</v>
          </cell>
        </row>
        <row r="176">
          <cell r="B176" t="str">
            <v>Nhãn25itl.vmd</v>
          </cell>
          <cell r="C176" t="str">
            <v>Cây nhãn (ít tán, ít lá) vượt mật độ</v>
          </cell>
          <cell r="D176" t="str">
            <v>2cm ≤ đk gốc &lt; 5cm</v>
          </cell>
          <cell r="E176">
            <v>25</v>
          </cell>
          <cell r="F176" t="str">
            <v>cây</v>
          </cell>
          <cell r="G176">
            <v>370000</v>
          </cell>
          <cell r="H176">
            <v>0.15</v>
          </cell>
          <cell r="J176" t="str">
            <v>ĐG 30.12.2022</v>
          </cell>
        </row>
        <row r="177">
          <cell r="B177" t="str">
            <v>Nhãn57itl.vmd</v>
          </cell>
          <cell r="C177" t="str">
            <v>Cây nhãn (ít tán, ít lá) vượt mật độ</v>
          </cell>
          <cell r="D177" t="str">
            <v>5cm ≤ đk gốc &lt; 7cm</v>
          </cell>
          <cell r="E177">
            <v>25</v>
          </cell>
          <cell r="F177" t="str">
            <v>cây</v>
          </cell>
          <cell r="G177">
            <v>1125000</v>
          </cell>
          <cell r="H177">
            <v>0.15</v>
          </cell>
          <cell r="J177" t="str">
            <v>ĐG 30.12.2022</v>
          </cell>
        </row>
        <row r="178">
          <cell r="B178" t="str">
            <v>Nhãn712itl.vmd</v>
          </cell>
          <cell r="C178" t="str">
            <v>Cây nhãn (ít tán, ít lá) vượt mật độ</v>
          </cell>
          <cell r="D178" t="str">
            <v>7cm ≤ đk gốc &lt; 12cm</v>
          </cell>
          <cell r="E178">
            <v>25</v>
          </cell>
          <cell r="F178" t="str">
            <v>cây</v>
          </cell>
          <cell r="G178">
            <v>2700000</v>
          </cell>
          <cell r="H178">
            <v>0.15</v>
          </cell>
          <cell r="J178" t="str">
            <v>ĐG 30.12.2022</v>
          </cell>
        </row>
        <row r="179">
          <cell r="B179" t="str">
            <v>Nhãn1220itl.vmd</v>
          </cell>
          <cell r="C179" t="str">
            <v>Cây nhãn (ít tán, ít lá) vượt mật độ</v>
          </cell>
          <cell r="D179" t="str">
            <v>12cm ≤ đk gốc &lt; 20cm</v>
          </cell>
          <cell r="E179">
            <v>25</v>
          </cell>
          <cell r="F179" t="str">
            <v>cây</v>
          </cell>
          <cell r="G179">
            <v>3750000</v>
          </cell>
          <cell r="H179">
            <v>0.15</v>
          </cell>
          <cell r="I179">
            <v>150000</v>
          </cell>
          <cell r="J179" t="str">
            <v>ĐG 30.12.2022</v>
          </cell>
        </row>
        <row r="180">
          <cell r="B180" t="str">
            <v>Nhãn2030itl.vmd</v>
          </cell>
          <cell r="C180" t="str">
            <v>Cây nhãn (ít tán, ít lá) vượt mật độ</v>
          </cell>
          <cell r="D180" t="str">
            <v>20cm ≤ đk gốc &lt; 30cm</v>
          </cell>
          <cell r="E180">
            <v>25</v>
          </cell>
          <cell r="F180" t="str">
            <v>cây</v>
          </cell>
          <cell r="G180">
            <v>3850000</v>
          </cell>
          <cell r="H180">
            <v>0.15</v>
          </cell>
          <cell r="I180">
            <v>154000</v>
          </cell>
          <cell r="J180" t="str">
            <v>ĐG 30.12.2022</v>
          </cell>
        </row>
        <row r="181">
          <cell r="B181" t="str">
            <v>Nhãn30+itl.vmd</v>
          </cell>
          <cell r="C181" t="str">
            <v>Cây nhãn (ít tán, ít lá) vượt mật độ</v>
          </cell>
          <cell r="D181" t="str">
            <v>đk gốc từ 30cm trở lên</v>
          </cell>
          <cell r="E181">
            <v>25</v>
          </cell>
          <cell r="F181" t="str">
            <v>cây</v>
          </cell>
          <cell r="G181">
            <v>4500000</v>
          </cell>
          <cell r="H181">
            <v>0.15</v>
          </cell>
          <cell r="J181" t="str">
            <v>ĐG 30.12.2022</v>
          </cell>
        </row>
        <row r="182">
          <cell r="B182" t="str">
            <v>Nhãn01mt</v>
          </cell>
          <cell r="C182" t="str">
            <v>Cây nhãn mới trồng</v>
          </cell>
          <cell r="D182" t="str">
            <v>Cây giống</v>
          </cell>
          <cell r="E182">
            <v>25</v>
          </cell>
          <cell r="F182" t="str">
            <v>m2</v>
          </cell>
          <cell r="G182">
            <v>48000</v>
          </cell>
          <cell r="H182">
            <v>1</v>
          </cell>
          <cell r="J182" t="str">
            <v>ĐG 12.2021</v>
          </cell>
        </row>
        <row r="183">
          <cell r="B183" t="str">
            <v>Nhãn25mt</v>
          </cell>
          <cell r="C183" t="str">
            <v>Cây nhãn mới trồng</v>
          </cell>
          <cell r="D183" t="str">
            <v>2cm ≤ đk gốc &lt; 5cm</v>
          </cell>
          <cell r="E183">
            <v>25</v>
          </cell>
          <cell r="F183" t="str">
            <v>cây</v>
          </cell>
          <cell r="G183">
            <v>81000</v>
          </cell>
          <cell r="H183">
            <v>1</v>
          </cell>
          <cell r="J183" t="str">
            <v>ĐG 12.2021</v>
          </cell>
        </row>
        <row r="184">
          <cell r="B184" t="str">
            <v>Nhãn57mt</v>
          </cell>
          <cell r="C184" t="str">
            <v>Cây nhãn mới trồng</v>
          </cell>
          <cell r="D184" t="str">
            <v>5cm ≤ đk gốc &lt; 7cm</v>
          </cell>
          <cell r="E184">
            <v>25</v>
          </cell>
          <cell r="F184" t="str">
            <v>cây</v>
          </cell>
          <cell r="G184">
            <v>241000</v>
          </cell>
          <cell r="H184">
            <v>1</v>
          </cell>
          <cell r="J184" t="str">
            <v>ĐG 12.2021</v>
          </cell>
        </row>
        <row r="185">
          <cell r="B185" t="str">
            <v>Nhãn712mt</v>
          </cell>
          <cell r="C185" t="str">
            <v>Cây nhãn mới trồng</v>
          </cell>
          <cell r="D185" t="str">
            <v>7cm ≤ đk gốc &lt; 12cm</v>
          </cell>
          <cell r="E185">
            <v>25</v>
          </cell>
          <cell r="F185" t="str">
            <v>cây</v>
          </cell>
          <cell r="G185">
            <v>455000</v>
          </cell>
          <cell r="H185">
            <v>1</v>
          </cell>
          <cell r="I185">
            <v>18200</v>
          </cell>
          <cell r="J185" t="str">
            <v>ĐG 12.2021</v>
          </cell>
        </row>
        <row r="186">
          <cell r="B186" t="str">
            <v>Nhãn1230mt</v>
          </cell>
          <cell r="C186" t="str">
            <v>Cây nhãn mới trồng</v>
          </cell>
          <cell r="D186" t="str">
            <v>12cm ≤ đk gốc &lt; 30cm</v>
          </cell>
          <cell r="E186">
            <v>25</v>
          </cell>
          <cell r="F186" t="str">
            <v>cây</v>
          </cell>
          <cell r="G186">
            <v>595000</v>
          </cell>
          <cell r="H186">
            <v>1</v>
          </cell>
          <cell r="I186">
            <v>23800</v>
          </cell>
          <cell r="J186" t="str">
            <v>ĐG 12.2021</v>
          </cell>
        </row>
        <row r="187">
          <cell r="B187" t="str">
            <v>Nhãn30+mt</v>
          </cell>
          <cell r="C187" t="str">
            <v>Cây nhãn mới trồng</v>
          </cell>
          <cell r="D187" t="str">
            <v>đk gốc từ 30cm trở lên</v>
          </cell>
          <cell r="E187">
            <v>25</v>
          </cell>
          <cell r="F187" t="str">
            <v>cây</v>
          </cell>
          <cell r="G187">
            <v>952000</v>
          </cell>
          <cell r="H187">
            <v>1</v>
          </cell>
          <cell r="I187">
            <v>38080</v>
          </cell>
          <cell r="J187" t="str">
            <v>ĐG 12.2021</v>
          </cell>
        </row>
        <row r="188">
          <cell r="B188" t="str">
            <v>Nhãn01mt.vmd</v>
          </cell>
          <cell r="C188" t="str">
            <v>Cây nhãn mới trồng vượt mật độ</v>
          </cell>
          <cell r="D188" t="str">
            <v>Cây giống</v>
          </cell>
          <cell r="E188">
            <v>25</v>
          </cell>
          <cell r="F188" t="str">
            <v>m2</v>
          </cell>
          <cell r="G188">
            <v>43000</v>
          </cell>
          <cell r="H188">
            <v>0.5</v>
          </cell>
          <cell r="J188" t="str">
            <v>ĐG 12.2021</v>
          </cell>
        </row>
        <row r="189">
          <cell r="B189" t="str">
            <v>Nhãn25mt.vmd</v>
          </cell>
          <cell r="C189" t="str">
            <v>Cây nhãn mới trồng vượt mật độ</v>
          </cell>
          <cell r="D189" t="str">
            <v>2cm ≤ đk gốc &lt; 5cm</v>
          </cell>
          <cell r="E189">
            <v>25</v>
          </cell>
          <cell r="F189" t="str">
            <v>cây</v>
          </cell>
          <cell r="G189">
            <v>81000</v>
          </cell>
          <cell r="H189">
            <v>0.5</v>
          </cell>
          <cell r="J189" t="str">
            <v>ĐG 12.2021</v>
          </cell>
        </row>
        <row r="190">
          <cell r="B190" t="str">
            <v>Nhãn57mt.vmd</v>
          </cell>
          <cell r="C190" t="str">
            <v>Cây nhãn mới trồng vượt mật độ</v>
          </cell>
          <cell r="D190" t="str">
            <v>5cm ≤ đk gốc &lt; 7cm</v>
          </cell>
          <cell r="E190">
            <v>25</v>
          </cell>
          <cell r="F190" t="str">
            <v>cây</v>
          </cell>
          <cell r="G190">
            <v>241000</v>
          </cell>
          <cell r="H190">
            <v>0.5</v>
          </cell>
          <cell r="J190" t="str">
            <v>ĐG 12.2021</v>
          </cell>
        </row>
        <row r="191">
          <cell r="B191" t="str">
            <v>Nhãn712mt.vmd</v>
          </cell>
          <cell r="C191" t="str">
            <v>Cây nhãn mới trồng vượt mật độ</v>
          </cell>
          <cell r="D191" t="str">
            <v>7cm ≤ đk gốc &lt; 12cm</v>
          </cell>
          <cell r="E191">
            <v>25</v>
          </cell>
          <cell r="F191" t="str">
            <v>cây</v>
          </cell>
          <cell r="G191">
            <v>455000</v>
          </cell>
          <cell r="H191">
            <v>0.5</v>
          </cell>
          <cell r="I191">
            <v>18200</v>
          </cell>
          <cell r="J191" t="str">
            <v>ĐG 12.2021</v>
          </cell>
        </row>
        <row r="192">
          <cell r="B192" t="str">
            <v>Nhãn1230mt.vmd</v>
          </cell>
          <cell r="C192" t="str">
            <v>Cây nhãn mới trồng vượt mật độ</v>
          </cell>
          <cell r="D192" t="str">
            <v>12cm ≤ đk gốc &lt; 30cm</v>
          </cell>
          <cell r="E192">
            <v>25</v>
          </cell>
          <cell r="F192" t="str">
            <v>cây</v>
          </cell>
          <cell r="G192">
            <v>595000</v>
          </cell>
          <cell r="H192">
            <v>0.5</v>
          </cell>
          <cell r="I192">
            <v>23800</v>
          </cell>
          <cell r="J192" t="str">
            <v>ĐG 12.2021</v>
          </cell>
        </row>
        <row r="193">
          <cell r="B193" t="str">
            <v>Nhãn30+mt.vmd</v>
          </cell>
          <cell r="C193" t="str">
            <v>Cây nhãn mới trồng vượt mật độ</v>
          </cell>
          <cell r="D193" t="str">
            <v>đk gốc từ 30cm trở lên</v>
          </cell>
          <cell r="E193">
            <v>25</v>
          </cell>
          <cell r="F193" t="str">
            <v>cây</v>
          </cell>
          <cell r="G193">
            <v>952000</v>
          </cell>
          <cell r="H193">
            <v>0.5</v>
          </cell>
          <cell r="I193">
            <v>38080</v>
          </cell>
          <cell r="J193" t="str">
            <v>ĐG 12.2021</v>
          </cell>
        </row>
        <row r="194">
          <cell r="B194" t="str">
            <v>Nhãn25.cth</v>
          </cell>
          <cell r="C194" t="str">
            <v>Cây nhãn chưa thu hoạch</v>
          </cell>
          <cell r="D194" t="str">
            <v>2cm ≤ đk gốc &lt; 5cm</v>
          </cell>
          <cell r="E194">
            <v>25</v>
          </cell>
          <cell r="F194" t="str">
            <v>cây</v>
          </cell>
          <cell r="G194">
            <v>370000</v>
          </cell>
          <cell r="H194">
            <v>0.5</v>
          </cell>
          <cell r="J194" t="str">
            <v>ĐG 12.2021</v>
          </cell>
        </row>
        <row r="195">
          <cell r="B195" t="str">
            <v>Nhãn57.cth</v>
          </cell>
          <cell r="C195" t="str">
            <v>Cây nhãn chưa thu hoạch</v>
          </cell>
          <cell r="D195" t="str">
            <v>5cm ≤ đk gốc &lt; 7cm</v>
          </cell>
          <cell r="E195">
            <v>25</v>
          </cell>
          <cell r="F195" t="str">
            <v>cây</v>
          </cell>
          <cell r="G195">
            <v>1125000</v>
          </cell>
          <cell r="H195">
            <v>0.5</v>
          </cell>
        </row>
        <row r="196">
          <cell r="B196" t="str">
            <v>Nhãn712.cth</v>
          </cell>
          <cell r="C196" t="str">
            <v>Cây nhãn chưa thu hoạch</v>
          </cell>
          <cell r="D196" t="str">
            <v>7cm ≤ đk gốc &lt; 12cm</v>
          </cell>
          <cell r="E196">
            <v>25</v>
          </cell>
          <cell r="F196" t="str">
            <v>cây</v>
          </cell>
          <cell r="G196">
            <v>2700000</v>
          </cell>
          <cell r="H196">
            <v>0.5</v>
          </cell>
        </row>
        <row r="197">
          <cell r="B197" t="str">
            <v>Nhãn1220.cth</v>
          </cell>
          <cell r="C197" t="str">
            <v>Cây nhãn chưa thu hoạch</v>
          </cell>
          <cell r="D197" t="str">
            <v>12cm ≤ đk gốc &lt; 20cm</v>
          </cell>
          <cell r="E197">
            <v>25</v>
          </cell>
          <cell r="F197" t="str">
            <v>cây</v>
          </cell>
          <cell r="G197">
            <v>3750000</v>
          </cell>
          <cell r="H197">
            <v>0.5</v>
          </cell>
        </row>
        <row r="198">
          <cell r="B198" t="str">
            <v>Nhãn2030.cth</v>
          </cell>
          <cell r="C198" t="str">
            <v>Cây nhãn chưa thu hoạch</v>
          </cell>
          <cell r="D198" t="str">
            <v>20cm ≤ đk gốc &lt; 30cm</v>
          </cell>
          <cell r="E198">
            <v>25</v>
          </cell>
          <cell r="F198" t="str">
            <v>cây</v>
          </cell>
          <cell r="G198">
            <v>3850000</v>
          </cell>
          <cell r="H198">
            <v>0.5</v>
          </cell>
        </row>
        <row r="199">
          <cell r="B199" t="str">
            <v>Nhãn30+.cth</v>
          </cell>
          <cell r="C199" t="str">
            <v>Cây nhãn chưa thu hoạch</v>
          </cell>
          <cell r="D199" t="str">
            <v>đk gốc từ 30cm trở lên</v>
          </cell>
          <cell r="E199">
            <v>25</v>
          </cell>
          <cell r="F199" t="str">
            <v>cây</v>
          </cell>
          <cell r="G199">
            <v>4500000</v>
          </cell>
          <cell r="H199">
            <v>0.5</v>
          </cell>
        </row>
        <row r="200">
          <cell r="C200" t="str">
            <v>Cây vải</v>
          </cell>
          <cell r="E200">
            <v>25</v>
          </cell>
        </row>
        <row r="201">
          <cell r="B201" t="str">
            <v>Vải01</v>
          </cell>
          <cell r="C201" t="str">
            <v>Cây vải</v>
          </cell>
          <cell r="D201" t="str">
            <v>cây giống</v>
          </cell>
          <cell r="E201">
            <v>25</v>
          </cell>
          <cell r="F201" t="str">
            <v>m2</v>
          </cell>
          <cell r="G201">
            <v>180000</v>
          </cell>
          <cell r="H201">
            <v>1</v>
          </cell>
          <cell r="I201">
            <v>180000</v>
          </cell>
          <cell r="J201" t="str">
            <v>ĐG 30.12.2022</v>
          </cell>
        </row>
        <row r="202">
          <cell r="B202" t="str">
            <v>Vải =&lt;5 cm</v>
          </cell>
          <cell r="C202" t="str">
            <v>Cây vải</v>
          </cell>
          <cell r="D202" t="str">
            <v>Đk thân   ≤5</v>
          </cell>
          <cell r="E202">
            <v>25</v>
          </cell>
          <cell r="F202" t="str">
            <v>m2</v>
          </cell>
          <cell r="G202">
            <v>370000</v>
          </cell>
          <cell r="H202">
            <v>1</v>
          </cell>
        </row>
        <row r="203">
          <cell r="B203" t="str">
            <v>Vải27</v>
          </cell>
          <cell r="C203" t="str">
            <v>Cây vải</v>
          </cell>
          <cell r="D203" t="str">
            <v>2cm ≤ đk gốc &lt; 7cm</v>
          </cell>
          <cell r="E203">
            <v>25</v>
          </cell>
          <cell r="F203" t="str">
            <v>cây</v>
          </cell>
          <cell r="G203">
            <v>1125000</v>
          </cell>
          <cell r="H203">
            <v>1</v>
          </cell>
          <cell r="I203">
            <v>14800</v>
          </cell>
          <cell r="J203" t="str">
            <v>ĐG 30.12.2022</v>
          </cell>
        </row>
        <row r="204">
          <cell r="B204" t="str">
            <v>Vải712</v>
          </cell>
          <cell r="C204" t="str">
            <v>Cây vải</v>
          </cell>
          <cell r="D204" t="str">
            <v>7cm ≤ đk gốc &lt; 12cm</v>
          </cell>
          <cell r="E204">
            <v>25</v>
          </cell>
          <cell r="F204" t="str">
            <v>cây</v>
          </cell>
          <cell r="G204">
            <v>2700000</v>
          </cell>
          <cell r="H204">
            <v>1</v>
          </cell>
          <cell r="I204">
            <v>45000</v>
          </cell>
          <cell r="J204" t="str">
            <v>ĐG 30.12.2022</v>
          </cell>
        </row>
        <row r="205">
          <cell r="B205" t="str">
            <v>Vải1220</v>
          </cell>
          <cell r="C205" t="str">
            <v>Cây vải</v>
          </cell>
          <cell r="D205" t="str">
            <v>12cm ≤ đk gốc &lt; 20cm</v>
          </cell>
          <cell r="E205">
            <v>25</v>
          </cell>
          <cell r="F205" t="str">
            <v>cây</v>
          </cell>
          <cell r="G205">
            <v>3750000</v>
          </cell>
          <cell r="H205">
            <v>1</v>
          </cell>
          <cell r="I205">
            <v>108000</v>
          </cell>
          <cell r="J205" t="str">
            <v>ĐG 30.12.2022</v>
          </cell>
        </row>
        <row r="206">
          <cell r="B206" t="str">
            <v>Vải2030</v>
          </cell>
          <cell r="C206" t="str">
            <v>Cây vải</v>
          </cell>
          <cell r="D206" t="str">
            <v>20cm ≤ đk gốc &lt; 30cm</v>
          </cell>
          <cell r="E206">
            <v>25</v>
          </cell>
          <cell r="F206" t="str">
            <v>cây</v>
          </cell>
          <cell r="G206">
            <v>3850000</v>
          </cell>
          <cell r="H206">
            <v>1</v>
          </cell>
          <cell r="I206">
            <v>150000</v>
          </cell>
          <cell r="J206" t="str">
            <v>ĐG 30.12.2022</v>
          </cell>
        </row>
        <row r="207">
          <cell r="B207" t="str">
            <v>Vải30+</v>
          </cell>
          <cell r="C207" t="str">
            <v>Cây vải</v>
          </cell>
          <cell r="D207" t="str">
            <v>đk gốc từ trên 30cm</v>
          </cell>
          <cell r="E207">
            <v>25</v>
          </cell>
          <cell r="F207" t="str">
            <v>cây</v>
          </cell>
          <cell r="G207">
            <v>4500000</v>
          </cell>
          <cell r="H207">
            <v>1</v>
          </cell>
          <cell r="I207">
            <v>154000</v>
          </cell>
          <cell r="J207" t="str">
            <v>ĐG 30.12.2022</v>
          </cell>
        </row>
        <row r="208">
          <cell r="B208" t="str">
            <v>Vải01vmd</v>
          </cell>
          <cell r="C208" t="str">
            <v>Cây vải vượt mật độ</v>
          </cell>
          <cell r="D208" t="str">
            <v>cây giống</v>
          </cell>
          <cell r="E208">
            <v>25</v>
          </cell>
          <cell r="F208" t="str">
            <v>m2</v>
          </cell>
          <cell r="G208">
            <v>180000</v>
          </cell>
          <cell r="H208">
            <v>0.5</v>
          </cell>
          <cell r="I208">
            <v>180000</v>
          </cell>
          <cell r="J208" t="str">
            <v>ĐG 30.12.2022</v>
          </cell>
        </row>
        <row r="209">
          <cell r="B209" t="str">
            <v>Vải =&lt;5 cm</v>
          </cell>
          <cell r="C209" t="str">
            <v>Cây vải</v>
          </cell>
          <cell r="D209" t="str">
            <v>Đk thân   ≤5</v>
          </cell>
          <cell r="E209">
            <v>25</v>
          </cell>
          <cell r="F209" t="str">
            <v>m2</v>
          </cell>
          <cell r="G209">
            <v>370000</v>
          </cell>
          <cell r="H209">
            <v>0.5</v>
          </cell>
        </row>
        <row r="210">
          <cell r="B210" t="str">
            <v>Vải27vmd</v>
          </cell>
          <cell r="C210" t="str">
            <v>Cây vải vượt mật độ</v>
          </cell>
          <cell r="D210" t="str">
            <v>2cm ≤ đk gốc &lt; 7cm</v>
          </cell>
          <cell r="E210">
            <v>25</v>
          </cell>
          <cell r="F210" t="str">
            <v>cây</v>
          </cell>
          <cell r="G210">
            <v>1125000</v>
          </cell>
          <cell r="H210">
            <v>0.5</v>
          </cell>
          <cell r="I210">
            <v>45000</v>
          </cell>
          <cell r="J210" t="str">
            <v>ĐG 30.12.2022</v>
          </cell>
        </row>
        <row r="211">
          <cell r="B211" t="str">
            <v>Vải712vmd</v>
          </cell>
          <cell r="C211" t="str">
            <v>Cây vải vượt mật độ</v>
          </cell>
          <cell r="D211" t="str">
            <v>7cm ≤ đk gốc &lt; 12cm</v>
          </cell>
          <cell r="E211">
            <v>25</v>
          </cell>
          <cell r="F211" t="str">
            <v>cây</v>
          </cell>
          <cell r="G211">
            <v>2700000</v>
          </cell>
          <cell r="H211">
            <v>0.5</v>
          </cell>
          <cell r="I211">
            <v>108000</v>
          </cell>
          <cell r="J211" t="str">
            <v>ĐG 30.12.2022</v>
          </cell>
        </row>
        <row r="212">
          <cell r="B212" t="str">
            <v>Vải1220vmd</v>
          </cell>
          <cell r="C212" t="str">
            <v>Cây vải vượt mật độ</v>
          </cell>
          <cell r="D212" t="str">
            <v>12cm ≤ đk gốc &lt; 20cm</v>
          </cell>
          <cell r="E212">
            <v>25</v>
          </cell>
          <cell r="F212" t="str">
            <v>cây</v>
          </cell>
          <cell r="G212">
            <v>3750000</v>
          </cell>
          <cell r="H212">
            <v>0.5</v>
          </cell>
          <cell r="I212">
            <v>150000</v>
          </cell>
          <cell r="J212" t="str">
            <v>ĐG 30.12.2022</v>
          </cell>
        </row>
        <row r="213">
          <cell r="B213" t="str">
            <v>Vải2030vmd</v>
          </cell>
          <cell r="C213" t="str">
            <v>Cây vải vượt mật độ</v>
          </cell>
          <cell r="D213" t="str">
            <v>20cm ≤ đk gốc &lt; 30cm</v>
          </cell>
          <cell r="E213">
            <v>25</v>
          </cell>
          <cell r="F213" t="str">
            <v>cây</v>
          </cell>
          <cell r="G213">
            <v>3850000</v>
          </cell>
          <cell r="H213">
            <v>0.5</v>
          </cell>
          <cell r="I213">
            <v>154000</v>
          </cell>
          <cell r="J213" t="str">
            <v>ĐG 30.12.2022</v>
          </cell>
        </row>
        <row r="214">
          <cell r="B214" t="str">
            <v>Vải30+vmd</v>
          </cell>
          <cell r="C214" t="str">
            <v>Cây vải vượt mật độ</v>
          </cell>
          <cell r="D214" t="str">
            <v>đk gốc từ trên 30cm</v>
          </cell>
          <cell r="E214">
            <v>25</v>
          </cell>
          <cell r="F214" t="str">
            <v>cây</v>
          </cell>
          <cell r="G214">
            <v>4500000</v>
          </cell>
          <cell r="H214">
            <v>0.5</v>
          </cell>
          <cell r="I214">
            <v>180000</v>
          </cell>
          <cell r="J214" t="str">
            <v>ĐG 30.12.2022</v>
          </cell>
        </row>
        <row r="215">
          <cell r="C215" t="str">
            <v>Hồng xiêm</v>
          </cell>
          <cell r="E215">
            <v>25</v>
          </cell>
        </row>
        <row r="216">
          <cell r="B216" t="str">
            <v>Hx01</v>
          </cell>
          <cell r="C216" t="str">
            <v>Hồng xiêm</v>
          </cell>
          <cell r="D216" t="str">
            <v>cây giống</v>
          </cell>
          <cell r="F216" t="str">
            <v>m2</v>
          </cell>
          <cell r="G216">
            <v>100000</v>
          </cell>
          <cell r="H216">
            <v>1</v>
          </cell>
          <cell r="I216">
            <v>100000</v>
          </cell>
          <cell r="J216" t="str">
            <v>ĐG 30.12.2022</v>
          </cell>
        </row>
        <row r="217">
          <cell r="B217" t="str">
            <v>Hx27</v>
          </cell>
          <cell r="C217" t="str">
            <v>Hồng xiêm</v>
          </cell>
          <cell r="D217" t="str">
            <v>2cm ≤ đk gốc &lt; 7cm</v>
          </cell>
          <cell r="E217">
            <v>25</v>
          </cell>
          <cell r="F217" t="str">
            <v>cây</v>
          </cell>
          <cell r="G217">
            <v>220000</v>
          </cell>
          <cell r="H217">
            <v>1</v>
          </cell>
          <cell r="I217">
            <v>8800</v>
          </cell>
          <cell r="J217" t="str">
            <v>ĐG 30.12.2022</v>
          </cell>
        </row>
        <row r="218">
          <cell r="B218" t="str">
            <v>Hx712</v>
          </cell>
          <cell r="C218" t="str">
            <v>Hồng xiêm</v>
          </cell>
          <cell r="D218" t="str">
            <v>7cm ≤ đk gốc &lt; 12cm</v>
          </cell>
          <cell r="E218">
            <v>25</v>
          </cell>
          <cell r="F218" t="str">
            <v>cây</v>
          </cell>
          <cell r="G218">
            <v>370000</v>
          </cell>
          <cell r="H218">
            <v>1</v>
          </cell>
          <cell r="I218">
            <v>14800</v>
          </cell>
          <cell r="J218" t="str">
            <v>ĐG 30.12.2022</v>
          </cell>
        </row>
        <row r="219">
          <cell r="B219" t="str">
            <v>Hx1220</v>
          </cell>
          <cell r="C219" t="str">
            <v>Hồng xiêm</v>
          </cell>
          <cell r="D219" t="str">
            <v>12cm ≤ đk gốc &lt; 20cm</v>
          </cell>
          <cell r="E219">
            <v>25</v>
          </cell>
          <cell r="F219" t="str">
            <v>cây</v>
          </cell>
          <cell r="G219">
            <v>520000</v>
          </cell>
          <cell r="H219">
            <v>1</v>
          </cell>
          <cell r="I219">
            <v>20800</v>
          </cell>
          <cell r="J219" t="str">
            <v>ĐG 30.12.2022</v>
          </cell>
        </row>
        <row r="220">
          <cell r="B220" t="str">
            <v>Hx2030</v>
          </cell>
          <cell r="C220" t="str">
            <v>Hồng xiêm</v>
          </cell>
          <cell r="D220" t="str">
            <v>20cm ≤ đk gốc &lt; 30cm</v>
          </cell>
          <cell r="E220">
            <v>25</v>
          </cell>
          <cell r="F220" t="str">
            <v>cây</v>
          </cell>
          <cell r="G220">
            <v>600000</v>
          </cell>
          <cell r="H220">
            <v>1</v>
          </cell>
          <cell r="I220">
            <v>24000</v>
          </cell>
          <cell r="J220" t="str">
            <v>ĐG 30.12.2022</v>
          </cell>
        </row>
        <row r="221">
          <cell r="B221" t="str">
            <v>Hx30+</v>
          </cell>
          <cell r="C221" t="str">
            <v>Hồng xiêm</v>
          </cell>
          <cell r="D221" t="str">
            <v>đk gốc từ trên 30cm</v>
          </cell>
          <cell r="E221">
            <v>25</v>
          </cell>
          <cell r="F221" t="str">
            <v>cây</v>
          </cell>
          <cell r="G221">
            <v>750000</v>
          </cell>
          <cell r="H221">
            <v>1</v>
          </cell>
          <cell r="I221">
            <v>30000</v>
          </cell>
          <cell r="J221" t="str">
            <v>ĐG 30.12.2022</v>
          </cell>
        </row>
        <row r="222">
          <cell r="B222" t="str">
            <v>Hx01vmd</v>
          </cell>
          <cell r="C222" t="str">
            <v>Hồng xiêm vượt mật độ</v>
          </cell>
          <cell r="D222" t="str">
            <v>cây giống</v>
          </cell>
          <cell r="E222">
            <v>25</v>
          </cell>
          <cell r="F222" t="str">
            <v>m2</v>
          </cell>
          <cell r="G222">
            <v>100000</v>
          </cell>
          <cell r="H222">
            <v>0.5</v>
          </cell>
          <cell r="I222">
            <v>100000</v>
          </cell>
          <cell r="J222" t="str">
            <v>ĐG 30.12.2022</v>
          </cell>
        </row>
        <row r="223">
          <cell r="B223" t="str">
            <v>Hx27vmd</v>
          </cell>
          <cell r="C223" t="str">
            <v>Hồng xiêm vượt mật độ</v>
          </cell>
          <cell r="D223" t="str">
            <v>2cm ≤ đk gốc &lt; 7cm</v>
          </cell>
          <cell r="E223">
            <v>25</v>
          </cell>
          <cell r="F223" t="str">
            <v>cây</v>
          </cell>
          <cell r="G223">
            <v>220000</v>
          </cell>
          <cell r="H223">
            <v>0.5</v>
          </cell>
          <cell r="I223">
            <v>8800</v>
          </cell>
          <cell r="J223" t="str">
            <v>ĐG 30.12.2022</v>
          </cell>
        </row>
        <row r="224">
          <cell r="B224" t="str">
            <v>Hx712vmd</v>
          </cell>
          <cell r="C224" t="str">
            <v>Hồng xiêm vượt mật độ</v>
          </cell>
          <cell r="D224" t="str">
            <v>7cm ≤ đk gốc &lt; 12cm</v>
          </cell>
          <cell r="E224">
            <v>25</v>
          </cell>
          <cell r="F224" t="str">
            <v>cây</v>
          </cell>
          <cell r="G224">
            <v>370000</v>
          </cell>
          <cell r="H224">
            <v>0.5</v>
          </cell>
          <cell r="I224">
            <v>14800</v>
          </cell>
          <cell r="J224" t="str">
            <v>ĐG 30.12.2022</v>
          </cell>
        </row>
        <row r="225">
          <cell r="B225" t="str">
            <v>Hx1220vmd</v>
          </cell>
          <cell r="C225" t="str">
            <v>Hồng xiêm vượt mật độ</v>
          </cell>
          <cell r="D225" t="str">
            <v>12cm ≤ đk gốc &lt; 20cm</v>
          </cell>
          <cell r="E225">
            <v>25</v>
          </cell>
          <cell r="F225" t="str">
            <v>cây</v>
          </cell>
          <cell r="G225">
            <v>520000</v>
          </cell>
          <cell r="H225">
            <v>0.5</v>
          </cell>
          <cell r="I225">
            <v>20800</v>
          </cell>
          <cell r="J225" t="str">
            <v>ĐG 30.12.2022</v>
          </cell>
        </row>
        <row r="226">
          <cell r="B226" t="str">
            <v>Hx2030vmd</v>
          </cell>
          <cell r="C226" t="str">
            <v>Hồng xiêm vượt mật độ</v>
          </cell>
          <cell r="D226" t="str">
            <v>20cm ≤ đk gốc &lt; 30cm</v>
          </cell>
          <cell r="E226">
            <v>25</v>
          </cell>
          <cell r="F226" t="str">
            <v>cây</v>
          </cell>
          <cell r="G226">
            <v>600000</v>
          </cell>
          <cell r="H226">
            <v>0.5</v>
          </cell>
          <cell r="I226">
            <v>24000</v>
          </cell>
          <cell r="J226" t="str">
            <v>ĐG 30.12.2022</v>
          </cell>
        </row>
        <row r="227">
          <cell r="B227" t="str">
            <v>Hx30+vmd</v>
          </cell>
          <cell r="C227" t="str">
            <v>Hồng xiêm vượt mật độ</v>
          </cell>
          <cell r="D227" t="str">
            <v>đk gốc từ trên 30cm</v>
          </cell>
          <cell r="E227">
            <v>25</v>
          </cell>
          <cell r="F227" t="str">
            <v>cây</v>
          </cell>
          <cell r="G227">
            <v>750000</v>
          </cell>
          <cell r="H227">
            <v>0.5</v>
          </cell>
          <cell r="I227">
            <v>30000</v>
          </cell>
          <cell r="J227" t="str">
            <v>ĐG 30.12.2022</v>
          </cell>
        </row>
        <row r="228">
          <cell r="C228" t="str">
            <v>Cây khế</v>
          </cell>
          <cell r="E228">
            <v>30.303030303030301</v>
          </cell>
        </row>
        <row r="229">
          <cell r="B229" t="str">
            <v>Khế01</v>
          </cell>
          <cell r="C229" t="str">
            <v>Cây Khế</v>
          </cell>
          <cell r="D229" t="str">
            <v>cây giống</v>
          </cell>
          <cell r="F229" t="str">
            <v>m2</v>
          </cell>
          <cell r="G229">
            <v>100000</v>
          </cell>
          <cell r="H229">
            <v>1</v>
          </cell>
          <cell r="I229">
            <v>100000</v>
          </cell>
          <cell r="J229" t="str">
            <v>ĐG 30.12.2022</v>
          </cell>
        </row>
        <row r="230">
          <cell r="B230" t="str">
            <v>Khế27</v>
          </cell>
          <cell r="C230" t="str">
            <v>Cây Khế</v>
          </cell>
          <cell r="D230" t="str">
            <v>2cm ≤ đk gốc &lt; 7cm</v>
          </cell>
          <cell r="E230">
            <v>30.3</v>
          </cell>
          <cell r="F230" t="str">
            <v>cây</v>
          </cell>
          <cell r="G230">
            <v>220000</v>
          </cell>
          <cell r="H230">
            <v>1</v>
          </cell>
          <cell r="I230">
            <v>7260.72607260726</v>
          </cell>
          <cell r="J230" t="str">
            <v>ĐG 30.12.2022</v>
          </cell>
        </row>
        <row r="231">
          <cell r="B231" t="str">
            <v>Khế712</v>
          </cell>
          <cell r="C231" t="str">
            <v>Cây Khế</v>
          </cell>
          <cell r="D231" t="str">
            <v>7cm ≤ đk gốc &lt; 12cm</v>
          </cell>
          <cell r="E231">
            <v>30.3</v>
          </cell>
          <cell r="F231" t="str">
            <v>cây</v>
          </cell>
          <cell r="G231">
            <v>370000</v>
          </cell>
          <cell r="H231">
            <v>1</v>
          </cell>
          <cell r="I231">
            <v>12211.2211221122</v>
          </cell>
          <cell r="J231" t="str">
            <v>ĐG 30.12.2022</v>
          </cell>
        </row>
        <row r="232">
          <cell r="B232" t="str">
            <v>Khế1220</v>
          </cell>
          <cell r="C232" t="str">
            <v>Cây Khế</v>
          </cell>
          <cell r="D232" t="str">
            <v>12cm ≤ đk gốc &lt; 20cm</v>
          </cell>
          <cell r="E232">
            <v>30.3</v>
          </cell>
          <cell r="F232" t="str">
            <v>cây</v>
          </cell>
          <cell r="G232">
            <v>520000</v>
          </cell>
          <cell r="H232">
            <v>1</v>
          </cell>
          <cell r="I232">
            <v>17161.716171617201</v>
          </cell>
          <cell r="J232" t="str">
            <v>ĐG 30.12.2022</v>
          </cell>
        </row>
        <row r="233">
          <cell r="B233" t="str">
            <v>Khế2030</v>
          </cell>
          <cell r="C233" t="str">
            <v>Cây Khế</v>
          </cell>
          <cell r="D233" t="str">
            <v>20cm ≤ đk gốc &lt; 30cm</v>
          </cell>
          <cell r="E233">
            <v>30.3</v>
          </cell>
          <cell r="F233" t="str">
            <v>cây</v>
          </cell>
          <cell r="G233">
            <v>600000</v>
          </cell>
          <cell r="H233">
            <v>1</v>
          </cell>
          <cell r="I233">
            <v>19801.980198019799</v>
          </cell>
          <cell r="J233" t="str">
            <v>ĐG 30.12.2022</v>
          </cell>
        </row>
        <row r="234">
          <cell r="B234" t="str">
            <v>Khế30+</v>
          </cell>
          <cell r="C234" t="str">
            <v>Cây Khế</v>
          </cell>
          <cell r="D234" t="str">
            <v>đk gốc từ trên 30cm</v>
          </cell>
          <cell r="E234">
            <v>30.3</v>
          </cell>
          <cell r="F234" t="str">
            <v>cây</v>
          </cell>
          <cell r="G234">
            <v>750000</v>
          </cell>
          <cell r="H234">
            <v>1</v>
          </cell>
          <cell r="I234">
            <v>24752.475247524799</v>
          </cell>
          <cell r="J234" t="str">
            <v>ĐG 30.12.2022</v>
          </cell>
        </row>
        <row r="235">
          <cell r="B235" t="str">
            <v>Khế01vmd</v>
          </cell>
          <cell r="C235" t="str">
            <v>Cây Khế vượt mật độ</v>
          </cell>
          <cell r="D235" t="str">
            <v>cây giống</v>
          </cell>
          <cell r="F235" t="str">
            <v>m2</v>
          </cell>
          <cell r="G235">
            <v>100000</v>
          </cell>
          <cell r="H235">
            <v>0.5</v>
          </cell>
          <cell r="I235">
            <v>100000</v>
          </cell>
          <cell r="J235" t="str">
            <v>ĐG 30.12.2022</v>
          </cell>
        </row>
        <row r="236">
          <cell r="B236" t="str">
            <v>Khế27vmd</v>
          </cell>
          <cell r="C236" t="str">
            <v>Cây Khế vượt mật độ</v>
          </cell>
          <cell r="D236" t="str">
            <v>2cm ≤ đk gốc &lt; 7cm</v>
          </cell>
          <cell r="E236">
            <v>5</v>
          </cell>
          <cell r="F236" t="str">
            <v>cây</v>
          </cell>
          <cell r="G236">
            <v>220000</v>
          </cell>
          <cell r="H236">
            <v>0.5</v>
          </cell>
          <cell r="I236">
            <v>44000</v>
          </cell>
          <cell r="J236" t="str">
            <v>ĐG 30.12.2022</v>
          </cell>
        </row>
        <row r="237">
          <cell r="B237" t="str">
            <v>Khế712vmd</v>
          </cell>
          <cell r="C237" t="str">
            <v>Cây Khế vượt mật độ</v>
          </cell>
          <cell r="D237" t="str">
            <v>7cm ≤ đk gốc &lt; 12cm</v>
          </cell>
          <cell r="E237">
            <v>6.6666666666666696</v>
          </cell>
          <cell r="F237" t="str">
            <v>cây</v>
          </cell>
          <cell r="G237">
            <v>370000</v>
          </cell>
          <cell r="H237">
            <v>0.5</v>
          </cell>
          <cell r="I237">
            <v>55500</v>
          </cell>
          <cell r="J237" t="str">
            <v>ĐG 30.12.2022</v>
          </cell>
        </row>
        <row r="238">
          <cell r="B238" t="str">
            <v>Khế1220vmd</v>
          </cell>
          <cell r="C238" t="str">
            <v>Cây Khế vượt mật độ</v>
          </cell>
          <cell r="D238" t="str">
            <v>12cm ≤ đk gốc &lt; 20cm</v>
          </cell>
          <cell r="E238">
            <v>8.3720930232558093</v>
          </cell>
          <cell r="F238" t="str">
            <v>cây</v>
          </cell>
          <cell r="G238">
            <v>520000</v>
          </cell>
          <cell r="H238">
            <v>0.5</v>
          </cell>
          <cell r="I238">
            <v>62111.111111111102</v>
          </cell>
          <cell r="J238" t="str">
            <v>ĐG 30.12.2022</v>
          </cell>
        </row>
        <row r="239">
          <cell r="B239" t="str">
            <v>Khế2030vmd</v>
          </cell>
          <cell r="C239" t="str">
            <v>Cây Khế vượt mật độ</v>
          </cell>
          <cell r="D239" t="str">
            <v>20cm ≤ đk gốc &lt; 30cm</v>
          </cell>
          <cell r="E239">
            <v>8.3720930232558093</v>
          </cell>
          <cell r="F239" t="str">
            <v>cây</v>
          </cell>
          <cell r="G239">
            <v>600000</v>
          </cell>
          <cell r="H239">
            <v>0.5</v>
          </cell>
          <cell r="I239">
            <v>71666.666666666701</v>
          </cell>
          <cell r="J239" t="str">
            <v>ĐG 30.12.2022</v>
          </cell>
        </row>
        <row r="240">
          <cell r="B240" t="str">
            <v>Khế30+vmd</v>
          </cell>
          <cell r="C240" t="str">
            <v>Cây Khế vượt mật độ</v>
          </cell>
          <cell r="D240" t="str">
            <v>đk gốc từ trên 30cm</v>
          </cell>
          <cell r="E240">
            <v>12.413793103448301</v>
          </cell>
          <cell r="F240" t="str">
            <v>cây</v>
          </cell>
          <cell r="G240">
            <v>750000</v>
          </cell>
          <cell r="H240">
            <v>0.5</v>
          </cell>
          <cell r="I240">
            <v>60416.666666666701</v>
          </cell>
          <cell r="J240" t="str">
            <v>ĐG 30.12.2022</v>
          </cell>
        </row>
        <row r="241">
          <cell r="C241" t="str">
            <v>Cây Bơ</v>
          </cell>
        </row>
        <row r="242">
          <cell r="B242" t="str">
            <v>Bơ01</v>
          </cell>
          <cell r="C242" t="str">
            <v>Cây Bơ</v>
          </cell>
          <cell r="D242" t="str">
            <v>cây giống</v>
          </cell>
          <cell r="F242" t="str">
            <v>m2</v>
          </cell>
          <cell r="G242">
            <v>36000</v>
          </cell>
          <cell r="H242">
            <v>1</v>
          </cell>
          <cell r="I242">
            <v>36000</v>
          </cell>
          <cell r="J242" t="str">
            <v>ĐG 30.12.2022</v>
          </cell>
        </row>
        <row r="243">
          <cell r="B243" t="str">
            <v>Bơ27</v>
          </cell>
          <cell r="C243" t="str">
            <v>Cây Bơ</v>
          </cell>
          <cell r="D243" t="str">
            <v>2cm ≤ đk gốc &lt; 7cm</v>
          </cell>
          <cell r="E243">
            <v>5</v>
          </cell>
          <cell r="F243" t="str">
            <v>cây</v>
          </cell>
          <cell r="G243">
            <v>48000</v>
          </cell>
          <cell r="H243">
            <v>1</v>
          </cell>
          <cell r="I243">
            <v>9600</v>
          </cell>
          <cell r="J243" t="str">
            <v>ĐG 30.12.2022</v>
          </cell>
        </row>
        <row r="244">
          <cell r="B244" t="str">
            <v>Bơ712</v>
          </cell>
          <cell r="C244" t="str">
            <v>Cây Bơ</v>
          </cell>
          <cell r="D244" t="str">
            <v>7cm ≤ đk gốc &lt; 12cm</v>
          </cell>
          <cell r="E244">
            <v>6.6666666666666696</v>
          </cell>
          <cell r="F244" t="str">
            <v>cây</v>
          </cell>
          <cell r="G244">
            <v>85000</v>
          </cell>
          <cell r="H244">
            <v>1</v>
          </cell>
          <cell r="I244">
            <v>12750</v>
          </cell>
          <cell r="J244" t="str">
            <v>ĐG 30.12.2022</v>
          </cell>
        </row>
        <row r="245">
          <cell r="B245" t="str">
            <v>Bơ1220</v>
          </cell>
          <cell r="C245" t="str">
            <v>Cây Bơ</v>
          </cell>
          <cell r="D245" t="str">
            <v>12cm ≤ đk gốc &lt; 20cm</v>
          </cell>
          <cell r="E245">
            <v>8.3720930232558093</v>
          </cell>
          <cell r="F245" t="str">
            <v>cây</v>
          </cell>
          <cell r="G245">
            <v>120000</v>
          </cell>
          <cell r="H245">
            <v>1</v>
          </cell>
          <cell r="J245" t="str">
            <v>ĐG 30.12.2022</v>
          </cell>
        </row>
        <row r="246">
          <cell r="B246" t="str">
            <v>Bơ2030</v>
          </cell>
          <cell r="C246" t="str">
            <v>Cây Bơ</v>
          </cell>
          <cell r="D246" t="str">
            <v>20cm ≤ đk gốc &lt; 30cm</v>
          </cell>
          <cell r="E246">
            <v>8.3720930232558093</v>
          </cell>
          <cell r="F246" t="str">
            <v>cây</v>
          </cell>
          <cell r="G246">
            <v>200000</v>
          </cell>
          <cell r="H246">
            <v>1</v>
          </cell>
          <cell r="I246">
            <v>23888.888888888901</v>
          </cell>
          <cell r="J246" t="str">
            <v>ĐG 30.12.2022</v>
          </cell>
        </row>
        <row r="247">
          <cell r="B247" t="str">
            <v>Bơ30+</v>
          </cell>
          <cell r="C247" t="str">
            <v>Cây Bơ</v>
          </cell>
          <cell r="D247" t="str">
            <v>đk gốc từ trên 30cm</v>
          </cell>
          <cell r="E247">
            <v>12.413793103448301</v>
          </cell>
          <cell r="F247" t="str">
            <v>cây</v>
          </cell>
          <cell r="G247">
            <v>360000</v>
          </cell>
          <cell r="H247">
            <v>1</v>
          </cell>
          <cell r="I247">
            <v>29000</v>
          </cell>
          <cell r="J247" t="str">
            <v>ĐG 30.12.2022</v>
          </cell>
        </row>
        <row r="248">
          <cell r="C248" t="str">
            <v>Cây Doi</v>
          </cell>
          <cell r="J248" t="str">
            <v>ĐG 30.12.2022</v>
          </cell>
        </row>
        <row r="249">
          <cell r="B249" t="str">
            <v>Doi01</v>
          </cell>
          <cell r="C249" t="str">
            <v>Cây Doi</v>
          </cell>
          <cell r="D249" t="str">
            <v>cây giống</v>
          </cell>
          <cell r="F249" t="str">
            <v>m2</v>
          </cell>
          <cell r="G249">
            <v>36000</v>
          </cell>
          <cell r="H249">
            <v>1</v>
          </cell>
          <cell r="I249">
            <v>36000</v>
          </cell>
          <cell r="J249" t="str">
            <v>ĐG 30.12.2022</v>
          </cell>
        </row>
        <row r="250">
          <cell r="B250" t="str">
            <v>Doi27</v>
          </cell>
          <cell r="C250" t="str">
            <v>Cây Doi</v>
          </cell>
          <cell r="D250" t="str">
            <v>2cm ≤ đk gốc &lt; 7cm</v>
          </cell>
          <cell r="E250">
            <v>5</v>
          </cell>
          <cell r="F250" t="str">
            <v>cây</v>
          </cell>
          <cell r="G250">
            <v>48000</v>
          </cell>
          <cell r="H250">
            <v>1</v>
          </cell>
          <cell r="I250">
            <v>9600</v>
          </cell>
          <cell r="J250" t="str">
            <v>ĐG 30.12.2022</v>
          </cell>
        </row>
        <row r="251">
          <cell r="B251" t="str">
            <v>Doi712</v>
          </cell>
          <cell r="C251" t="str">
            <v>Cây Doi</v>
          </cell>
          <cell r="D251" t="str">
            <v>7cm ≤ đk gốc &lt; 12cm</v>
          </cell>
          <cell r="E251">
            <v>6.6666666666666696</v>
          </cell>
          <cell r="F251" t="str">
            <v>cây</v>
          </cell>
          <cell r="G251">
            <v>85000</v>
          </cell>
          <cell r="H251">
            <v>1</v>
          </cell>
          <cell r="I251">
            <v>12750</v>
          </cell>
          <cell r="J251" t="str">
            <v>ĐG 30.12.2022</v>
          </cell>
        </row>
        <row r="252">
          <cell r="B252" t="str">
            <v>Doi1220</v>
          </cell>
          <cell r="C252" t="str">
            <v>Cây Doi</v>
          </cell>
          <cell r="D252" t="str">
            <v>12cm ≤ đk gốc &lt; 20cm</v>
          </cell>
          <cell r="E252">
            <v>8.3720930232558093</v>
          </cell>
          <cell r="F252" t="str">
            <v>cây</v>
          </cell>
          <cell r="G252">
            <v>120000</v>
          </cell>
          <cell r="H252">
            <v>1</v>
          </cell>
          <cell r="J252" t="str">
            <v>ĐG 30.12.2022</v>
          </cell>
        </row>
        <row r="253">
          <cell r="B253" t="str">
            <v>Doi2030</v>
          </cell>
          <cell r="C253" t="str">
            <v>Cây Doi</v>
          </cell>
          <cell r="D253" t="str">
            <v>20cm ≤ đk gốc &lt; 30cm</v>
          </cell>
          <cell r="E253">
            <v>8.3720930232558093</v>
          </cell>
          <cell r="F253" t="str">
            <v>cây</v>
          </cell>
          <cell r="G253">
            <v>200000</v>
          </cell>
          <cell r="H253">
            <v>1</v>
          </cell>
          <cell r="I253">
            <v>23888.888888888901</v>
          </cell>
          <cell r="J253" t="str">
            <v>ĐG 30.12.2022</v>
          </cell>
        </row>
        <row r="254">
          <cell r="B254" t="str">
            <v>Doi30+</v>
          </cell>
          <cell r="C254" t="str">
            <v>Cây Doi</v>
          </cell>
          <cell r="D254" t="str">
            <v>đk gốc từ trên 30cm</v>
          </cell>
          <cell r="E254">
            <v>12.413793103448301</v>
          </cell>
          <cell r="F254" t="str">
            <v>cây</v>
          </cell>
          <cell r="G254">
            <v>360000</v>
          </cell>
          <cell r="H254">
            <v>1</v>
          </cell>
          <cell r="I254">
            <v>29000</v>
          </cell>
          <cell r="J254" t="str">
            <v>ĐG 30.12.2022</v>
          </cell>
        </row>
        <row r="255">
          <cell r="C255" t="str">
            <v>Vú sữa</v>
          </cell>
          <cell r="E255">
            <v>66.6666666666667</v>
          </cell>
          <cell r="J255" t="str">
            <v>ĐG 30.12.2022</v>
          </cell>
        </row>
        <row r="256">
          <cell r="B256" t="str">
            <v>Vs01</v>
          </cell>
          <cell r="C256" t="str">
            <v>Vú sữa</v>
          </cell>
          <cell r="D256" t="str">
            <v>cây giống</v>
          </cell>
          <cell r="F256" t="str">
            <v>m2</v>
          </cell>
          <cell r="G256">
            <v>100000</v>
          </cell>
          <cell r="H256">
            <v>1</v>
          </cell>
          <cell r="I256">
            <v>100000</v>
          </cell>
          <cell r="J256" t="str">
            <v>ĐG 30.12.2022</v>
          </cell>
        </row>
        <row r="257">
          <cell r="B257" t="str">
            <v>Vs27</v>
          </cell>
          <cell r="C257" t="str">
            <v>Vú sữa</v>
          </cell>
          <cell r="D257" t="str">
            <v>2cm ≤ đk gốc &lt; 7cm</v>
          </cell>
          <cell r="E257">
            <v>66.599999999999994</v>
          </cell>
          <cell r="F257" t="str">
            <v>cây</v>
          </cell>
          <cell r="G257">
            <v>220000</v>
          </cell>
          <cell r="H257">
            <v>1</v>
          </cell>
          <cell r="I257">
            <v>3303.3033033032998</v>
          </cell>
          <cell r="J257" t="str">
            <v>ĐG 30.12.2022</v>
          </cell>
        </row>
        <row r="258">
          <cell r="B258" t="str">
            <v>Vs712</v>
          </cell>
          <cell r="C258" t="str">
            <v>Vú sữa</v>
          </cell>
          <cell r="D258" t="str">
            <v>7cm ≤ đk gốc &lt; 12cm</v>
          </cell>
          <cell r="E258">
            <v>66.599999999999994</v>
          </cell>
          <cell r="F258" t="str">
            <v>cây</v>
          </cell>
          <cell r="G258">
            <v>370000</v>
          </cell>
          <cell r="H258">
            <v>1</v>
          </cell>
          <cell r="I258">
            <v>5555.5555555555602</v>
          </cell>
          <cell r="J258" t="str">
            <v>ĐG 30.12.2022</v>
          </cell>
        </row>
        <row r="259">
          <cell r="B259" t="str">
            <v>Vs1220</v>
          </cell>
          <cell r="C259" t="str">
            <v>Vú sữa</v>
          </cell>
          <cell r="D259" t="str">
            <v>12cm ≤ đk gốc &lt; 20cm</v>
          </cell>
          <cell r="E259">
            <v>66.599999999999994</v>
          </cell>
          <cell r="F259" t="str">
            <v>cây</v>
          </cell>
          <cell r="G259">
            <v>520000</v>
          </cell>
          <cell r="H259">
            <v>1</v>
          </cell>
          <cell r="I259">
            <v>7807.8078078078097</v>
          </cell>
          <cell r="J259" t="str">
            <v>ĐG 30.12.2022</v>
          </cell>
        </row>
        <row r="260">
          <cell r="B260" t="str">
            <v>Vs2030</v>
          </cell>
          <cell r="C260" t="str">
            <v>Vú sữa</v>
          </cell>
          <cell r="D260" t="str">
            <v>20cm ≤ đk gốc &lt; 30cm</v>
          </cell>
          <cell r="E260">
            <v>66.599999999999994</v>
          </cell>
          <cell r="F260" t="str">
            <v>cây</v>
          </cell>
          <cell r="G260">
            <v>600000</v>
          </cell>
          <cell r="H260">
            <v>1</v>
          </cell>
          <cell r="I260">
            <v>9009.0090090090107</v>
          </cell>
          <cell r="J260" t="str">
            <v>ĐG 30.12.2022</v>
          </cell>
        </row>
        <row r="261">
          <cell r="B261" t="str">
            <v>Vs30+</v>
          </cell>
          <cell r="C261" t="str">
            <v>Vú sữa</v>
          </cell>
          <cell r="D261" t="str">
            <v>đk gốc từ trên 30cm</v>
          </cell>
          <cell r="E261">
            <v>66.599999999999994</v>
          </cell>
          <cell r="F261" t="str">
            <v>cây</v>
          </cell>
          <cell r="G261">
            <v>750000</v>
          </cell>
          <cell r="H261">
            <v>1</v>
          </cell>
          <cell r="I261">
            <v>11261.261261261299</v>
          </cell>
          <cell r="J261" t="str">
            <v>ĐG 30.12.2022</v>
          </cell>
        </row>
        <row r="262">
          <cell r="B262" t="str">
            <v>Vs01vmd</v>
          </cell>
          <cell r="C262" t="str">
            <v>Vú sữa vượt mật độ</v>
          </cell>
          <cell r="D262" t="str">
            <v>cây giống</v>
          </cell>
          <cell r="F262" t="str">
            <v>m2</v>
          </cell>
          <cell r="G262">
            <v>100000</v>
          </cell>
          <cell r="H262">
            <v>0.5</v>
          </cell>
          <cell r="I262">
            <v>100000</v>
          </cell>
          <cell r="J262" t="str">
            <v>ĐG 30.12.2022</v>
          </cell>
        </row>
        <row r="263">
          <cell r="B263" t="str">
            <v>Vs27vmd</v>
          </cell>
          <cell r="C263" t="str">
            <v>Vú sữa vượt mật độ</v>
          </cell>
          <cell r="D263" t="str">
            <v>2cm ≤ đk gốc &lt; 7cm</v>
          </cell>
          <cell r="E263">
            <v>5</v>
          </cell>
          <cell r="F263" t="str">
            <v>cây</v>
          </cell>
          <cell r="G263">
            <v>220000</v>
          </cell>
          <cell r="H263">
            <v>0.5</v>
          </cell>
          <cell r="I263">
            <v>44000</v>
          </cell>
          <cell r="J263" t="str">
            <v>ĐG 30.12.2022</v>
          </cell>
        </row>
        <row r="264">
          <cell r="B264" t="str">
            <v>Vs712vmd</v>
          </cell>
          <cell r="C264" t="str">
            <v>Vú sữa vượt mật độ</v>
          </cell>
          <cell r="D264" t="str">
            <v>7cm ≤ đk gốc &lt; 12cm</v>
          </cell>
          <cell r="E264">
            <v>6.6666666666666696</v>
          </cell>
          <cell r="F264" t="str">
            <v>cây</v>
          </cell>
          <cell r="G264">
            <v>370000</v>
          </cell>
          <cell r="H264">
            <v>0.5</v>
          </cell>
          <cell r="I264">
            <v>55500</v>
          </cell>
          <cell r="J264" t="str">
            <v>ĐG 30.12.2022</v>
          </cell>
        </row>
        <row r="265">
          <cell r="B265" t="str">
            <v>Vs1220vmd</v>
          </cell>
          <cell r="C265" t="str">
            <v>Vú sữa vượt mật độ</v>
          </cell>
          <cell r="D265" t="str">
            <v>12cm ≤ đk gốc &lt; 20cm</v>
          </cell>
          <cell r="E265">
            <v>8.3720930232558093</v>
          </cell>
          <cell r="F265" t="str">
            <v>cây</v>
          </cell>
          <cell r="G265">
            <v>520000</v>
          </cell>
          <cell r="H265">
            <v>0.5</v>
          </cell>
          <cell r="I265">
            <v>62111.111111111102</v>
          </cell>
          <cell r="J265" t="str">
            <v>ĐG 30.12.2022</v>
          </cell>
        </row>
        <row r="266">
          <cell r="B266" t="str">
            <v>Vs2030vmd</v>
          </cell>
          <cell r="C266" t="str">
            <v>Vú sữa vượt mật độ</v>
          </cell>
          <cell r="D266" t="str">
            <v>20cm ≤ đk gốc &lt; 30cm</v>
          </cell>
          <cell r="E266">
            <v>8.3720930232558093</v>
          </cell>
          <cell r="F266" t="str">
            <v>cây</v>
          </cell>
          <cell r="G266">
            <v>600000</v>
          </cell>
          <cell r="H266">
            <v>0.5</v>
          </cell>
          <cell r="I266">
            <v>71666.666666666701</v>
          </cell>
          <cell r="J266" t="str">
            <v>ĐG 30.12.2022</v>
          </cell>
        </row>
        <row r="267">
          <cell r="B267" t="str">
            <v>Vs30+vmd</v>
          </cell>
          <cell r="C267" t="str">
            <v>Vú sữa vượt mật độ</v>
          </cell>
          <cell r="D267" t="str">
            <v>đk gốc từ trên 30cm</v>
          </cell>
          <cell r="E267">
            <v>12.413793103448301</v>
          </cell>
          <cell r="F267" t="str">
            <v>cây</v>
          </cell>
          <cell r="G267">
            <v>750000</v>
          </cell>
          <cell r="H267">
            <v>0.5</v>
          </cell>
          <cell r="I267">
            <v>60416.666666666701</v>
          </cell>
          <cell r="J267" t="str">
            <v>ĐG 30.12.2022</v>
          </cell>
        </row>
        <row r="268">
          <cell r="C268" t="str">
            <v>Mít</v>
          </cell>
          <cell r="E268">
            <v>25</v>
          </cell>
          <cell r="J268" t="str">
            <v>ĐG 30.12.2022</v>
          </cell>
        </row>
        <row r="269">
          <cell r="B269" t="str">
            <v>Mít01</v>
          </cell>
          <cell r="C269" t="str">
            <v>Cây mít</v>
          </cell>
          <cell r="D269" t="str">
            <v>cây giống</v>
          </cell>
          <cell r="E269">
            <v>25</v>
          </cell>
          <cell r="F269" t="str">
            <v>m2</v>
          </cell>
          <cell r="G269">
            <v>100000</v>
          </cell>
          <cell r="H269">
            <v>1</v>
          </cell>
          <cell r="I269">
            <v>100000</v>
          </cell>
          <cell r="J269" t="str">
            <v>ĐG 30.12.2022</v>
          </cell>
        </row>
        <row r="270">
          <cell r="B270" t="str">
            <v>Mít27</v>
          </cell>
          <cell r="C270" t="str">
            <v>Cây mít</v>
          </cell>
          <cell r="D270" t="str">
            <v>2cm ≤ đk gốc &lt; 7cm</v>
          </cell>
          <cell r="E270">
            <v>25</v>
          </cell>
          <cell r="F270" t="str">
            <v>cây</v>
          </cell>
          <cell r="G270">
            <v>220000</v>
          </cell>
          <cell r="H270">
            <v>1</v>
          </cell>
          <cell r="I270">
            <v>8800</v>
          </cell>
          <cell r="J270" t="str">
            <v>ĐG 30.12.2022</v>
          </cell>
        </row>
        <row r="271">
          <cell r="B271" t="str">
            <v>Mít712</v>
          </cell>
          <cell r="C271" t="str">
            <v>Cây mít</v>
          </cell>
          <cell r="D271" t="str">
            <v>7cm ≤ đk gốc &lt; 12cm</v>
          </cell>
          <cell r="E271">
            <v>25</v>
          </cell>
          <cell r="F271" t="str">
            <v>cây</v>
          </cell>
          <cell r="G271">
            <v>370000</v>
          </cell>
          <cell r="H271">
            <v>1</v>
          </cell>
          <cell r="I271">
            <v>14800</v>
          </cell>
          <cell r="J271" t="str">
            <v>ĐG 30.12.2022</v>
          </cell>
        </row>
        <row r="272">
          <cell r="B272" t="str">
            <v>Mít1220</v>
          </cell>
          <cell r="C272" t="str">
            <v>Cây mít</v>
          </cell>
          <cell r="D272" t="str">
            <v>12cm ≤ đk gốc &lt; 20cm</v>
          </cell>
          <cell r="E272">
            <v>25</v>
          </cell>
          <cell r="F272" t="str">
            <v>cây</v>
          </cell>
          <cell r="G272">
            <v>520000</v>
          </cell>
          <cell r="H272">
            <v>1</v>
          </cell>
          <cell r="I272">
            <v>20800</v>
          </cell>
          <cell r="J272" t="str">
            <v>ĐG 30.12.2022</v>
          </cell>
        </row>
        <row r="273">
          <cell r="B273" t="str">
            <v>Mít2030</v>
          </cell>
          <cell r="C273" t="str">
            <v>Cây mít</v>
          </cell>
          <cell r="D273" t="str">
            <v>20cm ≤ đk gốc &lt; 30cm</v>
          </cell>
          <cell r="E273">
            <v>25</v>
          </cell>
          <cell r="F273" t="str">
            <v>cây</v>
          </cell>
          <cell r="G273">
            <v>600000</v>
          </cell>
          <cell r="H273">
            <v>1</v>
          </cell>
          <cell r="I273">
            <v>24000</v>
          </cell>
          <cell r="J273" t="str">
            <v>ĐG 30.12.2022</v>
          </cell>
        </row>
        <row r="274">
          <cell r="B274" t="str">
            <v>Mít30+</v>
          </cell>
          <cell r="C274" t="str">
            <v>Cây mít</v>
          </cell>
          <cell r="D274" t="str">
            <v>đk gốc từ trên 30cm</v>
          </cell>
          <cell r="E274">
            <v>25</v>
          </cell>
          <cell r="F274" t="str">
            <v>cây</v>
          </cell>
          <cell r="G274">
            <v>750000</v>
          </cell>
          <cell r="H274">
            <v>1</v>
          </cell>
          <cell r="I274">
            <v>30000</v>
          </cell>
          <cell r="J274" t="str">
            <v>ĐG 30.12.2022</v>
          </cell>
        </row>
        <row r="275">
          <cell r="B275" t="str">
            <v>Mít01vmd</v>
          </cell>
          <cell r="C275" t="str">
            <v>Cây mít vượt mật độ</v>
          </cell>
          <cell r="D275" t="str">
            <v>cây giống</v>
          </cell>
          <cell r="E275">
            <v>25</v>
          </cell>
          <cell r="F275" t="str">
            <v>m2</v>
          </cell>
          <cell r="G275">
            <v>100000</v>
          </cell>
          <cell r="H275">
            <v>0.5</v>
          </cell>
          <cell r="I275">
            <v>100000</v>
          </cell>
          <cell r="J275" t="str">
            <v>ĐG 30.12.2022</v>
          </cell>
        </row>
        <row r="276">
          <cell r="B276" t="str">
            <v>Mít27vmd</v>
          </cell>
          <cell r="C276" t="str">
            <v>Cây mít vượt mật độ</v>
          </cell>
          <cell r="D276" t="str">
            <v>2cm ≤ đk gốc &lt; 7cm</v>
          </cell>
          <cell r="E276">
            <v>25</v>
          </cell>
          <cell r="F276" t="str">
            <v>cây</v>
          </cell>
          <cell r="G276">
            <v>220000</v>
          </cell>
          <cell r="H276">
            <v>0.5</v>
          </cell>
          <cell r="I276">
            <v>8800</v>
          </cell>
          <cell r="J276" t="str">
            <v>ĐG 30.12.2022</v>
          </cell>
        </row>
        <row r="277">
          <cell r="B277" t="str">
            <v>Mít712vmd</v>
          </cell>
          <cell r="C277" t="str">
            <v>Cây mít vượt mật độ</v>
          </cell>
          <cell r="D277" t="str">
            <v>7cm ≤ đk gốc &lt; 12cm</v>
          </cell>
          <cell r="E277">
            <v>25</v>
          </cell>
          <cell r="F277" t="str">
            <v>cây</v>
          </cell>
          <cell r="G277">
            <v>370000</v>
          </cell>
          <cell r="H277">
            <v>0.5</v>
          </cell>
          <cell r="I277">
            <v>14800</v>
          </cell>
          <cell r="J277" t="str">
            <v>ĐG 30.12.2022</v>
          </cell>
        </row>
        <row r="278">
          <cell r="B278" t="str">
            <v>Mít1220vmd</v>
          </cell>
          <cell r="C278" t="str">
            <v>Cây mít vượt mật độ</v>
          </cell>
          <cell r="D278" t="str">
            <v>12cm ≤ đk gốc &lt; 20cm</v>
          </cell>
          <cell r="E278">
            <v>25</v>
          </cell>
          <cell r="F278" t="str">
            <v>cây</v>
          </cell>
          <cell r="G278">
            <v>520000</v>
          </cell>
          <cell r="H278">
            <v>0.5</v>
          </cell>
          <cell r="I278">
            <v>20800</v>
          </cell>
          <cell r="J278" t="str">
            <v>ĐG 30.12.2022</v>
          </cell>
        </row>
        <row r="279">
          <cell r="B279" t="str">
            <v>Mít2030vmd</v>
          </cell>
          <cell r="C279" t="str">
            <v>Cây mít vượt mật độ</v>
          </cell>
          <cell r="D279" t="str">
            <v>20cm ≤ đk gốc &lt; 30cm</v>
          </cell>
          <cell r="E279">
            <v>25</v>
          </cell>
          <cell r="F279" t="str">
            <v>cây</v>
          </cell>
          <cell r="G279">
            <v>600000</v>
          </cell>
          <cell r="H279">
            <v>0.5</v>
          </cell>
          <cell r="I279">
            <v>24000</v>
          </cell>
          <cell r="J279" t="str">
            <v>ĐG 30.12.2022</v>
          </cell>
        </row>
        <row r="280">
          <cell r="B280" t="str">
            <v>Mít30+vmd</v>
          </cell>
          <cell r="C280" t="str">
            <v>Cây mít vượt mật độ</v>
          </cell>
          <cell r="D280" t="str">
            <v>đk gốc từ trên 30cm</v>
          </cell>
          <cell r="E280">
            <v>25</v>
          </cell>
          <cell r="F280" t="str">
            <v>cây</v>
          </cell>
          <cell r="G280">
            <v>750000</v>
          </cell>
          <cell r="H280">
            <v>0.5</v>
          </cell>
          <cell r="I280">
            <v>30000</v>
          </cell>
          <cell r="J280" t="str">
            <v>ĐG 30.12.2022</v>
          </cell>
        </row>
        <row r="281">
          <cell r="C281" t="str">
            <v>Sấu</v>
          </cell>
          <cell r="J281" t="str">
            <v>ĐG 30.12.2022</v>
          </cell>
        </row>
        <row r="282">
          <cell r="B282" t="str">
            <v>Sấu01</v>
          </cell>
          <cell r="C282" t="str">
            <v>Cây sấu</v>
          </cell>
          <cell r="D282" t="str">
            <v>cây giống</v>
          </cell>
          <cell r="F282" t="str">
            <v>m2</v>
          </cell>
          <cell r="G282">
            <v>100000</v>
          </cell>
          <cell r="H282">
            <v>1</v>
          </cell>
          <cell r="I282">
            <v>100000</v>
          </cell>
          <cell r="J282" t="str">
            <v>ĐG 30.12.2022</v>
          </cell>
        </row>
        <row r="283">
          <cell r="B283" t="str">
            <v>Sấu27</v>
          </cell>
          <cell r="C283" t="str">
            <v>Cây sấu</v>
          </cell>
          <cell r="D283" t="str">
            <v>2cm ≤ đk gốc &lt; 7cm</v>
          </cell>
          <cell r="E283">
            <v>8.3720930232558093</v>
          </cell>
          <cell r="F283" t="str">
            <v>cây</v>
          </cell>
          <cell r="G283">
            <v>220000</v>
          </cell>
          <cell r="H283">
            <v>1</v>
          </cell>
          <cell r="I283">
            <v>26277.777777777799</v>
          </cell>
          <cell r="J283" t="str">
            <v>ĐG 30.12.2022</v>
          </cell>
        </row>
        <row r="284">
          <cell r="B284" t="str">
            <v>Sấu712</v>
          </cell>
          <cell r="C284" t="str">
            <v>Cây sấu</v>
          </cell>
          <cell r="D284" t="str">
            <v>7cm ≤ đk gốc &lt; 12cm</v>
          </cell>
          <cell r="E284">
            <v>10</v>
          </cell>
          <cell r="F284" t="str">
            <v>cây</v>
          </cell>
          <cell r="G284">
            <v>370000</v>
          </cell>
          <cell r="H284">
            <v>1</v>
          </cell>
          <cell r="I284">
            <v>37000</v>
          </cell>
          <cell r="J284" t="str">
            <v>ĐG 30.12.2022</v>
          </cell>
        </row>
        <row r="285">
          <cell r="B285" t="str">
            <v>Sấu1220</v>
          </cell>
          <cell r="C285" t="str">
            <v>Cây sấu</v>
          </cell>
          <cell r="D285" t="str">
            <v>12cm ≤ đk gốc &lt; 20cm</v>
          </cell>
          <cell r="E285">
            <v>12.413793103448301</v>
          </cell>
          <cell r="F285" t="str">
            <v>cây</v>
          </cell>
          <cell r="G285">
            <v>520000</v>
          </cell>
          <cell r="H285">
            <v>1</v>
          </cell>
          <cell r="I285">
            <v>41888.888888888898</v>
          </cell>
          <cell r="J285" t="str">
            <v>ĐG 30.12.2022</v>
          </cell>
        </row>
        <row r="286">
          <cell r="B286" t="str">
            <v>Sấu2030</v>
          </cell>
          <cell r="C286" t="str">
            <v>Cây sấu</v>
          </cell>
          <cell r="D286" t="str">
            <v>20cm ≤ đk gốc &lt; 30cm</v>
          </cell>
          <cell r="E286">
            <v>12.413793103448301</v>
          </cell>
          <cell r="F286" t="str">
            <v>cây</v>
          </cell>
          <cell r="G286">
            <v>600000</v>
          </cell>
          <cell r="H286">
            <v>1</v>
          </cell>
          <cell r="I286">
            <v>48333.333333333299</v>
          </cell>
          <cell r="J286" t="str">
            <v>ĐG 30.12.2022</v>
          </cell>
        </row>
        <row r="287">
          <cell r="B287" t="str">
            <v>Sấu30+</v>
          </cell>
          <cell r="C287" t="str">
            <v>Cây sấu</v>
          </cell>
          <cell r="D287" t="str">
            <v>đk gốc từ trên 30cm</v>
          </cell>
          <cell r="E287">
            <v>14.4</v>
          </cell>
          <cell r="F287" t="str">
            <v>cây</v>
          </cell>
          <cell r="G287">
            <v>750000</v>
          </cell>
          <cell r="H287">
            <v>1</v>
          </cell>
          <cell r="I287">
            <v>52083.333333333299</v>
          </cell>
          <cell r="J287" t="str">
            <v>ĐG 30.12.2022</v>
          </cell>
        </row>
        <row r="288">
          <cell r="B288" t="str">
            <v>Sấu01vmd</v>
          </cell>
          <cell r="C288" t="str">
            <v>Cây sấu vượt mật độ</v>
          </cell>
          <cell r="D288" t="str">
            <v>cây giống</v>
          </cell>
          <cell r="F288" t="str">
            <v>m2</v>
          </cell>
          <cell r="G288">
            <v>100000</v>
          </cell>
          <cell r="H288">
            <v>0</v>
          </cell>
          <cell r="I288">
            <v>100000</v>
          </cell>
          <cell r="J288" t="str">
            <v>ĐG 30.12.2022</v>
          </cell>
        </row>
        <row r="289">
          <cell r="B289" t="str">
            <v>Sấu27vmd</v>
          </cell>
          <cell r="C289" t="str">
            <v>Cây sấu vượt mật độ</v>
          </cell>
          <cell r="D289" t="str">
            <v>2cm ≤ đk gốc &lt; 7cm</v>
          </cell>
          <cell r="E289">
            <v>8.3720930232558093</v>
          </cell>
          <cell r="F289" t="str">
            <v>cây</v>
          </cell>
          <cell r="G289">
            <v>220000</v>
          </cell>
          <cell r="H289">
            <v>0.5</v>
          </cell>
          <cell r="I289">
            <v>26277.777777777799</v>
          </cell>
          <cell r="J289" t="str">
            <v>ĐG 30.12.2022</v>
          </cell>
        </row>
        <row r="290">
          <cell r="B290" t="str">
            <v>Sấu712vmd</v>
          </cell>
          <cell r="C290" t="str">
            <v>Cây sấu vượt mật độ</v>
          </cell>
          <cell r="D290" t="str">
            <v>7cm ≤ đk gốc &lt; 12cm</v>
          </cell>
          <cell r="E290">
            <v>10</v>
          </cell>
          <cell r="F290" t="str">
            <v>cây</v>
          </cell>
          <cell r="G290">
            <v>370000</v>
          </cell>
          <cell r="H290">
            <v>0.5</v>
          </cell>
          <cell r="I290">
            <v>37000</v>
          </cell>
          <cell r="J290" t="str">
            <v>ĐG 30.12.2022</v>
          </cell>
        </row>
        <row r="291">
          <cell r="B291" t="str">
            <v>Sấu1220vmd</v>
          </cell>
          <cell r="C291" t="str">
            <v>Cây sấu vượt mật độ</v>
          </cell>
          <cell r="D291" t="str">
            <v>12cm ≤ đk gốc &lt; 20cm</v>
          </cell>
          <cell r="E291">
            <v>12.413793103448301</v>
          </cell>
          <cell r="F291" t="str">
            <v>cây</v>
          </cell>
          <cell r="G291">
            <v>520000</v>
          </cell>
          <cell r="H291">
            <v>0.5</v>
          </cell>
          <cell r="J291" t="str">
            <v>ĐG 30.12.2022</v>
          </cell>
        </row>
        <row r="292">
          <cell r="B292" t="str">
            <v>Sấu2030vmd</v>
          </cell>
          <cell r="C292" t="str">
            <v>Cây sấu vượt mật độ</v>
          </cell>
          <cell r="D292" t="str">
            <v>20cm ≤ đk gốc &lt; 30cm</v>
          </cell>
          <cell r="E292">
            <v>12.413793103448301</v>
          </cell>
          <cell r="F292" t="str">
            <v>cây</v>
          </cell>
          <cell r="G292">
            <v>600000</v>
          </cell>
          <cell r="H292">
            <v>0.5</v>
          </cell>
          <cell r="I292">
            <v>48333.333333333299</v>
          </cell>
          <cell r="J292" t="str">
            <v>ĐG 30.12.2022</v>
          </cell>
        </row>
        <row r="293">
          <cell r="B293" t="str">
            <v>Sấu30+vmd</v>
          </cell>
          <cell r="C293" t="str">
            <v>Cây sấu vượt mật độ</v>
          </cell>
          <cell r="D293" t="str">
            <v>đk gốc từ trên 30cm</v>
          </cell>
          <cell r="E293">
            <v>14.4</v>
          </cell>
          <cell r="F293" t="str">
            <v>cây</v>
          </cell>
          <cell r="G293">
            <v>750000</v>
          </cell>
          <cell r="H293">
            <v>0.5</v>
          </cell>
          <cell r="I293">
            <v>52083.333333333299</v>
          </cell>
          <cell r="J293" t="str">
            <v>ĐG 30.12.2022</v>
          </cell>
        </row>
        <row r="294">
          <cell r="C294" t="str">
            <v>Cau ăn quả</v>
          </cell>
          <cell r="E294">
            <v>10</v>
          </cell>
          <cell r="J294" t="str">
            <v>ĐG 30.12.2022</v>
          </cell>
        </row>
        <row r="295">
          <cell r="B295" t="str">
            <v>Cauaq01</v>
          </cell>
          <cell r="C295" t="str">
            <v>Cau ăn quả</v>
          </cell>
          <cell r="D295" t="str">
            <v>cây giống</v>
          </cell>
          <cell r="F295" t="str">
            <v>m2</v>
          </cell>
          <cell r="G295">
            <v>60000</v>
          </cell>
          <cell r="H295">
            <v>1</v>
          </cell>
          <cell r="I295">
            <v>60000</v>
          </cell>
          <cell r="J295" t="str">
            <v>ĐG 30.12.2022</v>
          </cell>
        </row>
        <row r="296">
          <cell r="B296" t="str">
            <v>Cauaq69</v>
          </cell>
          <cell r="C296" t="str">
            <v>Cau ăn quả</v>
          </cell>
          <cell r="D296" t="str">
            <v>6cm ≤ đk gốc &lt; 9cm</v>
          </cell>
          <cell r="E296">
            <v>10</v>
          </cell>
          <cell r="F296" t="str">
            <v>cây</v>
          </cell>
          <cell r="G296">
            <v>95000</v>
          </cell>
          <cell r="H296">
            <v>1</v>
          </cell>
          <cell r="I296">
            <v>9500</v>
          </cell>
          <cell r="J296" t="str">
            <v>ĐG 30.12.2022</v>
          </cell>
        </row>
        <row r="297">
          <cell r="B297" t="str">
            <v>Cauaq912</v>
          </cell>
          <cell r="C297" t="str">
            <v>Cau ăn quả</v>
          </cell>
          <cell r="D297" t="str">
            <v>9cm ≤ đk gốc &lt; 12cm</v>
          </cell>
          <cell r="E297">
            <v>10</v>
          </cell>
          <cell r="F297" t="str">
            <v>cây</v>
          </cell>
          <cell r="G297">
            <v>140000</v>
          </cell>
          <cell r="H297">
            <v>1</v>
          </cell>
          <cell r="I297">
            <v>14000</v>
          </cell>
          <cell r="J297" t="str">
            <v>ĐG 30.12.2022</v>
          </cell>
        </row>
        <row r="298">
          <cell r="B298" t="str">
            <v>Cauaq1215</v>
          </cell>
          <cell r="C298" t="str">
            <v>Cau ăn quả</v>
          </cell>
          <cell r="D298" t="str">
            <v>12cm ≤ đk gốc &lt; 15cm</v>
          </cell>
          <cell r="E298">
            <v>10</v>
          </cell>
          <cell r="F298" t="str">
            <v>cây</v>
          </cell>
          <cell r="G298">
            <v>190000</v>
          </cell>
          <cell r="H298">
            <v>1</v>
          </cell>
          <cell r="I298">
            <v>19000</v>
          </cell>
          <cell r="J298" t="str">
            <v>ĐG 30.12.2022</v>
          </cell>
        </row>
        <row r="299">
          <cell r="B299" t="str">
            <v>Cauaq1520</v>
          </cell>
          <cell r="C299" t="str">
            <v>Cau ăn quả</v>
          </cell>
          <cell r="D299" t="str">
            <v>15cm ≤ đk gốc &lt; 20cm</v>
          </cell>
          <cell r="E299">
            <v>10</v>
          </cell>
          <cell r="F299" t="str">
            <v>cây</v>
          </cell>
          <cell r="G299">
            <v>240000</v>
          </cell>
          <cell r="H299">
            <v>1</v>
          </cell>
          <cell r="I299">
            <v>24000</v>
          </cell>
          <cell r="J299" t="str">
            <v>ĐG 30.12.2022</v>
          </cell>
        </row>
        <row r="300">
          <cell r="B300" t="str">
            <v>Cauaq2025</v>
          </cell>
          <cell r="C300" t="str">
            <v>Cau ăn quả</v>
          </cell>
          <cell r="D300" t="str">
            <v>20cm ≤ đk gốc &lt; 25cm</v>
          </cell>
          <cell r="E300">
            <v>10</v>
          </cell>
          <cell r="F300" t="str">
            <v>cây</v>
          </cell>
          <cell r="G300">
            <v>320000</v>
          </cell>
          <cell r="H300">
            <v>1</v>
          </cell>
          <cell r="I300">
            <v>32000</v>
          </cell>
          <cell r="J300" t="str">
            <v>ĐG 30.12.2022</v>
          </cell>
        </row>
        <row r="301">
          <cell r="B301" t="str">
            <v>Cauaq2530</v>
          </cell>
          <cell r="C301" t="str">
            <v>Cau ăn quả</v>
          </cell>
          <cell r="D301" t="str">
            <v>25cm ≤ đk gốc &lt; 30cm</v>
          </cell>
          <cell r="E301">
            <v>10</v>
          </cell>
          <cell r="F301" t="str">
            <v>cây</v>
          </cell>
          <cell r="G301">
            <v>330000</v>
          </cell>
          <cell r="H301">
            <v>1</v>
          </cell>
          <cell r="I301">
            <v>33000</v>
          </cell>
          <cell r="J301" t="str">
            <v>ĐG 30.12.2022</v>
          </cell>
        </row>
        <row r="302">
          <cell r="B302" t="str">
            <v>Cauaq3035</v>
          </cell>
          <cell r="C302" t="str">
            <v>Cau ăn quả</v>
          </cell>
          <cell r="D302" t="str">
            <v>30cm ≤ đk gốc &lt; 35cm</v>
          </cell>
          <cell r="E302">
            <v>10</v>
          </cell>
          <cell r="F302" t="str">
            <v>cây</v>
          </cell>
          <cell r="G302">
            <v>400000</v>
          </cell>
          <cell r="H302">
            <v>1</v>
          </cell>
          <cell r="I302">
            <v>40000</v>
          </cell>
          <cell r="J302" t="str">
            <v>ĐG 30.12.2022</v>
          </cell>
        </row>
        <row r="303">
          <cell r="B303" t="str">
            <v>Cauaq35+</v>
          </cell>
          <cell r="C303" t="str">
            <v>Cau ăn quả</v>
          </cell>
          <cell r="D303" t="str">
            <v>Dk từ 35cm trở lên</v>
          </cell>
          <cell r="E303">
            <v>10</v>
          </cell>
          <cell r="F303" t="str">
            <v>cây</v>
          </cell>
          <cell r="G303">
            <v>430000</v>
          </cell>
          <cell r="H303">
            <v>1</v>
          </cell>
          <cell r="I303">
            <v>43000</v>
          </cell>
          <cell r="J303" t="str">
            <v>ĐG 30.12.2022</v>
          </cell>
        </row>
        <row r="304">
          <cell r="B304" t="str">
            <v>Cauaq01vmd</v>
          </cell>
          <cell r="C304" t="str">
            <v>Cau ăn quả vượt mật độ</v>
          </cell>
          <cell r="D304" t="str">
            <v>cây giống</v>
          </cell>
          <cell r="E304">
            <v>10</v>
          </cell>
          <cell r="F304" t="str">
            <v>m2</v>
          </cell>
          <cell r="G304">
            <v>60000</v>
          </cell>
          <cell r="H304">
            <v>0.5</v>
          </cell>
          <cell r="I304">
            <v>60000</v>
          </cell>
          <cell r="J304" t="str">
            <v>ĐG 30.12.2022</v>
          </cell>
        </row>
        <row r="305">
          <cell r="B305" t="str">
            <v>Cauaq69vmd</v>
          </cell>
          <cell r="C305" t="str">
            <v>Cau ăn quả vượt mật độ</v>
          </cell>
          <cell r="D305" t="str">
            <v>6cm ≤ đk gốc &lt; 9cm</v>
          </cell>
          <cell r="E305">
            <v>10</v>
          </cell>
          <cell r="F305" t="str">
            <v>cây</v>
          </cell>
          <cell r="G305">
            <v>95000</v>
          </cell>
          <cell r="H305">
            <v>0.5</v>
          </cell>
          <cell r="I305">
            <v>9500</v>
          </cell>
          <cell r="J305" t="str">
            <v>ĐG 30.12.2022</v>
          </cell>
        </row>
        <row r="306">
          <cell r="B306" t="str">
            <v>Cauaq912vmd</v>
          </cell>
          <cell r="C306" t="str">
            <v>Cau ăn quả vượt mật độ</v>
          </cell>
          <cell r="D306" t="str">
            <v>9cm ≤ đk gốc &lt; 12cm</v>
          </cell>
          <cell r="E306">
            <v>10</v>
          </cell>
          <cell r="F306" t="str">
            <v>cây</v>
          </cell>
          <cell r="G306">
            <v>140000</v>
          </cell>
          <cell r="H306">
            <v>0.5</v>
          </cell>
          <cell r="I306">
            <v>14000</v>
          </cell>
          <cell r="J306" t="str">
            <v>ĐG 30.12.2022</v>
          </cell>
        </row>
        <row r="307">
          <cell r="B307" t="str">
            <v>Cauaq1215vmd</v>
          </cell>
          <cell r="C307" t="str">
            <v>Cau ăn quả vượt mật độ</v>
          </cell>
          <cell r="D307" t="str">
            <v>12cm ≤ đk gốc &lt; 15cm</v>
          </cell>
          <cell r="E307">
            <v>10</v>
          </cell>
          <cell r="F307" t="str">
            <v>cây</v>
          </cell>
          <cell r="G307">
            <v>190000</v>
          </cell>
          <cell r="H307">
            <v>0.5</v>
          </cell>
          <cell r="I307">
            <v>19000</v>
          </cell>
          <cell r="J307" t="str">
            <v>ĐG 30.12.2022</v>
          </cell>
        </row>
        <row r="308">
          <cell r="B308" t="str">
            <v>Cauaq1520vmd</v>
          </cell>
          <cell r="C308" t="str">
            <v>Cau ăn quả vượt mật độ</v>
          </cell>
          <cell r="D308" t="str">
            <v>15cm ≤ đk gốc &lt; 20cm</v>
          </cell>
          <cell r="E308">
            <v>10</v>
          </cell>
          <cell r="F308" t="str">
            <v>cây</v>
          </cell>
          <cell r="G308">
            <v>240000</v>
          </cell>
          <cell r="H308">
            <v>0.5</v>
          </cell>
          <cell r="I308">
            <v>24000</v>
          </cell>
          <cell r="J308" t="str">
            <v>ĐG 30.12.2022</v>
          </cell>
        </row>
        <row r="309">
          <cell r="B309" t="str">
            <v>Cauaq2025vmd</v>
          </cell>
          <cell r="C309" t="str">
            <v>Cau ăn quả vượt mật độ</v>
          </cell>
          <cell r="D309" t="str">
            <v>20cm ≤ đk gốc &lt; 25cm</v>
          </cell>
          <cell r="E309">
            <v>10</v>
          </cell>
          <cell r="F309" t="str">
            <v>cây</v>
          </cell>
          <cell r="G309">
            <v>320000</v>
          </cell>
          <cell r="H309">
            <v>0.5</v>
          </cell>
          <cell r="I309">
            <v>32000</v>
          </cell>
          <cell r="J309" t="str">
            <v>ĐG 30.12.2022</v>
          </cell>
        </row>
        <row r="310">
          <cell r="B310" t="str">
            <v>Cauaq2530vmd</v>
          </cell>
          <cell r="C310" t="str">
            <v>Cau ăn quả vượt mật độ</v>
          </cell>
          <cell r="D310" t="str">
            <v>25cm ≤ đk gốc &lt; 30cm</v>
          </cell>
          <cell r="E310">
            <v>10</v>
          </cell>
          <cell r="F310" t="str">
            <v>cây</v>
          </cell>
          <cell r="G310">
            <v>330000</v>
          </cell>
          <cell r="H310">
            <v>0.5</v>
          </cell>
          <cell r="I310">
            <v>33000</v>
          </cell>
          <cell r="J310" t="str">
            <v>ĐG 30.12.2022</v>
          </cell>
        </row>
        <row r="311">
          <cell r="B311" t="str">
            <v>Cauaq3035vmd</v>
          </cell>
          <cell r="C311" t="str">
            <v>Cau ăn quả vượt mật độ</v>
          </cell>
          <cell r="D311" t="str">
            <v>30cm ≤ đk gốc &lt; 35cm</v>
          </cell>
          <cell r="E311">
            <v>10</v>
          </cell>
          <cell r="F311" t="str">
            <v>cây</v>
          </cell>
          <cell r="G311">
            <v>400000</v>
          </cell>
          <cell r="H311">
            <v>0.5</v>
          </cell>
          <cell r="I311">
            <v>40000</v>
          </cell>
          <cell r="J311" t="str">
            <v>ĐG 30.12.2022</v>
          </cell>
        </row>
        <row r="312">
          <cell r="B312" t="str">
            <v>Cauaq35+vmd</v>
          </cell>
          <cell r="C312" t="str">
            <v>Cau ăn quả vượt mật độ</v>
          </cell>
          <cell r="D312" t="str">
            <v>Dk từ 35cm trở lên</v>
          </cell>
          <cell r="E312">
            <v>10</v>
          </cell>
          <cell r="F312" t="str">
            <v>cây</v>
          </cell>
          <cell r="G312">
            <v>430000</v>
          </cell>
          <cell r="H312">
            <v>0.5</v>
          </cell>
          <cell r="I312">
            <v>43000</v>
          </cell>
          <cell r="J312" t="str">
            <v>ĐG 30.12.2022</v>
          </cell>
        </row>
        <row r="313">
          <cell r="C313" t="str">
            <v>Cây cau khác</v>
          </cell>
          <cell r="J313" t="str">
            <v>ĐG 30.12.2022</v>
          </cell>
        </row>
        <row r="314">
          <cell r="B314" t="str">
            <v>Cau#01</v>
          </cell>
          <cell r="C314" t="str">
            <v>Cau khác</v>
          </cell>
          <cell r="D314" t="str">
            <v>cây giống</v>
          </cell>
          <cell r="F314" t="str">
            <v>m2</v>
          </cell>
          <cell r="G314">
            <v>45000</v>
          </cell>
          <cell r="H314">
            <v>1</v>
          </cell>
          <cell r="I314">
            <v>45000</v>
          </cell>
          <cell r="J314" t="str">
            <v>ĐG 30.12.2022</v>
          </cell>
        </row>
        <row r="315">
          <cell r="B315" t="str">
            <v>Cau#27</v>
          </cell>
          <cell r="C315" t="str">
            <v>Cau khác</v>
          </cell>
          <cell r="D315" t="str">
            <v>2cm ≤ đk gốc &lt; 7cm</v>
          </cell>
          <cell r="E315">
            <v>1</v>
          </cell>
          <cell r="F315" t="str">
            <v>cây</v>
          </cell>
          <cell r="G315">
            <v>55000</v>
          </cell>
          <cell r="H315">
            <v>1</v>
          </cell>
          <cell r="I315">
            <v>55000</v>
          </cell>
          <cell r="J315" t="str">
            <v>ĐG 30.12.2022</v>
          </cell>
        </row>
        <row r="316">
          <cell r="B316" t="str">
            <v>Cau#712</v>
          </cell>
          <cell r="C316" t="str">
            <v>Cau khác</v>
          </cell>
          <cell r="D316" t="str">
            <v>7cm ≤ đk gốc &lt; 12cm</v>
          </cell>
          <cell r="E316">
            <v>2</v>
          </cell>
          <cell r="F316" t="str">
            <v>cây</v>
          </cell>
          <cell r="G316">
            <v>120000</v>
          </cell>
          <cell r="H316">
            <v>1</v>
          </cell>
          <cell r="I316">
            <v>60000</v>
          </cell>
          <cell r="J316" t="str">
            <v>ĐG 30.12.2022</v>
          </cell>
        </row>
        <row r="317">
          <cell r="B317" t="str">
            <v>Cau#1217</v>
          </cell>
          <cell r="C317" t="str">
            <v>Cau khác</v>
          </cell>
          <cell r="D317" t="str">
            <v>12cm ≤ đk gốc &lt; 17cm</v>
          </cell>
          <cell r="E317">
            <v>2</v>
          </cell>
          <cell r="F317" t="str">
            <v>cây</v>
          </cell>
          <cell r="G317">
            <v>145000</v>
          </cell>
          <cell r="H317">
            <v>1</v>
          </cell>
          <cell r="I317">
            <v>72500</v>
          </cell>
          <cell r="J317" t="str">
            <v>ĐG 30.12.2022</v>
          </cell>
        </row>
        <row r="318">
          <cell r="B318" t="str">
            <v>Cau#1722</v>
          </cell>
          <cell r="C318" t="str">
            <v>Cau khác</v>
          </cell>
          <cell r="D318" t="str">
            <v>17cm ≤ đk gốc &lt; 22cm</v>
          </cell>
          <cell r="E318">
            <v>2.5</v>
          </cell>
          <cell r="F318" t="str">
            <v>cây</v>
          </cell>
          <cell r="G318">
            <v>190000</v>
          </cell>
          <cell r="H318">
            <v>1</v>
          </cell>
          <cell r="I318">
            <v>76000</v>
          </cell>
          <cell r="J318" t="str">
            <v>ĐG 30.12.2022</v>
          </cell>
        </row>
        <row r="319">
          <cell r="B319" t="str">
            <v>Cau#2227</v>
          </cell>
          <cell r="C319" t="str">
            <v>Cau khác</v>
          </cell>
          <cell r="D319" t="str">
            <v>22cm ≤ đk gốc &lt; 27cm</v>
          </cell>
          <cell r="E319">
            <v>3</v>
          </cell>
          <cell r="F319" t="str">
            <v>cây</v>
          </cell>
          <cell r="G319">
            <v>250000</v>
          </cell>
          <cell r="H319">
            <v>1</v>
          </cell>
          <cell r="I319">
            <v>83333.333333333299</v>
          </cell>
          <cell r="J319" t="str">
            <v>ĐG 30.12.2022</v>
          </cell>
        </row>
        <row r="320">
          <cell r="B320" t="str">
            <v>Cau#2732</v>
          </cell>
          <cell r="C320" t="str">
            <v>Cau khác</v>
          </cell>
          <cell r="D320" t="str">
            <v>27cm ≤ đk gốc &lt; 32cm</v>
          </cell>
          <cell r="E320">
            <v>3.5</v>
          </cell>
          <cell r="F320" t="str">
            <v>cây</v>
          </cell>
          <cell r="G320">
            <v>320000</v>
          </cell>
          <cell r="H320">
            <v>1</v>
          </cell>
          <cell r="I320">
            <v>91428.571428571406</v>
          </cell>
          <cell r="J320" t="str">
            <v>ĐG 30.12.2022</v>
          </cell>
        </row>
        <row r="321">
          <cell r="B321" t="str">
            <v>Cau#3235</v>
          </cell>
          <cell r="C321" t="str">
            <v>Cau khác</v>
          </cell>
          <cell r="D321" t="str">
            <v>32cm ≤ đk gốc &lt; 35cm</v>
          </cell>
          <cell r="E321">
            <v>4</v>
          </cell>
          <cell r="F321" t="str">
            <v>cây</v>
          </cell>
          <cell r="G321">
            <v>380000</v>
          </cell>
          <cell r="H321">
            <v>1</v>
          </cell>
          <cell r="I321">
            <v>95000</v>
          </cell>
          <cell r="J321" t="str">
            <v>ĐG 30.12.2022</v>
          </cell>
        </row>
        <row r="322">
          <cell r="B322" t="str">
            <v>Cau#35+</v>
          </cell>
          <cell r="C322" t="str">
            <v>Cau khác</v>
          </cell>
          <cell r="D322" t="str">
            <v>đk gốc từ trên 35cm</v>
          </cell>
          <cell r="E322">
            <v>4</v>
          </cell>
          <cell r="F322" t="str">
            <v>cây</v>
          </cell>
          <cell r="G322">
            <v>400000</v>
          </cell>
          <cell r="H322">
            <v>1</v>
          </cell>
          <cell r="I322">
            <v>100000</v>
          </cell>
          <cell r="J322" t="str">
            <v>ĐG 30.12.2022</v>
          </cell>
        </row>
        <row r="323">
          <cell r="B323" t="str">
            <v>Cau#27vmd</v>
          </cell>
          <cell r="C323" t="str">
            <v>Cau khác vượt mật độ</v>
          </cell>
          <cell r="D323" t="str">
            <v>2cm ≤ đk gốc &lt; 7cm</v>
          </cell>
          <cell r="E323">
            <v>1</v>
          </cell>
          <cell r="F323" t="str">
            <v>cây</v>
          </cell>
          <cell r="G323">
            <v>55000</v>
          </cell>
          <cell r="H323">
            <v>0.5</v>
          </cell>
          <cell r="I323">
            <v>55000</v>
          </cell>
          <cell r="J323" t="str">
            <v>ĐG 30.12.2022</v>
          </cell>
        </row>
        <row r="324">
          <cell r="B324" t="str">
            <v>Cau#712vmd</v>
          </cell>
          <cell r="C324" t="str">
            <v>Cau khác vượt mật độ</v>
          </cell>
          <cell r="D324" t="str">
            <v>7cm ≤ đk gốc &lt; 12cm</v>
          </cell>
          <cell r="E324">
            <v>2</v>
          </cell>
          <cell r="F324" t="str">
            <v>cây</v>
          </cell>
          <cell r="G324">
            <v>120000</v>
          </cell>
          <cell r="H324">
            <v>0.5</v>
          </cell>
          <cell r="I324">
            <v>60000</v>
          </cell>
          <cell r="J324" t="str">
            <v>ĐG 30.12.2022</v>
          </cell>
        </row>
        <row r="325">
          <cell r="B325" t="str">
            <v>Cau#1217vmd</v>
          </cell>
          <cell r="C325" t="str">
            <v>Cau khác vượt mật độ</v>
          </cell>
          <cell r="D325" t="str">
            <v>12cm ≤ đk gốc &lt; 17cm</v>
          </cell>
          <cell r="E325">
            <v>2</v>
          </cell>
          <cell r="F325" t="str">
            <v>cây</v>
          </cell>
          <cell r="G325">
            <v>145000</v>
          </cell>
          <cell r="H325">
            <v>0.5</v>
          </cell>
          <cell r="I325">
            <v>72500</v>
          </cell>
          <cell r="J325" t="str">
            <v>ĐG 30.12.2022</v>
          </cell>
        </row>
        <row r="326">
          <cell r="B326" t="str">
            <v>Cau#1722vmd</v>
          </cell>
          <cell r="C326" t="str">
            <v>Cau khác vượt mật độ</v>
          </cell>
          <cell r="D326" t="str">
            <v>17cm ≤ đk gốc &lt; 22cm</v>
          </cell>
          <cell r="E326">
            <v>2.5</v>
          </cell>
          <cell r="F326" t="str">
            <v>cây</v>
          </cell>
          <cell r="G326">
            <v>190000</v>
          </cell>
          <cell r="H326">
            <v>0.5</v>
          </cell>
          <cell r="I326">
            <v>76000</v>
          </cell>
          <cell r="J326" t="str">
            <v>ĐG 30.12.2022</v>
          </cell>
        </row>
        <row r="327">
          <cell r="B327" t="str">
            <v>Cau#2227vmd</v>
          </cell>
          <cell r="C327" t="str">
            <v>Cau khác vượt mật độ</v>
          </cell>
          <cell r="D327" t="str">
            <v>22cm ≤ đk gốc &lt; 27cm</v>
          </cell>
          <cell r="E327">
            <v>3</v>
          </cell>
          <cell r="F327" t="str">
            <v>cây</v>
          </cell>
          <cell r="G327">
            <v>250000</v>
          </cell>
          <cell r="H327">
            <v>0.5</v>
          </cell>
          <cell r="I327">
            <v>83333.333333333299</v>
          </cell>
          <cell r="J327" t="str">
            <v>ĐG 30.12.2022</v>
          </cell>
        </row>
        <row r="328">
          <cell r="B328" t="str">
            <v>Cau#2732vmd</v>
          </cell>
          <cell r="C328" t="str">
            <v>Cau khác vượt mật độ</v>
          </cell>
          <cell r="D328" t="str">
            <v>27cm ≤ đk gốc &lt; 32cm</v>
          </cell>
          <cell r="E328">
            <v>3.5</v>
          </cell>
          <cell r="F328" t="str">
            <v>cây</v>
          </cell>
          <cell r="G328">
            <v>320000</v>
          </cell>
          <cell r="H328">
            <v>0.5</v>
          </cell>
          <cell r="I328">
            <v>91428.571428571406</v>
          </cell>
          <cell r="J328" t="str">
            <v>ĐG 30.12.2022</v>
          </cell>
        </row>
        <row r="329">
          <cell r="B329" t="str">
            <v>Cau#3235vmd</v>
          </cell>
          <cell r="C329" t="str">
            <v>Cau khác vượt mật độ</v>
          </cell>
          <cell r="D329" t="str">
            <v>32cm ≤ đk gốc &lt; 35cm</v>
          </cell>
          <cell r="E329">
            <v>4</v>
          </cell>
          <cell r="F329" t="str">
            <v>cây</v>
          </cell>
          <cell r="G329">
            <v>380000</v>
          </cell>
          <cell r="H329">
            <v>0.5</v>
          </cell>
          <cell r="I329">
            <v>95000</v>
          </cell>
          <cell r="J329" t="str">
            <v>ĐG 30.12.2022</v>
          </cell>
        </row>
        <row r="330">
          <cell r="B330" t="str">
            <v>Cau#35+vmd</v>
          </cell>
          <cell r="C330" t="str">
            <v>Cau khác vượt mật độ</v>
          </cell>
          <cell r="D330" t="str">
            <v>đk gốc từ trên 35cm</v>
          </cell>
          <cell r="E330">
            <v>4</v>
          </cell>
          <cell r="F330" t="str">
            <v>cây</v>
          </cell>
          <cell r="G330">
            <v>400000</v>
          </cell>
          <cell r="H330">
            <v>0.5</v>
          </cell>
          <cell r="I330">
            <v>100000</v>
          </cell>
          <cell r="J330" t="str">
            <v>ĐG 30.12.2022</v>
          </cell>
        </row>
        <row r="331">
          <cell r="B331" t="str">
            <v>Cau#712#</v>
          </cell>
          <cell r="C331" t="str">
            <v>Cau khác trồng trên đất GTTL</v>
          </cell>
          <cell r="D331" t="str">
            <v>7cm ≤ đk gốc &lt; 12cm</v>
          </cell>
          <cell r="E331">
            <v>2</v>
          </cell>
          <cell r="F331" t="str">
            <v>cây</v>
          </cell>
          <cell r="G331">
            <v>120000</v>
          </cell>
          <cell r="H331">
            <v>0.3</v>
          </cell>
          <cell r="I331">
            <v>60000</v>
          </cell>
          <cell r="J331" t="str">
            <v>ĐG 30.12.2022</v>
          </cell>
        </row>
        <row r="332">
          <cell r="C332" t="str">
            <v>Đinh Lăng</v>
          </cell>
          <cell r="J332" t="str">
            <v>ĐG 30.12.2022</v>
          </cell>
        </row>
        <row r="333">
          <cell r="B333" t="str">
            <v>Dinhlang05</v>
          </cell>
          <cell r="C333" t="str">
            <v>Đinh lăng</v>
          </cell>
          <cell r="D333" t="str">
            <v>đk gốc &lt; 5cm</v>
          </cell>
          <cell r="F333" t="str">
            <v>cây</v>
          </cell>
          <cell r="G333">
            <v>30000</v>
          </cell>
          <cell r="H333">
            <v>1</v>
          </cell>
          <cell r="I333">
            <v>30000</v>
          </cell>
          <cell r="J333" t="str">
            <v>ĐG 30.12.2022</v>
          </cell>
        </row>
        <row r="334">
          <cell r="B334" t="str">
            <v>Dinhlang510</v>
          </cell>
          <cell r="C334" t="str">
            <v>Đinh lăng</v>
          </cell>
          <cell r="D334" t="str">
            <v>5cm ≤ đk gốc &lt; 10cm</v>
          </cell>
          <cell r="F334" t="str">
            <v>cây</v>
          </cell>
          <cell r="G334">
            <v>60000</v>
          </cell>
          <cell r="H334">
            <v>1</v>
          </cell>
          <cell r="I334" t="e">
            <v>#DIV/0!</v>
          </cell>
          <cell r="J334" t="str">
            <v>ĐG 30.12.2022</v>
          </cell>
        </row>
        <row r="335">
          <cell r="B335" t="str">
            <v>Dinhlang10+</v>
          </cell>
          <cell r="C335" t="str">
            <v>Đinh lăng</v>
          </cell>
          <cell r="D335" t="str">
            <v>Dk từ 10cm trở lên</v>
          </cell>
          <cell r="F335" t="str">
            <v>cây</v>
          </cell>
          <cell r="G335">
            <v>80000</v>
          </cell>
          <cell r="H335">
            <v>1</v>
          </cell>
          <cell r="I335" t="e">
            <v>#DIV/0!</v>
          </cell>
          <cell r="J335" t="str">
            <v>ĐG 30.12.2022</v>
          </cell>
        </row>
        <row r="336">
          <cell r="C336" t="str">
            <v>NHÓM CÂY CÔNG TRÌNH</v>
          </cell>
        </row>
        <row r="337">
          <cell r="C337" t="str">
            <v>Cây ngâu</v>
          </cell>
        </row>
        <row r="338">
          <cell r="B338" t="str">
            <v>Ngâu01</v>
          </cell>
          <cell r="C338" t="str">
            <v>Cây ngâu</v>
          </cell>
          <cell r="D338" t="str">
            <v>cây giống</v>
          </cell>
          <cell r="F338" t="str">
            <v>m2</v>
          </cell>
          <cell r="G338">
            <v>45000</v>
          </cell>
          <cell r="H338">
            <v>1</v>
          </cell>
          <cell r="J338" t="str">
            <v>ĐG 30.12.2022</v>
          </cell>
        </row>
        <row r="339">
          <cell r="B339" t="str">
            <v>Ngâu5-</v>
          </cell>
          <cell r="C339" t="str">
            <v>Cây ngâu</v>
          </cell>
          <cell r="D339" t="str">
            <v>đk gốc &lt; 5cm</v>
          </cell>
          <cell r="F339" t="str">
            <v>cây</v>
          </cell>
          <cell r="G339">
            <v>80000</v>
          </cell>
          <cell r="H339">
            <v>1</v>
          </cell>
          <cell r="I339" t="e">
            <v>#DIV/0!</v>
          </cell>
          <cell r="J339" t="str">
            <v>ĐG 30.12.2022</v>
          </cell>
        </row>
        <row r="340">
          <cell r="B340" t="str">
            <v>Ngâu510</v>
          </cell>
          <cell r="C340" t="str">
            <v>Cây ngâu</v>
          </cell>
          <cell r="D340" t="str">
            <v>5cm ≤ đk gốc &lt; 10cm</v>
          </cell>
          <cell r="F340" t="str">
            <v>cây</v>
          </cell>
          <cell r="G340">
            <v>240000</v>
          </cell>
          <cell r="H340">
            <v>1</v>
          </cell>
          <cell r="I340" t="e">
            <v>#DIV/0!</v>
          </cell>
          <cell r="J340" t="str">
            <v>ĐG 30.12.2022</v>
          </cell>
        </row>
        <row r="341">
          <cell r="B341" t="str">
            <v>Ngâu1113</v>
          </cell>
          <cell r="C341" t="str">
            <v>Cây ngâu</v>
          </cell>
          <cell r="D341" t="str">
            <v>10cm ≤ đk gốc &lt; 13cm</v>
          </cell>
          <cell r="F341" t="str">
            <v>cây</v>
          </cell>
          <cell r="G341">
            <v>380000</v>
          </cell>
          <cell r="H341">
            <v>1</v>
          </cell>
          <cell r="I341" t="e">
            <v>#DIV/0!</v>
          </cell>
          <cell r="J341" t="str">
            <v>ĐG 30.12.2022</v>
          </cell>
        </row>
        <row r="342">
          <cell r="B342" t="str">
            <v>Ngâu1320</v>
          </cell>
          <cell r="C342" t="str">
            <v>Cây ngâu</v>
          </cell>
          <cell r="D342" t="str">
            <v>13cm ≤ đk gốc &lt; 20cm</v>
          </cell>
          <cell r="F342" t="str">
            <v>cây</v>
          </cell>
          <cell r="G342">
            <v>450000</v>
          </cell>
          <cell r="H342">
            <v>1</v>
          </cell>
          <cell r="I342" t="e">
            <v>#DIV/0!</v>
          </cell>
          <cell r="J342" t="str">
            <v>ĐG 30.12.2022</v>
          </cell>
        </row>
        <row r="343">
          <cell r="B343" t="str">
            <v>Ngâu20+</v>
          </cell>
          <cell r="C343" t="str">
            <v>Cây ngâu</v>
          </cell>
          <cell r="D343" t="str">
            <v>đk gốc từ trên 20cm</v>
          </cell>
          <cell r="F343" t="str">
            <v>cây</v>
          </cell>
          <cell r="G343">
            <v>650000</v>
          </cell>
          <cell r="H343">
            <v>1</v>
          </cell>
          <cell r="I343" t="e">
            <v>#DIV/0!</v>
          </cell>
          <cell r="J343" t="str">
            <v>ĐG 30.12.2022</v>
          </cell>
        </row>
        <row r="344">
          <cell r="B344" t="str">
            <v>Ngâu01vmd</v>
          </cell>
          <cell r="C344" t="str">
            <v>Cây ngâu vượt mật độ</v>
          </cell>
          <cell r="D344" t="str">
            <v>cây giống</v>
          </cell>
          <cell r="F344" t="str">
            <v>m2</v>
          </cell>
          <cell r="G344">
            <v>45000</v>
          </cell>
          <cell r="H344">
            <v>0.5</v>
          </cell>
          <cell r="J344" t="str">
            <v>ĐG 30.12.2022</v>
          </cell>
        </row>
        <row r="345">
          <cell r="B345" t="str">
            <v>Ngâu5-vmd</v>
          </cell>
          <cell r="C345" t="str">
            <v>Cây ngâu vượt mật độ</v>
          </cell>
          <cell r="D345" t="str">
            <v>đk gốc &lt; 5cm</v>
          </cell>
          <cell r="F345" t="str">
            <v>cây</v>
          </cell>
          <cell r="G345">
            <v>80000</v>
          </cell>
          <cell r="H345">
            <v>0.5</v>
          </cell>
          <cell r="I345" t="e">
            <v>#DIV/0!</v>
          </cell>
          <cell r="J345" t="str">
            <v>ĐG 30.12.2022</v>
          </cell>
        </row>
        <row r="346">
          <cell r="B346" t="str">
            <v>Ngâu510vmd</v>
          </cell>
          <cell r="C346" t="str">
            <v>Cây ngâu vượt mật độ</v>
          </cell>
          <cell r="D346" t="str">
            <v>5cm ≤ đk gốc &lt; 10cm</v>
          </cell>
          <cell r="F346" t="str">
            <v>cây</v>
          </cell>
          <cell r="G346">
            <v>240000</v>
          </cell>
          <cell r="H346">
            <v>0.5</v>
          </cell>
          <cell r="I346" t="e">
            <v>#DIV/0!</v>
          </cell>
          <cell r="J346" t="str">
            <v>ĐG 30.12.2022</v>
          </cell>
        </row>
        <row r="347">
          <cell r="B347" t="str">
            <v>Ngâu1113vmd</v>
          </cell>
          <cell r="C347" t="str">
            <v>Cây ngâu vượt mật độ</v>
          </cell>
          <cell r="D347" t="str">
            <v>11cm ≤ đk gốc &lt; 13cm</v>
          </cell>
          <cell r="F347" t="str">
            <v>cây</v>
          </cell>
          <cell r="G347">
            <v>380000</v>
          </cell>
          <cell r="H347">
            <v>0.5</v>
          </cell>
          <cell r="I347" t="e">
            <v>#DIV/0!</v>
          </cell>
          <cell r="J347" t="str">
            <v>ĐG 30.12.2022</v>
          </cell>
        </row>
        <row r="348">
          <cell r="B348" t="str">
            <v>Ngâu1320vmd</v>
          </cell>
          <cell r="C348" t="str">
            <v>Cây ngâu vượt mật độ</v>
          </cell>
          <cell r="D348" t="str">
            <v>13cm ≤ đk gốc &lt; 20cm</v>
          </cell>
          <cell r="F348" t="str">
            <v>cây</v>
          </cell>
          <cell r="G348">
            <v>450000</v>
          </cell>
          <cell r="H348">
            <v>0.5</v>
          </cell>
          <cell r="I348" t="e">
            <v>#DIV/0!</v>
          </cell>
          <cell r="J348" t="str">
            <v>ĐG 30.12.2022</v>
          </cell>
        </row>
        <row r="349">
          <cell r="B349" t="str">
            <v>Ngâu20+vmd</v>
          </cell>
          <cell r="C349" t="str">
            <v>Cây ngâu vượt mật độ</v>
          </cell>
          <cell r="D349" t="str">
            <v>đk gốc từ trên 20cm</v>
          </cell>
          <cell r="F349" t="str">
            <v>cây</v>
          </cell>
          <cell r="G349">
            <v>650000</v>
          </cell>
          <cell r="H349">
            <v>0.5</v>
          </cell>
          <cell r="I349" t="e">
            <v>#DIV/0!</v>
          </cell>
          <cell r="J349" t="str">
            <v>ĐG 30.12.2022</v>
          </cell>
        </row>
        <row r="350">
          <cell r="C350" t="str">
            <v>Cây Nguyệt quế</v>
          </cell>
          <cell r="J350" t="str">
            <v>ĐG 30.12.2022</v>
          </cell>
        </row>
        <row r="351">
          <cell r="B351" t="str">
            <v>Nguyetque01</v>
          </cell>
          <cell r="C351" t="str">
            <v>Cây Nguyệt quế</v>
          </cell>
          <cell r="D351" t="str">
            <v>cây giống</v>
          </cell>
          <cell r="F351" t="str">
            <v>m2</v>
          </cell>
          <cell r="G351">
            <v>45000</v>
          </cell>
          <cell r="H351">
            <v>1</v>
          </cell>
          <cell r="J351" t="str">
            <v>ĐG 30.12.2022</v>
          </cell>
        </row>
        <row r="352">
          <cell r="B352" t="str">
            <v>Nguyetque5-</v>
          </cell>
          <cell r="C352" t="str">
            <v>Cây Nguyệt quế</v>
          </cell>
          <cell r="D352" t="str">
            <v>đk gốc &lt; 5cm</v>
          </cell>
          <cell r="F352" t="str">
            <v>cây</v>
          </cell>
          <cell r="G352">
            <v>80000</v>
          </cell>
          <cell r="H352">
            <v>1</v>
          </cell>
          <cell r="I352" t="e">
            <v>#DIV/0!</v>
          </cell>
          <cell r="J352" t="str">
            <v>ĐG 30.12.2022</v>
          </cell>
        </row>
        <row r="353">
          <cell r="B353" t="str">
            <v>Nguyetque510</v>
          </cell>
          <cell r="C353" t="str">
            <v>Cây Nguyệt quế</v>
          </cell>
          <cell r="D353" t="str">
            <v>5cm ≤ đk gốc &lt; 10cm</v>
          </cell>
          <cell r="F353" t="str">
            <v>cây</v>
          </cell>
          <cell r="G353">
            <v>240000</v>
          </cell>
          <cell r="H353">
            <v>1</v>
          </cell>
          <cell r="I353" t="e">
            <v>#DIV/0!</v>
          </cell>
          <cell r="J353" t="str">
            <v>ĐG 30.12.2022</v>
          </cell>
        </row>
        <row r="354">
          <cell r="B354" t="str">
            <v>Nguyetque1113</v>
          </cell>
          <cell r="C354" t="str">
            <v>Cây Nguyệt quế</v>
          </cell>
          <cell r="D354" t="str">
            <v>10cm ≤ đk gốc &lt; 13cm</v>
          </cell>
          <cell r="F354" t="str">
            <v>cây</v>
          </cell>
          <cell r="G354">
            <v>380000</v>
          </cell>
          <cell r="H354">
            <v>1</v>
          </cell>
          <cell r="I354" t="e">
            <v>#DIV/0!</v>
          </cell>
          <cell r="J354" t="str">
            <v>ĐG 30.12.2022</v>
          </cell>
        </row>
        <row r="355">
          <cell r="B355" t="str">
            <v>Nguyetque1320</v>
          </cell>
          <cell r="C355" t="str">
            <v>Cây Nguyệt quế</v>
          </cell>
          <cell r="D355" t="str">
            <v>13cm ≤ đk gốc &lt; 20cm</v>
          </cell>
          <cell r="F355" t="str">
            <v>cây</v>
          </cell>
          <cell r="G355">
            <v>450000</v>
          </cell>
          <cell r="H355">
            <v>1</v>
          </cell>
          <cell r="I355" t="e">
            <v>#DIV/0!</v>
          </cell>
          <cell r="J355" t="str">
            <v>ĐG 30.12.2022</v>
          </cell>
        </row>
        <row r="356">
          <cell r="B356" t="str">
            <v>Nguyetque20+</v>
          </cell>
          <cell r="C356" t="str">
            <v>Cây Nguyệt quế</v>
          </cell>
          <cell r="D356" t="str">
            <v>đk gốc từ trên 20cm</v>
          </cell>
          <cell r="F356" t="str">
            <v>cây</v>
          </cell>
          <cell r="G356">
            <v>650000</v>
          </cell>
          <cell r="H356">
            <v>1</v>
          </cell>
          <cell r="I356" t="e">
            <v>#DIV/0!</v>
          </cell>
          <cell r="J356" t="str">
            <v>ĐG 30.12.2022</v>
          </cell>
        </row>
        <row r="357">
          <cell r="B357" t="str">
            <v>Nguyetque01vmd</v>
          </cell>
          <cell r="C357" t="str">
            <v>Cây Nguyệt quế vượt mật độ</v>
          </cell>
          <cell r="D357" t="str">
            <v>cây giống</v>
          </cell>
          <cell r="F357" t="str">
            <v>m2</v>
          </cell>
          <cell r="G357">
            <v>45000</v>
          </cell>
          <cell r="H357">
            <v>0.5</v>
          </cell>
          <cell r="J357" t="str">
            <v>ĐG 30.12.2022</v>
          </cell>
        </row>
        <row r="358">
          <cell r="B358" t="str">
            <v>Nguyetque5-vmd</v>
          </cell>
          <cell r="C358" t="str">
            <v>Cây Nguyệt quế vượt mật độ</v>
          </cell>
          <cell r="D358" t="str">
            <v>đk gốc &lt; 5cm</v>
          </cell>
          <cell r="F358" t="str">
            <v>cây</v>
          </cell>
          <cell r="G358">
            <v>80000</v>
          </cell>
          <cell r="H358">
            <v>0.5</v>
          </cell>
          <cell r="I358" t="e">
            <v>#DIV/0!</v>
          </cell>
          <cell r="J358" t="str">
            <v>ĐG 30.12.2022</v>
          </cell>
        </row>
        <row r="359">
          <cell r="B359" t="str">
            <v>Nguyetque510vmd</v>
          </cell>
          <cell r="C359" t="str">
            <v>Cây Nguyệt quế vượt mật độ</v>
          </cell>
          <cell r="D359" t="str">
            <v>5cm ≤ đk gốc &lt; 10cm</v>
          </cell>
          <cell r="F359" t="str">
            <v>cây</v>
          </cell>
          <cell r="G359">
            <v>240000</v>
          </cell>
          <cell r="H359">
            <v>0.5</v>
          </cell>
          <cell r="I359" t="e">
            <v>#DIV/0!</v>
          </cell>
          <cell r="J359" t="str">
            <v>ĐG 30.12.2022</v>
          </cell>
        </row>
        <row r="360">
          <cell r="B360" t="str">
            <v>Nguyetque1113vmd</v>
          </cell>
          <cell r="C360" t="str">
            <v>Cây Nguyệt quế vượt mật độ</v>
          </cell>
          <cell r="D360" t="str">
            <v>10cm ≤ đk gốc &lt; 13cm</v>
          </cell>
          <cell r="F360" t="str">
            <v>cây</v>
          </cell>
          <cell r="G360">
            <v>380000</v>
          </cell>
          <cell r="H360">
            <v>0.5</v>
          </cell>
          <cell r="I360" t="e">
            <v>#DIV/0!</v>
          </cell>
          <cell r="J360" t="str">
            <v>ĐG 30.12.2022</v>
          </cell>
        </row>
        <row r="361">
          <cell r="B361" t="str">
            <v>Nguyetque1320vmd</v>
          </cell>
          <cell r="C361" t="str">
            <v>Cây Nguyệt quế vượt mật độ</v>
          </cell>
          <cell r="D361" t="str">
            <v>13cm ≤ đk gốc &lt; 20cm</v>
          </cell>
          <cell r="F361" t="str">
            <v>cây</v>
          </cell>
          <cell r="G361">
            <v>450000</v>
          </cell>
          <cell r="H361">
            <v>0.5</v>
          </cell>
          <cell r="I361" t="e">
            <v>#DIV/0!</v>
          </cell>
          <cell r="J361" t="str">
            <v>ĐG 30.12.2022</v>
          </cell>
        </row>
        <row r="362">
          <cell r="B362" t="str">
            <v>Nguyetque20+vmd</v>
          </cell>
          <cell r="C362" t="str">
            <v>Cây Nguyệt quế vượt mật độ</v>
          </cell>
          <cell r="D362" t="str">
            <v>đk gốc từ trên 20cm</v>
          </cell>
          <cell r="F362" t="str">
            <v>cây</v>
          </cell>
          <cell r="G362">
            <v>650000</v>
          </cell>
          <cell r="H362">
            <v>0.5</v>
          </cell>
          <cell r="I362" t="e">
            <v>#DIV/0!</v>
          </cell>
          <cell r="J362" t="str">
            <v>ĐG 30.12.2022</v>
          </cell>
        </row>
        <row r="363">
          <cell r="C363" t="str">
            <v>Cây dừa</v>
          </cell>
        </row>
        <row r="364">
          <cell r="B364" t="str">
            <v>Dừa01</v>
          </cell>
          <cell r="C364" t="str">
            <v>Cây dừa</v>
          </cell>
          <cell r="D364" t="str">
            <v>cây giống</v>
          </cell>
          <cell r="F364" t="str">
            <v>m2</v>
          </cell>
          <cell r="G364">
            <v>45000</v>
          </cell>
          <cell r="H364">
            <v>1</v>
          </cell>
          <cell r="I364">
            <v>45000</v>
          </cell>
          <cell r="J364" t="str">
            <v>ĐG 30.12.2022</v>
          </cell>
        </row>
        <row r="365">
          <cell r="B365" t="str">
            <v>Dừa27</v>
          </cell>
          <cell r="C365" t="str">
            <v>Cây dừa</v>
          </cell>
          <cell r="D365" t="str">
            <v>2cm ≤ đk gốc &lt; 7cm</v>
          </cell>
          <cell r="F365" t="str">
            <v>cây</v>
          </cell>
          <cell r="G365">
            <v>55000</v>
          </cell>
          <cell r="H365">
            <v>1</v>
          </cell>
          <cell r="I365" t="e">
            <v>#DIV/0!</v>
          </cell>
          <cell r="J365" t="str">
            <v>ĐG 30.12.2022</v>
          </cell>
        </row>
        <row r="366">
          <cell r="B366" t="str">
            <v>Dừa712</v>
          </cell>
          <cell r="C366" t="str">
            <v>Cây dừa</v>
          </cell>
          <cell r="D366" t="str">
            <v>7cm ≤ đk gốc &lt; 12cm</v>
          </cell>
          <cell r="F366" t="str">
            <v>cây</v>
          </cell>
          <cell r="G366">
            <v>120000</v>
          </cell>
          <cell r="H366">
            <v>1</v>
          </cell>
          <cell r="I366" t="e">
            <v>#DIV/0!</v>
          </cell>
          <cell r="J366" t="str">
            <v>ĐG 30.12.2022</v>
          </cell>
        </row>
        <row r="367">
          <cell r="B367" t="str">
            <v>Dừa1217</v>
          </cell>
          <cell r="C367" t="str">
            <v>Cây dừa</v>
          </cell>
          <cell r="D367" t="str">
            <v>12cm ≤ đk gốc &lt; 17cm</v>
          </cell>
          <cell r="F367" t="str">
            <v>cây</v>
          </cell>
          <cell r="G367">
            <v>145000</v>
          </cell>
          <cell r="H367">
            <v>1</v>
          </cell>
          <cell r="I367" t="e">
            <v>#DIV/0!</v>
          </cell>
          <cell r="J367" t="str">
            <v>ĐG 30.12.2022</v>
          </cell>
        </row>
        <row r="368">
          <cell r="B368" t="str">
            <v>Dừa1722</v>
          </cell>
          <cell r="C368" t="str">
            <v>Cây dừa</v>
          </cell>
          <cell r="D368" t="str">
            <v>17cm ≤ đk gốc &lt; 22cm</v>
          </cell>
          <cell r="F368" t="str">
            <v>cây</v>
          </cell>
          <cell r="G368">
            <v>190000</v>
          </cell>
          <cell r="H368">
            <v>1</v>
          </cell>
          <cell r="I368" t="e">
            <v>#DIV/0!</v>
          </cell>
          <cell r="J368" t="str">
            <v>ĐG 30.12.2022</v>
          </cell>
        </row>
        <row r="369">
          <cell r="B369" t="str">
            <v>Dừa2227</v>
          </cell>
          <cell r="C369" t="str">
            <v>Cây dừa</v>
          </cell>
          <cell r="D369" t="str">
            <v>22cm ≤ đk gốc &lt; 27cm</v>
          </cell>
          <cell r="F369" t="str">
            <v>cây</v>
          </cell>
          <cell r="G369">
            <v>250000</v>
          </cell>
          <cell r="H369">
            <v>1</v>
          </cell>
          <cell r="I369" t="e">
            <v>#DIV/0!</v>
          </cell>
          <cell r="J369" t="str">
            <v>ĐG 30.12.2022</v>
          </cell>
        </row>
        <row r="370">
          <cell r="B370" t="str">
            <v>Dừa2732</v>
          </cell>
          <cell r="C370" t="str">
            <v>Cây dừa</v>
          </cell>
          <cell r="D370" t="str">
            <v>27cm ≤ đk gốc &lt; 32cm</v>
          </cell>
          <cell r="F370" t="str">
            <v>cây</v>
          </cell>
          <cell r="G370">
            <v>320000</v>
          </cell>
          <cell r="H370">
            <v>1</v>
          </cell>
          <cell r="I370" t="e">
            <v>#DIV/0!</v>
          </cell>
          <cell r="J370" t="str">
            <v>ĐG 30.12.2022</v>
          </cell>
        </row>
        <row r="371">
          <cell r="B371" t="str">
            <v>Dừa3235</v>
          </cell>
          <cell r="C371" t="str">
            <v>Cây dừa</v>
          </cell>
          <cell r="D371" t="str">
            <v>32cm ≤ đk gốc &lt; 35cm</v>
          </cell>
          <cell r="F371" t="str">
            <v>cây</v>
          </cell>
          <cell r="G371">
            <v>380000</v>
          </cell>
          <cell r="H371">
            <v>1</v>
          </cell>
          <cell r="I371" t="e">
            <v>#DIV/0!</v>
          </cell>
          <cell r="J371" t="str">
            <v>ĐG 30.12.2022</v>
          </cell>
        </row>
        <row r="372">
          <cell r="B372" t="str">
            <v>Dừa35+</v>
          </cell>
          <cell r="C372" t="str">
            <v>Cây dừa</v>
          </cell>
          <cell r="D372" t="str">
            <v>đk gốc từ trên 35cm</v>
          </cell>
          <cell r="F372" t="str">
            <v>cây</v>
          </cell>
          <cell r="G372">
            <v>400000</v>
          </cell>
          <cell r="H372">
            <v>1</v>
          </cell>
          <cell r="I372" t="e">
            <v>#DIV/0!</v>
          </cell>
          <cell r="J372" t="str">
            <v>ĐG 30.12.2022</v>
          </cell>
        </row>
        <row r="373">
          <cell r="B373" t="str">
            <v>Dừa27vmd</v>
          </cell>
          <cell r="C373" t="str">
            <v>Cây dừa vượt mật độ</v>
          </cell>
          <cell r="D373" t="str">
            <v>2cm ≤ đk gốc &lt; 7cm</v>
          </cell>
          <cell r="E373">
            <v>1</v>
          </cell>
          <cell r="F373" t="str">
            <v>cây</v>
          </cell>
          <cell r="G373">
            <v>55000</v>
          </cell>
          <cell r="H373">
            <v>0.5</v>
          </cell>
          <cell r="I373">
            <v>55000</v>
          </cell>
          <cell r="J373" t="str">
            <v>ĐG 30.12.2022</v>
          </cell>
        </row>
        <row r="374">
          <cell r="B374" t="str">
            <v>Dừa712vmd</v>
          </cell>
          <cell r="C374" t="str">
            <v>Cây dừa vượt mật độ</v>
          </cell>
          <cell r="D374" t="str">
            <v>7cm ≤ đk gốc &lt; 12cm</v>
          </cell>
          <cell r="E374">
            <v>2</v>
          </cell>
          <cell r="F374" t="str">
            <v>cây</v>
          </cell>
          <cell r="G374">
            <v>120000</v>
          </cell>
          <cell r="H374">
            <v>0.5</v>
          </cell>
          <cell r="I374">
            <v>60000</v>
          </cell>
          <cell r="J374" t="str">
            <v>ĐG 30.12.2022</v>
          </cell>
        </row>
        <row r="375">
          <cell r="B375" t="str">
            <v>Dừa1217vmd</v>
          </cell>
          <cell r="C375" t="str">
            <v>Cây dừa vượt mật độ</v>
          </cell>
          <cell r="D375" t="str">
            <v>12cm ≤ đk gốc &lt; 17cm</v>
          </cell>
          <cell r="E375">
            <v>2</v>
          </cell>
          <cell r="F375" t="str">
            <v>cây</v>
          </cell>
          <cell r="G375">
            <v>145000</v>
          </cell>
          <cell r="H375">
            <v>0.5</v>
          </cell>
          <cell r="I375">
            <v>72500</v>
          </cell>
          <cell r="J375" t="str">
            <v>ĐG 30.12.2022</v>
          </cell>
        </row>
        <row r="376">
          <cell r="B376" t="str">
            <v>Dừa1722vmd</v>
          </cell>
          <cell r="C376" t="str">
            <v>Cây dừa vượt mật độ</v>
          </cell>
          <cell r="D376" t="str">
            <v>17cm ≤ đk gốc &lt; 22cm</v>
          </cell>
          <cell r="E376">
            <v>2.5</v>
          </cell>
          <cell r="F376" t="str">
            <v>cây</v>
          </cell>
          <cell r="G376">
            <v>190000</v>
          </cell>
          <cell r="H376">
            <v>0.5</v>
          </cell>
          <cell r="I376">
            <v>76000</v>
          </cell>
          <cell r="J376" t="str">
            <v>ĐG 30.12.2022</v>
          </cell>
        </row>
        <row r="377">
          <cell r="B377" t="str">
            <v>Dừa2227vmd</v>
          </cell>
          <cell r="C377" t="str">
            <v>Cây dừa vượt mật độ</v>
          </cell>
          <cell r="D377" t="str">
            <v>22cm ≤ đk gốc &lt; 27cm</v>
          </cell>
          <cell r="E377">
            <v>3</v>
          </cell>
          <cell r="F377" t="str">
            <v>cây</v>
          </cell>
          <cell r="G377">
            <v>250000</v>
          </cell>
          <cell r="H377">
            <v>0.5</v>
          </cell>
          <cell r="I377">
            <v>83333.333333333299</v>
          </cell>
          <cell r="J377" t="str">
            <v>ĐG 30.12.2022</v>
          </cell>
        </row>
        <row r="378">
          <cell r="B378" t="str">
            <v>Dừa2732vmd</v>
          </cell>
          <cell r="C378" t="str">
            <v>Cây dừa vượt mật độ</v>
          </cell>
          <cell r="D378" t="str">
            <v>27cm ≤ đk gốc &lt; 32cm</v>
          </cell>
          <cell r="E378">
            <v>3.5</v>
          </cell>
          <cell r="F378" t="str">
            <v>cây</v>
          </cell>
          <cell r="G378">
            <v>320000</v>
          </cell>
          <cell r="H378">
            <v>0.5</v>
          </cell>
          <cell r="I378">
            <v>91428.571428571406</v>
          </cell>
          <cell r="J378" t="str">
            <v>ĐG 30.12.2022</v>
          </cell>
        </row>
        <row r="379">
          <cell r="B379" t="str">
            <v>Dừa3235vmd</v>
          </cell>
          <cell r="C379" t="str">
            <v>Cây dừa vượt mật độ</v>
          </cell>
          <cell r="D379" t="str">
            <v>32cm ≤ đk gốc &lt; 35cm</v>
          </cell>
          <cell r="E379">
            <v>4</v>
          </cell>
          <cell r="F379" t="str">
            <v>cây</v>
          </cell>
          <cell r="G379">
            <v>380000</v>
          </cell>
          <cell r="H379">
            <v>0.5</v>
          </cell>
          <cell r="I379">
            <v>95000</v>
          </cell>
          <cell r="J379" t="str">
            <v>ĐG 30.12.2022</v>
          </cell>
        </row>
        <row r="380">
          <cell r="B380" t="str">
            <v>Dừa35+vmd</v>
          </cell>
          <cell r="C380" t="str">
            <v>Cây dừa vượt mật độ</v>
          </cell>
          <cell r="D380" t="str">
            <v>đk gốc từ trên 35cm</v>
          </cell>
          <cell r="E380">
            <v>4</v>
          </cell>
          <cell r="F380" t="str">
            <v>cây</v>
          </cell>
          <cell r="G380">
            <v>400000</v>
          </cell>
          <cell r="H380">
            <v>0.5</v>
          </cell>
          <cell r="I380">
            <v>100000</v>
          </cell>
          <cell r="J380" t="str">
            <v>ĐG 30.12.2022</v>
          </cell>
        </row>
        <row r="381">
          <cell r="C381" t="str">
            <v>Cây cọ</v>
          </cell>
        </row>
        <row r="382">
          <cell r="B382" t="str">
            <v>Cọ01</v>
          </cell>
          <cell r="C382" t="str">
            <v>Cây cọ</v>
          </cell>
          <cell r="D382" t="str">
            <v>cây giống</v>
          </cell>
          <cell r="F382" t="str">
            <v>m2</v>
          </cell>
          <cell r="G382">
            <v>45000</v>
          </cell>
          <cell r="H382">
            <v>1</v>
          </cell>
          <cell r="I382">
            <v>45000</v>
          </cell>
          <cell r="J382" t="str">
            <v>ĐG 30.12.2022</v>
          </cell>
        </row>
        <row r="383">
          <cell r="B383" t="str">
            <v>Cọ27</v>
          </cell>
          <cell r="C383" t="str">
            <v>Cây cọ</v>
          </cell>
          <cell r="D383" t="str">
            <v>2cm ≤ đk gốc &lt; 7cm</v>
          </cell>
          <cell r="E383">
            <v>1</v>
          </cell>
          <cell r="F383" t="str">
            <v>cây</v>
          </cell>
          <cell r="G383">
            <v>55000</v>
          </cell>
          <cell r="H383">
            <v>1</v>
          </cell>
          <cell r="I383">
            <v>55000</v>
          </cell>
          <cell r="J383" t="str">
            <v>ĐG 30.12.2022</v>
          </cell>
        </row>
        <row r="384">
          <cell r="B384" t="str">
            <v>Cọ712</v>
          </cell>
          <cell r="C384" t="str">
            <v>Cây cọ</v>
          </cell>
          <cell r="D384" t="str">
            <v>7cm ≤ đk gốc &lt; 12cm</v>
          </cell>
          <cell r="E384">
            <v>2</v>
          </cell>
          <cell r="F384" t="str">
            <v>cây</v>
          </cell>
          <cell r="G384">
            <v>120000</v>
          </cell>
          <cell r="H384">
            <v>1</v>
          </cell>
          <cell r="I384">
            <v>60000</v>
          </cell>
          <cell r="J384" t="str">
            <v>ĐG 30.12.2022</v>
          </cell>
        </row>
        <row r="385">
          <cell r="B385" t="str">
            <v>Cọ1217</v>
          </cell>
          <cell r="C385" t="str">
            <v>Cây cọ</v>
          </cell>
          <cell r="D385" t="str">
            <v>12cm ≤ đk gốc &lt; 17cm</v>
          </cell>
          <cell r="E385">
            <v>2</v>
          </cell>
          <cell r="F385" t="str">
            <v>cây</v>
          </cell>
          <cell r="G385">
            <v>145000</v>
          </cell>
          <cell r="H385">
            <v>1</v>
          </cell>
          <cell r="I385">
            <v>72500</v>
          </cell>
          <cell r="J385" t="str">
            <v>ĐG 30.12.2022</v>
          </cell>
        </row>
        <row r="386">
          <cell r="B386" t="str">
            <v>Cọ1722</v>
          </cell>
          <cell r="C386" t="str">
            <v>Cây cọ</v>
          </cell>
          <cell r="D386" t="str">
            <v>17cm ≤ đk gốc &lt; 22cm</v>
          </cell>
          <cell r="E386">
            <v>2.5</v>
          </cell>
          <cell r="F386" t="str">
            <v>cây</v>
          </cell>
          <cell r="G386">
            <v>190000</v>
          </cell>
          <cell r="H386">
            <v>1</v>
          </cell>
          <cell r="I386">
            <v>76000</v>
          </cell>
          <cell r="J386" t="str">
            <v>ĐG 30.12.2022</v>
          </cell>
        </row>
        <row r="387">
          <cell r="B387" t="str">
            <v>Cọ2227</v>
          </cell>
          <cell r="C387" t="str">
            <v>Cây cọ</v>
          </cell>
          <cell r="D387" t="str">
            <v>22cm ≤ đk gốc &lt; 27cm</v>
          </cell>
          <cell r="E387">
            <v>3</v>
          </cell>
          <cell r="F387" t="str">
            <v>cây</v>
          </cell>
          <cell r="G387">
            <v>250000</v>
          </cell>
          <cell r="H387">
            <v>1</v>
          </cell>
          <cell r="I387">
            <v>83333.333333333299</v>
          </cell>
          <cell r="J387" t="str">
            <v>ĐG 30.12.2022</v>
          </cell>
        </row>
        <row r="388">
          <cell r="B388" t="str">
            <v>Cọ2732</v>
          </cell>
          <cell r="C388" t="str">
            <v>Cây cọ</v>
          </cell>
          <cell r="D388" t="str">
            <v>27cm ≤ đk gốc &lt; 32cm</v>
          </cell>
          <cell r="E388">
            <v>3.5</v>
          </cell>
          <cell r="F388" t="str">
            <v>cây</v>
          </cell>
          <cell r="G388">
            <v>320000</v>
          </cell>
          <cell r="H388">
            <v>1</v>
          </cell>
          <cell r="I388">
            <v>91428.571428571406</v>
          </cell>
          <cell r="J388" t="str">
            <v>ĐG 30.12.2022</v>
          </cell>
        </row>
        <row r="389">
          <cell r="B389" t="str">
            <v>Cọ3235</v>
          </cell>
          <cell r="C389" t="str">
            <v>Cây cọ</v>
          </cell>
          <cell r="D389" t="str">
            <v>32cm ≤ đk gốc &lt; 35cm</v>
          </cell>
          <cell r="E389">
            <v>4</v>
          </cell>
          <cell r="F389" t="str">
            <v>cây</v>
          </cell>
          <cell r="G389">
            <v>380000</v>
          </cell>
          <cell r="H389">
            <v>1</v>
          </cell>
          <cell r="I389">
            <v>95000</v>
          </cell>
          <cell r="J389" t="str">
            <v>ĐG 30.12.2022</v>
          </cell>
        </row>
        <row r="390">
          <cell r="B390" t="str">
            <v>Cọ35+</v>
          </cell>
          <cell r="C390" t="str">
            <v>Cây cọ</v>
          </cell>
          <cell r="D390" t="str">
            <v>đk gốc từ trên 35cm</v>
          </cell>
          <cell r="E390">
            <v>4</v>
          </cell>
          <cell r="F390" t="str">
            <v>cây</v>
          </cell>
          <cell r="G390">
            <v>400000</v>
          </cell>
          <cell r="H390">
            <v>1</v>
          </cell>
          <cell r="I390">
            <v>100000</v>
          </cell>
          <cell r="J390" t="str">
            <v>ĐG 30.12.2022</v>
          </cell>
        </row>
        <row r="391">
          <cell r="B391" t="str">
            <v>Cọ01vmd</v>
          </cell>
          <cell r="C391" t="str">
            <v>Cây cọ vượt mật độ</v>
          </cell>
          <cell r="D391" t="str">
            <v>cây giống</v>
          </cell>
          <cell r="F391" t="str">
            <v>m2</v>
          </cell>
          <cell r="G391">
            <v>45000</v>
          </cell>
          <cell r="H391">
            <v>0.5</v>
          </cell>
          <cell r="I391">
            <v>45000</v>
          </cell>
          <cell r="J391" t="str">
            <v>ĐG 30.12.2022</v>
          </cell>
        </row>
        <row r="392">
          <cell r="B392" t="str">
            <v>Cọ27vmd</v>
          </cell>
          <cell r="C392" t="str">
            <v>Cây cọ vượt mật độ</v>
          </cell>
          <cell r="D392" t="str">
            <v>2cm ≤ đk gốc &lt; 7cm</v>
          </cell>
          <cell r="E392">
            <v>1</v>
          </cell>
          <cell r="F392" t="str">
            <v>cây</v>
          </cell>
          <cell r="G392">
            <v>55000</v>
          </cell>
          <cell r="H392">
            <v>0.5</v>
          </cell>
          <cell r="I392">
            <v>55000</v>
          </cell>
          <cell r="J392" t="str">
            <v>ĐG 30.12.2022</v>
          </cell>
        </row>
        <row r="393">
          <cell r="B393" t="str">
            <v>Cọ712vmd</v>
          </cell>
          <cell r="C393" t="str">
            <v>Cây cọ vượt mật độ</v>
          </cell>
          <cell r="D393" t="str">
            <v>7cm ≤ đk gốc &lt; 12cm</v>
          </cell>
          <cell r="E393">
            <v>2</v>
          </cell>
          <cell r="F393" t="str">
            <v>cây</v>
          </cell>
          <cell r="G393">
            <v>120000</v>
          </cell>
          <cell r="H393">
            <v>0.5</v>
          </cell>
          <cell r="I393">
            <v>60000</v>
          </cell>
          <cell r="J393" t="str">
            <v>ĐG 30.12.2022</v>
          </cell>
        </row>
        <row r="394">
          <cell r="B394" t="str">
            <v>Cọ1217vmd</v>
          </cell>
          <cell r="C394" t="str">
            <v>Cây cọ vượt mật độ</v>
          </cell>
          <cell r="D394" t="str">
            <v>12cm ≤ đk gốc &lt; 17cm</v>
          </cell>
          <cell r="E394">
            <v>2</v>
          </cell>
          <cell r="F394" t="str">
            <v>cây</v>
          </cell>
          <cell r="G394">
            <v>145000</v>
          </cell>
          <cell r="H394">
            <v>0.5</v>
          </cell>
          <cell r="I394">
            <v>72500</v>
          </cell>
          <cell r="J394" t="str">
            <v>ĐG 30.12.2022</v>
          </cell>
        </row>
        <row r="395">
          <cell r="B395" t="str">
            <v>Cọ1722vmd</v>
          </cell>
          <cell r="C395" t="str">
            <v>Cây cọ vượt mật độ</v>
          </cell>
          <cell r="D395" t="str">
            <v>17cm ≤ đk gốc &lt; 22cm</v>
          </cell>
          <cell r="E395">
            <v>2.5</v>
          </cell>
          <cell r="F395" t="str">
            <v>cây</v>
          </cell>
          <cell r="G395">
            <v>190000</v>
          </cell>
          <cell r="H395">
            <v>0.5</v>
          </cell>
          <cell r="I395">
            <v>76000</v>
          </cell>
          <cell r="J395" t="str">
            <v>ĐG 30.12.2022</v>
          </cell>
        </row>
        <row r="396">
          <cell r="B396" t="str">
            <v>Cọ2227vmd</v>
          </cell>
          <cell r="C396" t="str">
            <v>Cây cọ vượt mật độ</v>
          </cell>
          <cell r="D396" t="str">
            <v>22cm ≤ đk gốc &lt; 27cm</v>
          </cell>
          <cell r="E396">
            <v>3</v>
          </cell>
          <cell r="F396" t="str">
            <v>cây</v>
          </cell>
          <cell r="G396">
            <v>250000</v>
          </cell>
          <cell r="H396">
            <v>0.5</v>
          </cell>
          <cell r="I396">
            <v>83333.333333333299</v>
          </cell>
          <cell r="J396" t="str">
            <v>ĐG 30.12.2022</v>
          </cell>
        </row>
        <row r="397">
          <cell r="B397" t="str">
            <v>Cọ2732vmd</v>
          </cell>
          <cell r="C397" t="str">
            <v>Cây cọ vượt mật độ</v>
          </cell>
          <cell r="D397" t="str">
            <v>27cm ≤ đk gốc &lt; 32cm</v>
          </cell>
          <cell r="E397">
            <v>3.5</v>
          </cell>
          <cell r="F397" t="str">
            <v>cây</v>
          </cell>
          <cell r="G397">
            <v>320000</v>
          </cell>
          <cell r="H397">
            <v>0.5</v>
          </cell>
          <cell r="I397">
            <v>91428.571428571406</v>
          </cell>
          <cell r="J397" t="str">
            <v>ĐG 30.12.2022</v>
          </cell>
        </row>
        <row r="398">
          <cell r="B398" t="str">
            <v>Cọ3235vmd</v>
          </cell>
          <cell r="C398" t="str">
            <v>Cây cọ vượt mật độ</v>
          </cell>
          <cell r="D398" t="str">
            <v>32cm ≤ đk gốc &lt; 35cm</v>
          </cell>
          <cell r="E398">
            <v>4</v>
          </cell>
          <cell r="F398" t="str">
            <v>cây</v>
          </cell>
          <cell r="G398">
            <v>380000</v>
          </cell>
          <cell r="H398">
            <v>0.5</v>
          </cell>
          <cell r="I398">
            <v>95000</v>
          </cell>
          <cell r="J398" t="str">
            <v>ĐG 30.12.2022</v>
          </cell>
        </row>
        <row r="399">
          <cell r="B399" t="str">
            <v>Cọ35+vmd</v>
          </cell>
          <cell r="C399" t="str">
            <v>Cây cọ vượt mật độ</v>
          </cell>
          <cell r="D399" t="str">
            <v>đk gốc từ trên 35cm</v>
          </cell>
          <cell r="E399">
            <v>4</v>
          </cell>
          <cell r="F399" t="str">
            <v>cây</v>
          </cell>
          <cell r="G399">
            <v>400000</v>
          </cell>
          <cell r="H399">
            <v>0.5</v>
          </cell>
          <cell r="I399">
            <v>100000</v>
          </cell>
          <cell r="J399" t="str">
            <v>ĐG 30.12.2022</v>
          </cell>
        </row>
        <row r="400">
          <cell r="C400" t="str">
            <v>Cây sung</v>
          </cell>
        </row>
        <row r="401">
          <cell r="B401" t="str">
            <v>Sung01</v>
          </cell>
          <cell r="C401" t="str">
            <v>Cây sung</v>
          </cell>
          <cell r="D401" t="str">
            <v>cây giống</v>
          </cell>
          <cell r="F401" t="str">
            <v>m2</v>
          </cell>
          <cell r="G401">
            <v>36000</v>
          </cell>
          <cell r="H401">
            <v>1</v>
          </cell>
          <cell r="I401">
            <v>36000</v>
          </cell>
          <cell r="J401" t="str">
            <v>ĐG 30.12.2022</v>
          </cell>
        </row>
        <row r="402">
          <cell r="B402" t="str">
            <v>Sung27</v>
          </cell>
          <cell r="C402" t="str">
            <v>Cây sung</v>
          </cell>
          <cell r="D402" t="str">
            <v>2cm ≤ đk gốc &lt; 7cm</v>
          </cell>
          <cell r="E402">
            <v>5</v>
          </cell>
          <cell r="F402" t="str">
            <v>cây</v>
          </cell>
          <cell r="G402">
            <v>90000</v>
          </cell>
          <cell r="H402">
            <v>1</v>
          </cell>
          <cell r="I402">
            <v>18000</v>
          </cell>
          <cell r="J402" t="str">
            <v>ĐG 30.12.2022</v>
          </cell>
        </row>
        <row r="403">
          <cell r="B403" t="str">
            <v>Sung712</v>
          </cell>
          <cell r="C403" t="str">
            <v>Cây sung</v>
          </cell>
          <cell r="D403" t="str">
            <v>7cm ≤ đk gốc &lt; 12cm</v>
          </cell>
          <cell r="E403">
            <v>6.6666666666666696</v>
          </cell>
          <cell r="F403" t="str">
            <v>cây</v>
          </cell>
          <cell r="G403">
            <v>150000</v>
          </cell>
          <cell r="H403">
            <v>1</v>
          </cell>
          <cell r="I403">
            <v>22500</v>
          </cell>
          <cell r="J403" t="str">
            <v>ĐG 30.12.2022</v>
          </cell>
        </row>
        <row r="404">
          <cell r="B404" t="str">
            <v>Sung1220</v>
          </cell>
          <cell r="C404" t="str">
            <v>Cây sung</v>
          </cell>
          <cell r="D404" t="str">
            <v>12cm ≤ đk gốc &lt; 20cm</v>
          </cell>
          <cell r="E404">
            <v>8.3720930232558093</v>
          </cell>
          <cell r="F404" t="str">
            <v>cây</v>
          </cell>
          <cell r="G404">
            <v>220000</v>
          </cell>
          <cell r="H404">
            <v>1</v>
          </cell>
          <cell r="I404">
            <v>26277.777777777799</v>
          </cell>
          <cell r="J404" t="str">
            <v>ĐG 30.12.2022</v>
          </cell>
        </row>
        <row r="405">
          <cell r="B405" t="str">
            <v>Sung2030</v>
          </cell>
          <cell r="C405" t="str">
            <v>Cây sung</v>
          </cell>
          <cell r="D405" t="str">
            <v>20cm ≤ đk gốc &lt; 30cm</v>
          </cell>
          <cell r="E405">
            <v>8.3720930232558093</v>
          </cell>
          <cell r="F405" t="str">
            <v>cây</v>
          </cell>
          <cell r="G405">
            <v>250000</v>
          </cell>
          <cell r="H405">
            <v>1</v>
          </cell>
          <cell r="I405">
            <v>29861.111111111099</v>
          </cell>
          <cell r="J405" t="str">
            <v>ĐG 30.12.2022</v>
          </cell>
        </row>
        <row r="406">
          <cell r="B406" t="str">
            <v>Sung30+</v>
          </cell>
          <cell r="C406" t="str">
            <v>Cây sung</v>
          </cell>
          <cell r="D406" t="str">
            <v>đk gốc từ 30cm trở lên</v>
          </cell>
          <cell r="E406">
            <v>12.413793103448301</v>
          </cell>
          <cell r="F406" t="str">
            <v>cây</v>
          </cell>
          <cell r="G406">
            <v>300000</v>
          </cell>
          <cell r="H406">
            <v>1</v>
          </cell>
          <cell r="I406">
            <v>24166.666666666701</v>
          </cell>
          <cell r="J406" t="str">
            <v>ĐG 30.12.2022</v>
          </cell>
        </row>
        <row r="407">
          <cell r="B407" t="str">
            <v>Sung27vmd</v>
          </cell>
          <cell r="C407" t="str">
            <v>Cây sung vượt mật độ</v>
          </cell>
          <cell r="D407" t="str">
            <v>2cm ≤ đk gốc &lt; 7cm</v>
          </cell>
          <cell r="E407">
            <v>5</v>
          </cell>
          <cell r="F407" t="str">
            <v>cây</v>
          </cell>
          <cell r="G407">
            <v>90000</v>
          </cell>
          <cell r="H407">
            <v>0.5</v>
          </cell>
          <cell r="I407">
            <v>18000</v>
          </cell>
          <cell r="J407" t="str">
            <v>ĐG 30.12.2022</v>
          </cell>
        </row>
        <row r="408">
          <cell r="B408" t="str">
            <v>Sung712vmd</v>
          </cell>
          <cell r="C408" t="str">
            <v>Cây sung vượt mật độ</v>
          </cell>
          <cell r="D408" t="str">
            <v>7cm ≤ đk gốc &lt; 12cm</v>
          </cell>
          <cell r="E408">
            <v>6.6666666666666696</v>
          </cell>
          <cell r="F408" t="str">
            <v>cây</v>
          </cell>
          <cell r="G408">
            <v>150000</v>
          </cell>
          <cell r="H408">
            <v>0.5</v>
          </cell>
          <cell r="I408">
            <v>22500</v>
          </cell>
          <cell r="J408" t="str">
            <v>ĐG 30.12.2022</v>
          </cell>
        </row>
        <row r="409">
          <cell r="B409" t="str">
            <v>Sung1220vmd</v>
          </cell>
          <cell r="C409" t="str">
            <v>Cây sung vượt mật độ</v>
          </cell>
          <cell r="D409" t="str">
            <v>12cm ≤ đk gốc &lt; 20cm</v>
          </cell>
          <cell r="E409">
            <v>8.3720930232558093</v>
          </cell>
          <cell r="F409" t="str">
            <v>cây</v>
          </cell>
          <cell r="G409">
            <v>220000</v>
          </cell>
          <cell r="H409">
            <v>0.5</v>
          </cell>
          <cell r="I409">
            <v>26277.777777777799</v>
          </cell>
          <cell r="J409" t="str">
            <v>ĐG 30.12.2022</v>
          </cell>
        </row>
        <row r="410">
          <cell r="B410" t="str">
            <v>Sung2030vmd</v>
          </cell>
          <cell r="C410" t="str">
            <v>Cây sung vượt mật độ</v>
          </cell>
          <cell r="D410" t="str">
            <v>20cm ≤ đk gốc &lt; 30cm</v>
          </cell>
          <cell r="E410">
            <v>8.3720930232558093</v>
          </cell>
          <cell r="F410" t="str">
            <v>cây</v>
          </cell>
          <cell r="G410">
            <v>250000</v>
          </cell>
          <cell r="H410">
            <v>0.5</v>
          </cell>
          <cell r="I410">
            <v>29861.111111111099</v>
          </cell>
          <cell r="J410" t="str">
            <v>ĐG 30.12.2022</v>
          </cell>
        </row>
        <row r="411">
          <cell r="B411" t="str">
            <v>Sung30+vmd</v>
          </cell>
          <cell r="C411" t="str">
            <v>Cây sung vượt mật độ</v>
          </cell>
          <cell r="D411" t="str">
            <v>đk gốc từ 30cm trở lên</v>
          </cell>
          <cell r="E411">
            <v>12.413793103448301</v>
          </cell>
          <cell r="F411" t="str">
            <v>cây</v>
          </cell>
          <cell r="G411">
            <v>300000</v>
          </cell>
          <cell r="H411">
            <v>0.5</v>
          </cell>
          <cell r="I411">
            <v>24166.666666666701</v>
          </cell>
          <cell r="J411" t="str">
            <v>ĐG 30.12.2022</v>
          </cell>
        </row>
        <row r="412">
          <cell r="C412" t="str">
            <v>Cây vối</v>
          </cell>
        </row>
        <row r="413">
          <cell r="B413" t="str">
            <v>Vối01</v>
          </cell>
          <cell r="C413" t="str">
            <v>Cây vối</v>
          </cell>
          <cell r="D413" t="str">
            <v>cây giống</v>
          </cell>
          <cell r="F413" t="str">
            <v>m2</v>
          </cell>
          <cell r="G413">
            <v>36000</v>
          </cell>
          <cell r="H413">
            <v>1</v>
          </cell>
          <cell r="I413">
            <v>36000</v>
          </cell>
          <cell r="J413" t="str">
            <v>ĐG 30.12.2022</v>
          </cell>
        </row>
        <row r="414">
          <cell r="B414" t="str">
            <v>Vối27</v>
          </cell>
          <cell r="C414" t="str">
            <v>Cây vối</v>
          </cell>
          <cell r="D414" t="str">
            <v>2cm ≤ đk gốc &lt; 7cm</v>
          </cell>
          <cell r="E414">
            <v>5</v>
          </cell>
          <cell r="F414" t="str">
            <v>cây</v>
          </cell>
          <cell r="G414">
            <v>90000</v>
          </cell>
          <cell r="H414">
            <v>1</v>
          </cell>
          <cell r="I414">
            <v>18000</v>
          </cell>
          <cell r="J414" t="str">
            <v>ĐG 30.12.2022</v>
          </cell>
        </row>
        <row r="415">
          <cell r="B415" t="str">
            <v>Vối712</v>
          </cell>
          <cell r="C415" t="str">
            <v>Cây vối</v>
          </cell>
          <cell r="D415" t="str">
            <v>7cm ≤ đk gốc &lt; 12cm</v>
          </cell>
          <cell r="E415">
            <v>6.6666666666666696</v>
          </cell>
          <cell r="F415" t="str">
            <v>cây</v>
          </cell>
          <cell r="G415">
            <v>150000</v>
          </cell>
          <cell r="H415">
            <v>1</v>
          </cell>
          <cell r="I415">
            <v>22500</v>
          </cell>
          <cell r="J415" t="str">
            <v>ĐG 30.12.2022</v>
          </cell>
        </row>
        <row r="416">
          <cell r="B416" t="str">
            <v>Vối1220</v>
          </cell>
          <cell r="C416" t="str">
            <v>Cây vối</v>
          </cell>
          <cell r="D416" t="str">
            <v>12cm ≤ đk gốc &lt; 20cm</v>
          </cell>
          <cell r="E416">
            <v>8.3720930232558093</v>
          </cell>
          <cell r="F416" t="str">
            <v>cây</v>
          </cell>
          <cell r="G416">
            <v>220000</v>
          </cell>
          <cell r="H416">
            <v>1</v>
          </cell>
          <cell r="I416">
            <v>26277.777777777799</v>
          </cell>
          <cell r="J416" t="str">
            <v>ĐG 30.12.2022</v>
          </cell>
        </row>
        <row r="417">
          <cell r="B417" t="str">
            <v>Vối2030</v>
          </cell>
          <cell r="C417" t="str">
            <v>Cây vối</v>
          </cell>
          <cell r="D417" t="str">
            <v>20cm ≤ đk gốc &lt; 30cm</v>
          </cell>
          <cell r="E417">
            <v>8.3720930232558093</v>
          </cell>
          <cell r="F417" t="str">
            <v>cây</v>
          </cell>
          <cell r="G417">
            <v>250000</v>
          </cell>
          <cell r="H417">
            <v>1</v>
          </cell>
          <cell r="I417">
            <v>29861.111111111099</v>
          </cell>
          <cell r="J417" t="str">
            <v>ĐG 30.12.2022</v>
          </cell>
        </row>
        <row r="418">
          <cell r="B418" t="str">
            <v>Vối30+</v>
          </cell>
          <cell r="C418" t="str">
            <v>Cây vối</v>
          </cell>
          <cell r="D418" t="str">
            <v>đk gốc từ 30cm trở lên</v>
          </cell>
          <cell r="E418">
            <v>12.413793103448301</v>
          </cell>
          <cell r="F418" t="str">
            <v>cây</v>
          </cell>
          <cell r="G418">
            <v>300000</v>
          </cell>
          <cell r="H418">
            <v>1</v>
          </cell>
          <cell r="I418">
            <v>24166.666666666701</v>
          </cell>
          <cell r="J418" t="str">
            <v>ĐG 30.12.2022</v>
          </cell>
        </row>
        <row r="419">
          <cell r="B419" t="str">
            <v>Vối01vmd</v>
          </cell>
          <cell r="C419" t="str">
            <v>Cây vối vượt mật độ</v>
          </cell>
          <cell r="D419" t="str">
            <v>cây giống</v>
          </cell>
          <cell r="F419" t="str">
            <v>m2</v>
          </cell>
          <cell r="G419">
            <v>36000</v>
          </cell>
          <cell r="H419">
            <v>0.5</v>
          </cell>
          <cell r="I419">
            <v>36000</v>
          </cell>
          <cell r="J419" t="str">
            <v>ĐG 30.12.2022</v>
          </cell>
        </row>
        <row r="420">
          <cell r="B420" t="str">
            <v>Vối27vmd</v>
          </cell>
          <cell r="C420" t="str">
            <v>Cây vối vượt mật độ</v>
          </cell>
          <cell r="D420" t="str">
            <v>2cm ≤ đk gốc &lt; 7cm</v>
          </cell>
          <cell r="E420">
            <v>5</v>
          </cell>
          <cell r="F420" t="str">
            <v>cây</v>
          </cell>
          <cell r="G420">
            <v>45000</v>
          </cell>
          <cell r="H420">
            <v>0.5</v>
          </cell>
          <cell r="I420">
            <v>9000</v>
          </cell>
          <cell r="J420" t="str">
            <v>ĐG 30.12.2022</v>
          </cell>
        </row>
        <row r="421">
          <cell r="B421" t="str">
            <v>Vối712vmd</v>
          </cell>
          <cell r="C421" t="str">
            <v>Cây vối vượt mật độ</v>
          </cell>
          <cell r="D421" t="str">
            <v>7cm ≤ đk gốc &lt; 12cm</v>
          </cell>
          <cell r="E421">
            <v>6.6666666666666696</v>
          </cell>
          <cell r="F421" t="str">
            <v>cây</v>
          </cell>
          <cell r="G421">
            <v>80000</v>
          </cell>
          <cell r="H421">
            <v>0.5</v>
          </cell>
          <cell r="I421">
            <v>12000</v>
          </cell>
          <cell r="J421" t="str">
            <v>ĐG 30.12.2022</v>
          </cell>
        </row>
        <row r="422">
          <cell r="B422" t="str">
            <v>Vối1220vmd</v>
          </cell>
          <cell r="C422" t="str">
            <v>Cây vối vượt mật độ</v>
          </cell>
          <cell r="D422" t="str">
            <v>12cm ≤ đk gốc &lt; 20cm</v>
          </cell>
          <cell r="E422">
            <v>8.3720930232558093</v>
          </cell>
          <cell r="F422" t="str">
            <v>cây</v>
          </cell>
          <cell r="G422">
            <v>220000</v>
          </cell>
          <cell r="H422">
            <v>0.5</v>
          </cell>
          <cell r="I422">
            <v>26277.777777777799</v>
          </cell>
          <cell r="J422" t="str">
            <v>ĐG 30.12.2022</v>
          </cell>
        </row>
        <row r="423">
          <cell r="B423" t="str">
            <v>Vối2030vmd</v>
          </cell>
          <cell r="C423" t="str">
            <v>Cây vối vượt mật độ</v>
          </cell>
          <cell r="D423" t="str">
            <v>20cm ≤ đk gốc &lt; 30cm</v>
          </cell>
          <cell r="E423">
            <v>8.3720930232558093</v>
          </cell>
          <cell r="F423" t="str">
            <v>cây</v>
          </cell>
          <cell r="G423">
            <v>250000</v>
          </cell>
          <cell r="H423">
            <v>0.5</v>
          </cell>
          <cell r="I423">
            <v>29861.111111111099</v>
          </cell>
          <cell r="J423" t="str">
            <v>ĐG 30.12.2022</v>
          </cell>
        </row>
        <row r="424">
          <cell r="B424" t="str">
            <v>Vối30+vmd</v>
          </cell>
          <cell r="C424" t="str">
            <v>Cây vối vượt mật độ</v>
          </cell>
          <cell r="D424" t="str">
            <v>đk gốc từ 30cm trở lên</v>
          </cell>
          <cell r="E424">
            <v>12.413793103448301</v>
          </cell>
          <cell r="F424" t="str">
            <v>cây</v>
          </cell>
          <cell r="G424">
            <v>300000</v>
          </cell>
          <cell r="H424">
            <v>0.5</v>
          </cell>
          <cell r="I424">
            <v>24166.666666666701</v>
          </cell>
          <cell r="J424" t="str">
            <v>ĐG 30.12.2022</v>
          </cell>
        </row>
        <row r="425">
          <cell r="B425" t="str">
            <v>Sanh35vmd</v>
          </cell>
          <cell r="C425" t="str">
            <v>Cây sanh vượt mật độ</v>
          </cell>
          <cell r="D425" t="str">
            <v>3cm ≤ đk gốc &lt; 5cm</v>
          </cell>
          <cell r="E425">
            <v>0.5</v>
          </cell>
          <cell r="F425" t="str">
            <v>cây</v>
          </cell>
          <cell r="G425">
            <v>70000</v>
          </cell>
          <cell r="H425">
            <v>0.5</v>
          </cell>
        </row>
        <row r="426">
          <cell r="B426" t="str">
            <v>Sanh57vmd</v>
          </cell>
          <cell r="C426" t="str">
            <v>Cây sanh vượt mật độ</v>
          </cell>
          <cell r="D426" t="str">
            <v>5cm ≤ đk gốc &lt; 7cm</v>
          </cell>
          <cell r="E426">
            <v>1</v>
          </cell>
          <cell r="F426" t="str">
            <v>cây</v>
          </cell>
          <cell r="G426">
            <v>90000</v>
          </cell>
          <cell r="H426">
            <v>0.5</v>
          </cell>
          <cell r="J426" t="str">
            <v>ĐG 30.12.2022</v>
          </cell>
        </row>
        <row r="427">
          <cell r="B427" t="str">
            <v>Sanh710vmd</v>
          </cell>
          <cell r="C427" t="str">
            <v>Cây sanh vượt mật độ</v>
          </cell>
          <cell r="D427" t="str">
            <v>7cm ≤ đk gốc &lt; 10cm</v>
          </cell>
          <cell r="E427">
            <v>1</v>
          </cell>
          <cell r="F427" t="str">
            <v>cây</v>
          </cell>
          <cell r="G427">
            <v>120000</v>
          </cell>
          <cell r="H427">
            <v>0.5</v>
          </cell>
          <cell r="J427" t="str">
            <v>ĐG 30.12.2022</v>
          </cell>
        </row>
        <row r="428">
          <cell r="B428" t="str">
            <v>Sanh1015vmd</v>
          </cell>
          <cell r="C428" t="str">
            <v>Cây sanh vượt mật độ</v>
          </cell>
          <cell r="D428" t="str">
            <v>10cm ≤ đk gốc &lt; 15cm</v>
          </cell>
          <cell r="E428">
            <v>2</v>
          </cell>
          <cell r="F428" t="str">
            <v>cây</v>
          </cell>
          <cell r="G428">
            <v>250000</v>
          </cell>
          <cell r="H428">
            <v>0.5</v>
          </cell>
          <cell r="J428" t="str">
            <v>ĐG 30.12.2022</v>
          </cell>
        </row>
        <row r="429">
          <cell r="B429" t="str">
            <v>Sanh1520vmd</v>
          </cell>
          <cell r="C429" t="str">
            <v>Cây sanh vượt mật độ</v>
          </cell>
          <cell r="D429" t="str">
            <v>15cm ≤ đk gốc &lt; 20cm</v>
          </cell>
          <cell r="E429">
            <v>2</v>
          </cell>
          <cell r="F429" t="str">
            <v>cây</v>
          </cell>
          <cell r="G429">
            <v>300000</v>
          </cell>
          <cell r="H429">
            <v>0.5</v>
          </cell>
          <cell r="J429" t="str">
            <v>ĐG 30.12.2022</v>
          </cell>
        </row>
        <row r="430">
          <cell r="B430" t="str">
            <v>Sanh20+vmd</v>
          </cell>
          <cell r="C430" t="str">
            <v>Cây sanh vượt mật độ</v>
          </cell>
          <cell r="D430" t="str">
            <v>đk gốc từ 20cm trở lên</v>
          </cell>
          <cell r="E430">
            <v>2</v>
          </cell>
          <cell r="F430" t="str">
            <v>cây</v>
          </cell>
          <cell r="G430">
            <v>350000</v>
          </cell>
          <cell r="H430">
            <v>0.5</v>
          </cell>
          <cell r="J430" t="str">
            <v>ĐG 30.12.2022</v>
          </cell>
        </row>
        <row r="431">
          <cell r="B431" t="str">
            <v>Sanh710#</v>
          </cell>
          <cell r="C431" t="str">
            <v>Cây sanh trồng trên đất GTTL</v>
          </cell>
          <cell r="D431" t="str">
            <v>7cm ≤ đk gốc &lt; 10cm</v>
          </cell>
          <cell r="E431">
            <v>1</v>
          </cell>
          <cell r="F431" t="str">
            <v>cây</v>
          </cell>
          <cell r="G431">
            <v>120000</v>
          </cell>
          <cell r="H431">
            <v>0.3</v>
          </cell>
          <cell r="J431" t="str">
            <v>ĐG 30.12.2022</v>
          </cell>
        </row>
        <row r="432">
          <cell r="B432" t="str">
            <v>Sanh1015#</v>
          </cell>
          <cell r="C432" t="str">
            <v>Cây sanh trồng trên đất GTTL</v>
          </cell>
          <cell r="D432" t="str">
            <v>10cm ≤ đk gốc &lt; 15cm</v>
          </cell>
          <cell r="E432">
            <v>2</v>
          </cell>
          <cell r="F432" t="str">
            <v>cây</v>
          </cell>
          <cell r="G432">
            <v>250000</v>
          </cell>
          <cell r="H432">
            <v>0.3</v>
          </cell>
          <cell r="J432" t="str">
            <v>ĐG 30.12.2022</v>
          </cell>
        </row>
        <row r="433">
          <cell r="B433" t="str">
            <v>Sanh1520#</v>
          </cell>
          <cell r="C433" t="str">
            <v>Cây sanh trồng trên đất GTTL</v>
          </cell>
          <cell r="D433" t="str">
            <v>15cm ≤ đk gốc &lt; 20cm</v>
          </cell>
          <cell r="E433">
            <v>2</v>
          </cell>
          <cell r="F433" t="str">
            <v>cây</v>
          </cell>
          <cell r="G433">
            <v>300000</v>
          </cell>
          <cell r="H433">
            <v>0.3</v>
          </cell>
          <cell r="J433" t="str">
            <v>ĐG 30.12.2022</v>
          </cell>
        </row>
        <row r="434">
          <cell r="B434" t="str">
            <v>Sanh20+#</v>
          </cell>
          <cell r="C434" t="str">
            <v>Cây sanh trồng trên đất GTTL</v>
          </cell>
          <cell r="D434" t="str">
            <v>đk gốc từ 20cm trở lên</v>
          </cell>
          <cell r="E434">
            <v>2</v>
          </cell>
          <cell r="F434" t="str">
            <v>cây</v>
          </cell>
          <cell r="G434">
            <v>350000</v>
          </cell>
          <cell r="H434">
            <v>0.3</v>
          </cell>
          <cell r="J434" t="str">
            <v>ĐG 30.12.2022</v>
          </cell>
        </row>
        <row r="435">
          <cell r="C435" t="str">
            <v>Cây Sanh</v>
          </cell>
          <cell r="J435" t="str">
            <v>i</v>
          </cell>
        </row>
        <row r="436">
          <cell r="B436" t="str">
            <v>Sanh35</v>
          </cell>
          <cell r="C436" t="str">
            <v>Cây sanh</v>
          </cell>
          <cell r="D436" t="str">
            <v>3cm ≤ đk gốc &lt; 5cm</v>
          </cell>
          <cell r="E436">
            <v>0.5</v>
          </cell>
          <cell r="F436" t="str">
            <v>cây</v>
          </cell>
          <cell r="G436">
            <v>70000</v>
          </cell>
          <cell r="H436">
            <v>1</v>
          </cell>
          <cell r="J436" t="str">
            <v>ĐG 30.12.2022</v>
          </cell>
        </row>
        <row r="437">
          <cell r="B437" t="str">
            <v>Sanh57</v>
          </cell>
          <cell r="C437" t="str">
            <v>Cây sanh</v>
          </cell>
          <cell r="D437" t="str">
            <v>5cm ≤ đk gốc &lt; 7cm</v>
          </cell>
          <cell r="E437">
            <v>1</v>
          </cell>
          <cell r="F437" t="str">
            <v>cây</v>
          </cell>
          <cell r="G437">
            <v>90000</v>
          </cell>
          <cell r="H437">
            <v>1</v>
          </cell>
          <cell r="J437" t="str">
            <v>ĐG 30.12.2022</v>
          </cell>
        </row>
        <row r="438">
          <cell r="B438" t="str">
            <v>Sanh710</v>
          </cell>
          <cell r="C438" t="str">
            <v>Cây sanh</v>
          </cell>
          <cell r="D438" t="str">
            <v>7cm ≤ đk gốc &lt; 10cm</v>
          </cell>
          <cell r="E438">
            <v>1</v>
          </cell>
          <cell r="F438" t="str">
            <v>cây</v>
          </cell>
          <cell r="G438">
            <v>120000</v>
          </cell>
          <cell r="H438">
            <v>1</v>
          </cell>
          <cell r="J438" t="str">
            <v>ĐG 30.12.2022</v>
          </cell>
        </row>
        <row r="439">
          <cell r="B439" t="str">
            <v>Sanh1015</v>
          </cell>
          <cell r="C439" t="str">
            <v>Cây sanh</v>
          </cell>
          <cell r="D439" t="str">
            <v>10cm ≤ đk gốc &lt; 15cm</v>
          </cell>
          <cell r="E439">
            <v>2</v>
          </cell>
          <cell r="F439" t="str">
            <v>cây</v>
          </cell>
          <cell r="G439">
            <v>250000</v>
          </cell>
          <cell r="H439">
            <v>1</v>
          </cell>
          <cell r="J439" t="str">
            <v>ĐG 30.12.2022</v>
          </cell>
        </row>
        <row r="440">
          <cell r="B440" t="str">
            <v>Sanh1520</v>
          </cell>
          <cell r="C440" t="str">
            <v>Cây sanh</v>
          </cell>
          <cell r="D440" t="str">
            <v>15cm ≤ đk gốc &lt; 20cm</v>
          </cell>
          <cell r="E440">
            <v>2</v>
          </cell>
          <cell r="F440" t="str">
            <v>cây</v>
          </cell>
          <cell r="G440">
            <v>300000</v>
          </cell>
          <cell r="H440">
            <v>1</v>
          </cell>
          <cell r="J440" t="str">
            <v>ĐG 30.12.2022</v>
          </cell>
        </row>
        <row r="441">
          <cell r="B441" t="str">
            <v>Sanh20+</v>
          </cell>
          <cell r="C441" t="str">
            <v>Cây sanh</v>
          </cell>
          <cell r="D441" t="str">
            <v>đk gốc từ 20cm trở lên</v>
          </cell>
          <cell r="E441">
            <v>2</v>
          </cell>
          <cell r="F441" t="str">
            <v>cây</v>
          </cell>
          <cell r="G441">
            <v>350000</v>
          </cell>
          <cell r="H441">
            <v>1</v>
          </cell>
          <cell r="J441" t="str">
            <v>ĐG 30.12.2022</v>
          </cell>
        </row>
        <row r="442">
          <cell r="C442" t="str">
            <v>Cây Si</v>
          </cell>
        </row>
        <row r="443">
          <cell r="B443" t="str">
            <v>Si35</v>
          </cell>
          <cell r="C443" t="str">
            <v>Cây si</v>
          </cell>
          <cell r="D443" t="str">
            <v>3cm ≤ đk gốc &lt; 5cm</v>
          </cell>
          <cell r="E443">
            <v>0.5</v>
          </cell>
          <cell r="F443" t="str">
            <v>cây</v>
          </cell>
          <cell r="G443">
            <v>70000</v>
          </cell>
          <cell r="H443">
            <v>1</v>
          </cell>
          <cell r="J443" t="str">
            <v>ĐG 30.12.2022</v>
          </cell>
        </row>
        <row r="444">
          <cell r="B444" t="str">
            <v>Si57</v>
          </cell>
          <cell r="C444" t="str">
            <v>Cây si</v>
          </cell>
          <cell r="D444" t="str">
            <v>5cm ≤ đk gốc &lt; 7cm</v>
          </cell>
          <cell r="E444">
            <v>1</v>
          </cell>
          <cell r="F444" t="str">
            <v>cây</v>
          </cell>
          <cell r="G444">
            <v>90000</v>
          </cell>
          <cell r="H444">
            <v>1</v>
          </cell>
          <cell r="J444" t="str">
            <v>ĐG 30.12.2022</v>
          </cell>
        </row>
        <row r="445">
          <cell r="B445" t="str">
            <v>Si710</v>
          </cell>
          <cell r="C445" t="str">
            <v>Cây si</v>
          </cell>
          <cell r="D445" t="str">
            <v>7cm ≤ đk gốc &lt; 10cm</v>
          </cell>
          <cell r="E445">
            <v>1</v>
          </cell>
          <cell r="F445" t="str">
            <v>cây</v>
          </cell>
          <cell r="G445">
            <v>120000</v>
          </cell>
          <cell r="H445">
            <v>1</v>
          </cell>
          <cell r="J445" t="str">
            <v>ĐG 30.12.2022</v>
          </cell>
        </row>
        <row r="446">
          <cell r="B446" t="str">
            <v>Si1015</v>
          </cell>
          <cell r="C446" t="str">
            <v>Cây si</v>
          </cell>
          <cell r="D446" t="str">
            <v>10cm ≤ đk gốc &lt; 15cm</v>
          </cell>
          <cell r="E446">
            <v>2</v>
          </cell>
          <cell r="F446" t="str">
            <v>cây</v>
          </cell>
          <cell r="G446">
            <v>250000</v>
          </cell>
          <cell r="H446">
            <v>1</v>
          </cell>
          <cell r="J446" t="str">
            <v>ĐG 30.12.2022</v>
          </cell>
        </row>
        <row r="447">
          <cell r="B447" t="str">
            <v>Si1520</v>
          </cell>
          <cell r="C447" t="str">
            <v>Cây si</v>
          </cell>
          <cell r="D447" t="str">
            <v>15cm ≤ đk gốc &lt; 20cm</v>
          </cell>
          <cell r="E447">
            <v>2</v>
          </cell>
          <cell r="F447" t="str">
            <v>cây</v>
          </cell>
          <cell r="G447">
            <v>300000</v>
          </cell>
          <cell r="H447">
            <v>1</v>
          </cell>
          <cell r="J447" t="str">
            <v>ĐG 30.12.2022</v>
          </cell>
        </row>
        <row r="448">
          <cell r="B448" t="str">
            <v>Si20+</v>
          </cell>
          <cell r="C448" t="str">
            <v>Cây si</v>
          </cell>
          <cell r="D448" t="str">
            <v>đk gốc từ 20cm trở lên</v>
          </cell>
          <cell r="E448">
            <v>2</v>
          </cell>
          <cell r="F448" t="str">
            <v>cây</v>
          </cell>
          <cell r="G448">
            <v>350000</v>
          </cell>
          <cell r="H448">
            <v>1</v>
          </cell>
          <cell r="J448" t="str">
            <v>ĐG 30.12.2022</v>
          </cell>
        </row>
        <row r="449">
          <cell r="B449" t="str">
            <v>Si35vmd</v>
          </cell>
          <cell r="C449" t="str">
            <v>Cây si vượt mật độ</v>
          </cell>
          <cell r="D449" t="str">
            <v>3cm ≤ đk gốc &lt; 5cm</v>
          </cell>
          <cell r="E449">
            <v>0.5</v>
          </cell>
          <cell r="F449" t="str">
            <v>cây</v>
          </cell>
          <cell r="G449">
            <v>70000</v>
          </cell>
          <cell r="H449">
            <v>0.5</v>
          </cell>
          <cell r="J449" t="str">
            <v>ĐG 30.12.2022</v>
          </cell>
        </row>
        <row r="450">
          <cell r="B450" t="str">
            <v>Si57vmd</v>
          </cell>
          <cell r="C450" t="str">
            <v>Cây si vượt mật độ</v>
          </cell>
          <cell r="D450" t="str">
            <v>5cm ≤ đk gốc &lt; 7cm</v>
          </cell>
          <cell r="E450">
            <v>1</v>
          </cell>
          <cell r="F450" t="str">
            <v>cây</v>
          </cell>
          <cell r="G450">
            <v>90000</v>
          </cell>
          <cell r="H450">
            <v>0.5</v>
          </cell>
          <cell r="J450" t="str">
            <v>ĐG 30.12.2022</v>
          </cell>
        </row>
        <row r="451">
          <cell r="B451" t="str">
            <v>Si710vmd</v>
          </cell>
          <cell r="C451" t="str">
            <v>Cây si vượt mật độ</v>
          </cell>
          <cell r="D451" t="str">
            <v>7cm ≤ đk gốc &lt; 10cm</v>
          </cell>
          <cell r="F451" t="str">
            <v>cây</v>
          </cell>
          <cell r="G451">
            <v>120000</v>
          </cell>
          <cell r="H451">
            <v>0.5</v>
          </cell>
        </row>
        <row r="452">
          <cell r="B452" t="str">
            <v>Si1015vmd</v>
          </cell>
          <cell r="C452" t="str">
            <v>Cây si vượt mật độ</v>
          </cell>
          <cell r="D452" t="str">
            <v>10cm ≤ đk gốc &lt; 15cm</v>
          </cell>
          <cell r="F452" t="str">
            <v>cây</v>
          </cell>
          <cell r="G452">
            <v>250000</v>
          </cell>
          <cell r="H452">
            <v>0.5</v>
          </cell>
        </row>
        <row r="453">
          <cell r="B453" t="str">
            <v>Si1520vmd</v>
          </cell>
          <cell r="C453" t="str">
            <v>Cây si vượt mật độ</v>
          </cell>
          <cell r="D453" t="str">
            <v>15cm ≤ đk gốc &lt; 20cm</v>
          </cell>
          <cell r="F453" t="str">
            <v>cây</v>
          </cell>
          <cell r="G453">
            <v>300000</v>
          </cell>
          <cell r="H453">
            <v>0.5</v>
          </cell>
        </row>
        <row r="454">
          <cell r="B454" t="str">
            <v>Si20+vmd</v>
          </cell>
          <cell r="C454" t="str">
            <v>Cây si vượt mật độ</v>
          </cell>
          <cell r="D454" t="str">
            <v>đk gốc từ 20cm trở lên</v>
          </cell>
          <cell r="F454" t="str">
            <v>cây</v>
          </cell>
          <cell r="G454">
            <v>350000</v>
          </cell>
          <cell r="H454">
            <v>0.5</v>
          </cell>
        </row>
        <row r="455">
          <cell r="C455" t="str">
            <v>Cây Liễu</v>
          </cell>
        </row>
        <row r="456">
          <cell r="B456" t="str">
            <v>Liễu01</v>
          </cell>
          <cell r="C456" t="str">
            <v>Cây Liễu</v>
          </cell>
          <cell r="D456" t="str">
            <v>cây giống</v>
          </cell>
          <cell r="F456" t="str">
            <v>m2</v>
          </cell>
          <cell r="G456">
            <v>33000</v>
          </cell>
          <cell r="H456">
            <v>1</v>
          </cell>
          <cell r="J456" t="str">
            <v>ĐG 30.12.2022</v>
          </cell>
        </row>
        <row r="457">
          <cell r="B457" t="str">
            <v>Liễu05</v>
          </cell>
          <cell r="C457" t="str">
            <v>Cây Liễu</v>
          </cell>
          <cell r="D457" t="str">
            <v>đk gốc &lt; 5cm</v>
          </cell>
          <cell r="E457">
            <v>4</v>
          </cell>
          <cell r="F457" t="str">
            <v>cây</v>
          </cell>
          <cell r="G457">
            <v>33000</v>
          </cell>
          <cell r="H457">
            <v>1</v>
          </cell>
          <cell r="J457" t="str">
            <v>ĐG 30.12.2022</v>
          </cell>
        </row>
        <row r="458">
          <cell r="B458" t="str">
            <v>Liễu510</v>
          </cell>
          <cell r="C458" t="str">
            <v>Cây Liễu</v>
          </cell>
          <cell r="D458" t="str">
            <v>5cm ≤ đk gốc ≤ 10cm</v>
          </cell>
          <cell r="E458">
            <v>4</v>
          </cell>
          <cell r="F458" t="str">
            <v>cây</v>
          </cell>
          <cell r="G458">
            <v>55000</v>
          </cell>
          <cell r="H458">
            <v>1</v>
          </cell>
          <cell r="J458" t="str">
            <v>ĐG 30.12.2022</v>
          </cell>
        </row>
        <row r="459">
          <cell r="B459" t="str">
            <v>Liễu1113</v>
          </cell>
          <cell r="C459" t="str">
            <v>Cây Liễu</v>
          </cell>
          <cell r="D459" t="str">
            <v>11cm ≤ đk gốc ≤ 13cm</v>
          </cell>
          <cell r="E459">
            <v>5</v>
          </cell>
          <cell r="F459" t="str">
            <v>cây</v>
          </cell>
          <cell r="G459">
            <v>80000</v>
          </cell>
          <cell r="H459">
            <v>1</v>
          </cell>
          <cell r="J459" t="str">
            <v>ĐG 30.12.2022</v>
          </cell>
        </row>
        <row r="460">
          <cell r="B460" t="str">
            <v>Liễu1320</v>
          </cell>
          <cell r="C460" t="str">
            <v>Cây Liễu</v>
          </cell>
          <cell r="D460" t="str">
            <v>13cm &lt; đk gốc ≤ 20cm</v>
          </cell>
          <cell r="E460">
            <v>5</v>
          </cell>
          <cell r="F460" t="str">
            <v>cây</v>
          </cell>
          <cell r="G460">
            <v>100000</v>
          </cell>
          <cell r="H460">
            <v>1</v>
          </cell>
          <cell r="J460" t="str">
            <v>ĐG 30.12.2022</v>
          </cell>
        </row>
        <row r="461">
          <cell r="B461" t="str">
            <v>Liễu2040</v>
          </cell>
          <cell r="C461" t="str">
            <v>Cây Liễu</v>
          </cell>
          <cell r="D461" t="str">
            <v>20cm &lt; đk gốc ≤ 40cm</v>
          </cell>
          <cell r="E461">
            <v>5</v>
          </cell>
          <cell r="F461" t="str">
            <v>cây</v>
          </cell>
          <cell r="G461">
            <v>200000</v>
          </cell>
          <cell r="H461">
            <v>1</v>
          </cell>
          <cell r="J461" t="str">
            <v>ĐG 30.12.2022</v>
          </cell>
        </row>
        <row r="462">
          <cell r="B462" t="str">
            <v>Liễu40+</v>
          </cell>
          <cell r="C462" t="str">
            <v>Cây Liễu</v>
          </cell>
          <cell r="D462" t="str">
            <v>đk gốc trên 40cm</v>
          </cell>
          <cell r="E462">
            <v>5</v>
          </cell>
          <cell r="F462" t="str">
            <v>cây</v>
          </cell>
          <cell r="G462">
            <v>220000</v>
          </cell>
          <cell r="H462">
            <v>1</v>
          </cell>
          <cell r="J462" t="str">
            <v>ĐG 30.12.2022</v>
          </cell>
        </row>
        <row r="463">
          <cell r="B463" t="str">
            <v>Liễu01vmd</v>
          </cell>
          <cell r="C463" t="str">
            <v>Cây Liễu vượt mật độ</v>
          </cell>
          <cell r="D463" t="str">
            <v>cây giống</v>
          </cell>
          <cell r="F463" t="str">
            <v>m2</v>
          </cell>
          <cell r="G463">
            <v>33000</v>
          </cell>
          <cell r="H463">
            <v>0.5</v>
          </cell>
          <cell r="J463" t="str">
            <v>ĐG 30.12.2022</v>
          </cell>
        </row>
        <row r="464">
          <cell r="B464" t="str">
            <v>Liễu05vmd</v>
          </cell>
          <cell r="C464" t="str">
            <v>Cây Liễu vượt mật độ</v>
          </cell>
          <cell r="D464" t="str">
            <v>đk gốc &lt; 5cm</v>
          </cell>
          <cell r="E464">
            <v>4</v>
          </cell>
          <cell r="F464" t="str">
            <v>cây</v>
          </cell>
          <cell r="G464">
            <v>33000</v>
          </cell>
          <cell r="H464">
            <v>0.5</v>
          </cell>
          <cell r="J464" t="str">
            <v>ĐG 30.12.2022</v>
          </cell>
        </row>
        <row r="465">
          <cell r="B465" t="str">
            <v>Liễu510vmd</v>
          </cell>
          <cell r="C465" t="str">
            <v>Cây Liễu vượt mật độ</v>
          </cell>
          <cell r="D465" t="str">
            <v>5cm ≤ đk gốc ≤ 10cm</v>
          </cell>
          <cell r="E465">
            <v>4</v>
          </cell>
          <cell r="F465" t="str">
            <v>cây</v>
          </cell>
          <cell r="G465">
            <v>55000</v>
          </cell>
          <cell r="H465">
            <v>0.5</v>
          </cell>
          <cell r="J465" t="str">
            <v>ĐG 30.12.2022</v>
          </cell>
        </row>
        <row r="466">
          <cell r="B466" t="str">
            <v>Liễu1113vmd</v>
          </cell>
          <cell r="C466" t="str">
            <v>Cây Liễu vượt mật độ</v>
          </cell>
          <cell r="D466" t="str">
            <v>11cm ≤ đk gốc ≤ 13cm</v>
          </cell>
          <cell r="E466">
            <v>5</v>
          </cell>
          <cell r="F466" t="str">
            <v>cây</v>
          </cell>
          <cell r="G466">
            <v>80000</v>
          </cell>
          <cell r="H466">
            <v>0.5</v>
          </cell>
          <cell r="J466" t="str">
            <v>ĐG 30.12.2022</v>
          </cell>
        </row>
        <row r="467">
          <cell r="B467" t="str">
            <v>Liễu1320vmd</v>
          </cell>
          <cell r="C467" t="str">
            <v>Cây Liễu vượt mật độ</v>
          </cell>
          <cell r="D467" t="str">
            <v>13cm &lt; đk gốc ≤ 20cm</v>
          </cell>
          <cell r="E467">
            <v>5</v>
          </cell>
          <cell r="F467" t="str">
            <v>cây</v>
          </cell>
          <cell r="G467">
            <v>100000</v>
          </cell>
          <cell r="H467">
            <v>0.5</v>
          </cell>
          <cell r="J467" t="str">
            <v>ĐG 30.12.2022</v>
          </cell>
        </row>
        <row r="468">
          <cell r="B468" t="str">
            <v>Liễu2040vmd</v>
          </cell>
          <cell r="C468" t="str">
            <v>Cây Liễu vượt mật độ</v>
          </cell>
          <cell r="D468" t="str">
            <v>20cm &lt; đk gốc ≤ 40cm</v>
          </cell>
          <cell r="E468">
            <v>6.6666666666666696</v>
          </cell>
          <cell r="F468" t="str">
            <v>cây</v>
          </cell>
          <cell r="G468">
            <v>200000</v>
          </cell>
          <cell r="H468">
            <v>0.5</v>
          </cell>
          <cell r="J468" t="str">
            <v>ĐG 30.12.2022</v>
          </cell>
        </row>
        <row r="469">
          <cell r="B469" t="str">
            <v>Liễu40+vmd</v>
          </cell>
          <cell r="C469" t="str">
            <v>Cây Liễu vượt mật độ</v>
          </cell>
          <cell r="D469" t="str">
            <v>đk gốc trên 40cm</v>
          </cell>
          <cell r="E469">
            <v>6.6666666666666696</v>
          </cell>
          <cell r="F469" t="str">
            <v>cây</v>
          </cell>
          <cell r="G469">
            <v>220000</v>
          </cell>
          <cell r="H469">
            <v>0.5</v>
          </cell>
          <cell r="J469" t="str">
            <v>ĐG 30.12.2022</v>
          </cell>
        </row>
        <row r="470">
          <cell r="C470" t="str">
            <v>Cây Bằng lăng</v>
          </cell>
        </row>
        <row r="471">
          <cell r="B471" t="str">
            <v>Banglang01</v>
          </cell>
          <cell r="C471" t="str">
            <v>Bằng lăng</v>
          </cell>
          <cell r="D471" t="str">
            <v>cây giống</v>
          </cell>
          <cell r="F471" t="str">
            <v>m2</v>
          </cell>
          <cell r="G471">
            <v>33000</v>
          </cell>
          <cell r="H471">
            <v>1</v>
          </cell>
          <cell r="J471" t="str">
            <v>ĐG 30.12.2022</v>
          </cell>
        </row>
        <row r="472">
          <cell r="B472" t="str">
            <v>Banglang05</v>
          </cell>
          <cell r="C472" t="str">
            <v>Bằng lăng</v>
          </cell>
          <cell r="D472" t="str">
            <v>đk gốc &lt; 5cm</v>
          </cell>
          <cell r="E472">
            <v>4</v>
          </cell>
          <cell r="F472" t="str">
            <v>cây</v>
          </cell>
          <cell r="G472">
            <v>33000</v>
          </cell>
          <cell r="H472">
            <v>1</v>
          </cell>
          <cell r="J472" t="str">
            <v>ĐG 30.12.2022</v>
          </cell>
        </row>
        <row r="473">
          <cell r="B473" t="str">
            <v>Banglang510</v>
          </cell>
          <cell r="C473" t="str">
            <v>Bằng lăng</v>
          </cell>
          <cell r="D473" t="str">
            <v>5cm ≤ đk gốc ≤ 10cm</v>
          </cell>
          <cell r="E473">
            <v>4</v>
          </cell>
          <cell r="F473" t="str">
            <v>cây</v>
          </cell>
          <cell r="G473">
            <v>55000</v>
          </cell>
          <cell r="H473">
            <v>1</v>
          </cell>
          <cell r="J473" t="str">
            <v>ĐG 30.12.2022</v>
          </cell>
        </row>
        <row r="474">
          <cell r="B474" t="str">
            <v>Banglang1113</v>
          </cell>
          <cell r="C474" t="str">
            <v>Bằng lăng</v>
          </cell>
          <cell r="D474" t="str">
            <v>11cm ≤ đk gốc ≤ 13cm</v>
          </cell>
          <cell r="E474">
            <v>5</v>
          </cell>
          <cell r="F474" t="str">
            <v>cây</v>
          </cell>
          <cell r="G474">
            <v>80000</v>
          </cell>
          <cell r="H474">
            <v>1</v>
          </cell>
          <cell r="J474" t="str">
            <v>ĐG 30.12.2022</v>
          </cell>
        </row>
        <row r="475">
          <cell r="B475" t="str">
            <v>Banglang1320</v>
          </cell>
          <cell r="C475" t="str">
            <v>Bằng lăng</v>
          </cell>
          <cell r="D475" t="str">
            <v>13cm &lt; đk gốc ≤ 20cm</v>
          </cell>
          <cell r="E475">
            <v>5</v>
          </cell>
          <cell r="F475" t="str">
            <v>cây</v>
          </cell>
          <cell r="G475">
            <v>100000</v>
          </cell>
          <cell r="H475">
            <v>1</v>
          </cell>
          <cell r="J475" t="str">
            <v>ĐG 30.12.2022</v>
          </cell>
        </row>
        <row r="476">
          <cell r="B476" t="str">
            <v>Banglang2040</v>
          </cell>
          <cell r="C476" t="str">
            <v>Bằng lăng</v>
          </cell>
          <cell r="D476" t="str">
            <v>20cm &lt; đk gốc ≤ 40cm</v>
          </cell>
          <cell r="E476">
            <v>6.6666666666666696</v>
          </cell>
          <cell r="F476" t="str">
            <v>cây</v>
          </cell>
          <cell r="G476">
            <v>200000</v>
          </cell>
          <cell r="H476">
            <v>1</v>
          </cell>
          <cell r="J476" t="str">
            <v>ĐG 30.12.2022</v>
          </cell>
        </row>
        <row r="477">
          <cell r="B477" t="str">
            <v>Banglang40+</v>
          </cell>
          <cell r="C477" t="str">
            <v>Bằng lăng</v>
          </cell>
          <cell r="D477" t="str">
            <v>đk gốc trên 40cm</v>
          </cell>
          <cell r="E477">
            <v>6.6666666666666696</v>
          </cell>
          <cell r="F477" t="str">
            <v>cây</v>
          </cell>
          <cell r="G477">
            <v>220000</v>
          </cell>
          <cell r="H477">
            <v>1</v>
          </cell>
          <cell r="J477" t="str">
            <v>ĐG 30.12.2022</v>
          </cell>
        </row>
        <row r="478">
          <cell r="B478" t="str">
            <v>Banglang01vmd</v>
          </cell>
          <cell r="C478" t="str">
            <v>Bằng lăng vượt mật độ</v>
          </cell>
          <cell r="D478" t="str">
            <v>cây giống</v>
          </cell>
          <cell r="F478" t="str">
            <v>m2</v>
          </cell>
          <cell r="G478">
            <v>33000</v>
          </cell>
          <cell r="H478">
            <v>0.5</v>
          </cell>
          <cell r="J478" t="str">
            <v>ĐG 30.12.2022</v>
          </cell>
        </row>
        <row r="479">
          <cell r="B479" t="str">
            <v>Banglang05vmd</v>
          </cell>
          <cell r="C479" t="str">
            <v>Bằng lăng vượt mật độ</v>
          </cell>
          <cell r="D479" t="str">
            <v>đk gốc &lt; 5cm</v>
          </cell>
          <cell r="E479">
            <v>4</v>
          </cell>
          <cell r="F479" t="str">
            <v>cây</v>
          </cell>
          <cell r="G479">
            <v>33000</v>
          </cell>
          <cell r="H479">
            <v>0.5</v>
          </cell>
          <cell r="J479" t="str">
            <v>ĐG 30.12.2022</v>
          </cell>
        </row>
        <row r="480">
          <cell r="B480" t="str">
            <v>Banglang510vmd</v>
          </cell>
          <cell r="C480" t="str">
            <v>Bằng lăng vượt mật độ</v>
          </cell>
          <cell r="D480" t="str">
            <v>5cm ≤ đk gốc ≤ 10cm</v>
          </cell>
          <cell r="E480">
            <v>4</v>
          </cell>
          <cell r="F480" t="str">
            <v>cây</v>
          </cell>
          <cell r="G480">
            <v>55000</v>
          </cell>
          <cell r="H480">
            <v>0.5</v>
          </cell>
          <cell r="J480" t="str">
            <v>ĐG 30.12.2022</v>
          </cell>
        </row>
        <row r="481">
          <cell r="B481" t="str">
            <v>Banglang1113vmd</v>
          </cell>
          <cell r="C481" t="str">
            <v>Bằng lăng vượt mật độ</v>
          </cell>
          <cell r="D481" t="str">
            <v>11cm ≤ đk gốc ≤ 13cm</v>
          </cell>
          <cell r="E481">
            <v>5</v>
          </cell>
          <cell r="F481" t="str">
            <v>cây</v>
          </cell>
          <cell r="G481">
            <v>80000</v>
          </cell>
          <cell r="H481">
            <v>0.5</v>
          </cell>
          <cell r="J481" t="str">
            <v>ĐG 30.12.2022</v>
          </cell>
        </row>
        <row r="482">
          <cell r="B482" t="str">
            <v>Banglang1320vmd</v>
          </cell>
          <cell r="C482" t="str">
            <v>Bằng lăng vượt mật độ</v>
          </cell>
          <cell r="D482" t="str">
            <v>13cm &lt; đk gốc ≤ 20cm</v>
          </cell>
          <cell r="E482">
            <v>5</v>
          </cell>
          <cell r="F482" t="str">
            <v>cây</v>
          </cell>
          <cell r="G482">
            <v>100000</v>
          </cell>
          <cell r="H482">
            <v>0.5</v>
          </cell>
          <cell r="J482" t="str">
            <v>ĐG 30.12.2022</v>
          </cell>
        </row>
        <row r="483">
          <cell r="B483" t="str">
            <v>Banglang2040vmd</v>
          </cell>
          <cell r="C483" t="str">
            <v>Bằng lăng vượt mật độ</v>
          </cell>
          <cell r="D483" t="str">
            <v>20cm &lt; đk gốc ≤ 40cm</v>
          </cell>
          <cell r="E483">
            <v>5</v>
          </cell>
          <cell r="F483" t="str">
            <v>cây</v>
          </cell>
          <cell r="G483">
            <v>200000</v>
          </cell>
          <cell r="H483">
            <v>0.5</v>
          </cell>
          <cell r="J483" t="str">
            <v>ĐG 30.12.2022</v>
          </cell>
        </row>
        <row r="484">
          <cell r="B484" t="str">
            <v>Banglang40+vmd</v>
          </cell>
          <cell r="C484" t="str">
            <v>Bằng lăng vượt mật độ</v>
          </cell>
          <cell r="D484" t="str">
            <v>đk gốc trên 40cm</v>
          </cell>
          <cell r="E484">
            <v>5</v>
          </cell>
          <cell r="F484" t="str">
            <v>cây</v>
          </cell>
          <cell r="G484">
            <v>220000</v>
          </cell>
          <cell r="H484">
            <v>0.5</v>
          </cell>
          <cell r="J484" t="str">
            <v>ĐG 30.12.2022</v>
          </cell>
        </row>
        <row r="485">
          <cell r="C485" t="str">
            <v>Cây Lộc vừng</v>
          </cell>
        </row>
        <row r="486">
          <cell r="B486" t="str">
            <v>Locvung35</v>
          </cell>
          <cell r="C486" t="str">
            <v>Cây Lộc vừng</v>
          </cell>
          <cell r="D486" t="str">
            <v>3cm ≤ đk gốc &lt; 5cm</v>
          </cell>
          <cell r="E486">
            <v>0.5</v>
          </cell>
          <cell r="F486" t="str">
            <v>cây</v>
          </cell>
          <cell r="G486">
            <v>85000</v>
          </cell>
          <cell r="H486">
            <v>1</v>
          </cell>
          <cell r="J486" t="str">
            <v>ĐG 30.12.2022</v>
          </cell>
        </row>
        <row r="487">
          <cell r="B487" t="str">
            <v>Locvung57</v>
          </cell>
          <cell r="C487" t="str">
            <v>Cây Lộc vừng</v>
          </cell>
          <cell r="D487" t="str">
            <v>5cm ≤ đk gốc &lt; 7cm</v>
          </cell>
          <cell r="E487">
            <v>1</v>
          </cell>
          <cell r="F487" t="str">
            <v>cây</v>
          </cell>
          <cell r="G487">
            <v>110000</v>
          </cell>
          <cell r="H487">
            <v>1</v>
          </cell>
          <cell r="J487" t="str">
            <v>ĐG 30.12.2022</v>
          </cell>
        </row>
        <row r="488">
          <cell r="B488" t="str">
            <v>Locvung710</v>
          </cell>
          <cell r="C488" t="str">
            <v>Cây Lộc vừng</v>
          </cell>
          <cell r="D488" t="str">
            <v>7cm ≤ đk gốc &lt; 10cm</v>
          </cell>
          <cell r="E488">
            <v>1.5</v>
          </cell>
          <cell r="F488" t="str">
            <v>cây</v>
          </cell>
          <cell r="G488">
            <v>180000</v>
          </cell>
          <cell r="H488">
            <v>1</v>
          </cell>
          <cell r="J488" t="str">
            <v>ĐG 30.12.2022</v>
          </cell>
        </row>
        <row r="489">
          <cell r="B489" t="str">
            <v>Locvung1015</v>
          </cell>
          <cell r="C489" t="str">
            <v>Cây Lộc vừng</v>
          </cell>
          <cell r="D489" t="str">
            <v>10cm ≤ đk gốc &lt; 15cm</v>
          </cell>
          <cell r="E489">
            <v>2.5</v>
          </cell>
          <cell r="F489" t="str">
            <v>cây</v>
          </cell>
          <cell r="G489">
            <v>320000</v>
          </cell>
          <cell r="H489">
            <v>1</v>
          </cell>
          <cell r="J489" t="str">
            <v>ĐG 30.12.2022</v>
          </cell>
        </row>
        <row r="490">
          <cell r="B490" t="str">
            <v>Locvung15+</v>
          </cell>
          <cell r="C490" t="str">
            <v>Cây Lộc vừng</v>
          </cell>
          <cell r="D490" t="str">
            <v>đk gốc từ 15cm trở lên</v>
          </cell>
          <cell r="E490">
            <v>3</v>
          </cell>
          <cell r="F490" t="str">
            <v>cây</v>
          </cell>
          <cell r="G490">
            <v>420000</v>
          </cell>
          <cell r="H490">
            <v>1</v>
          </cell>
          <cell r="J490" t="str">
            <v>ĐG 30.12.2022</v>
          </cell>
        </row>
        <row r="491">
          <cell r="B491" t="str">
            <v>Locvung15+#</v>
          </cell>
          <cell r="C491" t="str">
            <v>Cây Lộc vừng trồng trên đất GTTL</v>
          </cell>
          <cell r="D491" t="str">
            <v>đk gốc từ 15cm trở lên</v>
          </cell>
          <cell r="E491">
            <v>3</v>
          </cell>
          <cell r="F491" t="str">
            <v>cây</v>
          </cell>
          <cell r="G491">
            <v>420000</v>
          </cell>
          <cell r="H491">
            <v>0.3</v>
          </cell>
          <cell r="J491" t="str">
            <v>ĐG 30.12.2022</v>
          </cell>
        </row>
        <row r="492">
          <cell r="B492" t="str">
            <v>Locvung35vmd</v>
          </cell>
          <cell r="C492" t="str">
            <v>Cây Lộc vừng vượt mật độ</v>
          </cell>
          <cell r="D492" t="str">
            <v>3cm ≤ đk gốc &lt; 5cm</v>
          </cell>
          <cell r="E492">
            <v>0.5</v>
          </cell>
          <cell r="F492" t="str">
            <v>cây</v>
          </cell>
          <cell r="G492">
            <v>85000</v>
          </cell>
          <cell r="H492">
            <v>0.5</v>
          </cell>
          <cell r="J492" t="str">
            <v>ĐG 30.12.2022</v>
          </cell>
        </row>
        <row r="493">
          <cell r="B493" t="str">
            <v>Locvung57vmd</v>
          </cell>
          <cell r="C493" t="str">
            <v>Cây Lộc vừng vượt mật độ</v>
          </cell>
          <cell r="D493" t="str">
            <v>5cm ≤ đk gốc &lt; 7cm</v>
          </cell>
          <cell r="E493">
            <v>1</v>
          </cell>
          <cell r="F493" t="str">
            <v>cây</v>
          </cell>
          <cell r="G493">
            <v>110000</v>
          </cell>
          <cell r="H493">
            <v>0.5</v>
          </cell>
          <cell r="J493" t="str">
            <v>ĐG 30.12.2022</v>
          </cell>
        </row>
        <row r="494">
          <cell r="B494" t="str">
            <v>Locvung710vmd</v>
          </cell>
          <cell r="C494" t="str">
            <v>Cây Lộc vừng vượt mật độ</v>
          </cell>
          <cell r="D494" t="str">
            <v>7cm ≤ đk gốc &lt; 10cm</v>
          </cell>
          <cell r="E494">
            <v>1.5</v>
          </cell>
          <cell r="F494" t="str">
            <v>cây</v>
          </cell>
          <cell r="G494">
            <v>180000</v>
          </cell>
          <cell r="H494">
            <v>0.5</v>
          </cell>
          <cell r="J494" t="str">
            <v>ĐG 30.12.2022</v>
          </cell>
        </row>
        <row r="495">
          <cell r="B495" t="str">
            <v>Locvung1015vmd</v>
          </cell>
          <cell r="C495" t="str">
            <v>Cây Lộc vừng vượt mật độ</v>
          </cell>
          <cell r="D495" t="str">
            <v>10cm ≤ đk gốc &lt; 15cm</v>
          </cell>
          <cell r="E495">
            <v>2.5</v>
          </cell>
          <cell r="F495" t="str">
            <v>cây</v>
          </cell>
          <cell r="G495">
            <v>320000</v>
          </cell>
          <cell r="H495">
            <v>0.5</v>
          </cell>
          <cell r="J495" t="str">
            <v>ĐG 30.12.2022</v>
          </cell>
        </row>
        <row r="496">
          <cell r="B496" t="str">
            <v>Locvung15+vmd</v>
          </cell>
          <cell r="C496" t="str">
            <v>Cây Lộc vừng vượt mật độ</v>
          </cell>
          <cell r="D496" t="str">
            <v>đk gốc từ 15cm trở lên</v>
          </cell>
          <cell r="E496">
            <v>3</v>
          </cell>
          <cell r="F496" t="str">
            <v>cây</v>
          </cell>
          <cell r="G496">
            <v>420000</v>
          </cell>
          <cell r="H496">
            <v>0.5</v>
          </cell>
          <cell r="J496" t="str">
            <v>ĐG 30.12.2022</v>
          </cell>
        </row>
        <row r="497">
          <cell r="B497" t="str">
            <v>Locvung35itl</v>
          </cell>
          <cell r="C497" t="str">
            <v>Cây Lộc vừng ít tán, ít lá</v>
          </cell>
          <cell r="D497" t="str">
            <v>3cm ≤ đk gốc &lt; 5cm</v>
          </cell>
          <cell r="E497">
            <v>0.5</v>
          </cell>
          <cell r="F497" t="str">
            <v>cây</v>
          </cell>
          <cell r="G497">
            <v>85000</v>
          </cell>
          <cell r="H497">
            <v>0.3</v>
          </cell>
          <cell r="J497" t="str">
            <v>ĐG 30.12.2022</v>
          </cell>
        </row>
        <row r="498">
          <cell r="B498" t="str">
            <v>Locvung57itl</v>
          </cell>
          <cell r="C498" t="str">
            <v>Cây Lộc vừng ít tán, ít lá</v>
          </cell>
          <cell r="D498" t="str">
            <v>5cm ≤ đk gốc &lt; 7cm</v>
          </cell>
          <cell r="E498">
            <v>1</v>
          </cell>
          <cell r="F498" t="str">
            <v>cây</v>
          </cell>
          <cell r="G498">
            <v>110000</v>
          </cell>
          <cell r="H498">
            <v>0.3</v>
          </cell>
          <cell r="J498" t="str">
            <v>ĐG 30.12.2022</v>
          </cell>
        </row>
        <row r="499">
          <cell r="B499" t="str">
            <v>Locvung710itl</v>
          </cell>
          <cell r="C499" t="str">
            <v>Cây Lộc vừng ít tán, ít lá</v>
          </cell>
          <cell r="D499" t="str">
            <v>7cm ≤ đk gốc &lt; 10cm</v>
          </cell>
          <cell r="E499">
            <v>1.5</v>
          </cell>
          <cell r="F499" t="str">
            <v>cây</v>
          </cell>
          <cell r="G499">
            <v>180000</v>
          </cell>
          <cell r="H499">
            <v>0.3</v>
          </cell>
          <cell r="J499" t="str">
            <v>ĐG 30.12.2022</v>
          </cell>
        </row>
        <row r="500">
          <cell r="B500" t="str">
            <v>Locvung1015itl</v>
          </cell>
          <cell r="C500" t="str">
            <v>Cây Lộc vừng ít tán, ít lá</v>
          </cell>
          <cell r="D500" t="str">
            <v>10cm ≤ đk gốc &lt; 15cm</v>
          </cell>
          <cell r="E500">
            <v>2.5</v>
          </cell>
          <cell r="F500" t="str">
            <v>cây</v>
          </cell>
          <cell r="G500">
            <v>320000</v>
          </cell>
          <cell r="H500">
            <v>0.3</v>
          </cell>
          <cell r="J500" t="str">
            <v>ĐG 30.12.2022</v>
          </cell>
        </row>
        <row r="501">
          <cell r="B501" t="str">
            <v>Locvung15+itl</v>
          </cell>
          <cell r="C501" t="str">
            <v>Cây Lộc vừng ít tán, ít lá</v>
          </cell>
          <cell r="D501" t="str">
            <v>đk gốc từ 15cm trở lên</v>
          </cell>
          <cell r="E501">
            <v>3</v>
          </cell>
          <cell r="F501" t="str">
            <v>cây</v>
          </cell>
          <cell r="G501">
            <v>420000</v>
          </cell>
          <cell r="H501">
            <v>0.3</v>
          </cell>
          <cell r="J501" t="str">
            <v>ĐG 30.12.2022</v>
          </cell>
        </row>
        <row r="502">
          <cell r="B502" t="str">
            <v>Locvung15+itl.vmd</v>
          </cell>
          <cell r="C502" t="str">
            <v>Cây Lộc vừng ít tán, ít lá, vượt mật độ</v>
          </cell>
          <cell r="D502" t="str">
            <v>đk gốc từ 15cm trở lên</v>
          </cell>
          <cell r="E502">
            <v>3</v>
          </cell>
          <cell r="F502" t="str">
            <v>cây</v>
          </cell>
          <cell r="G502">
            <v>420000</v>
          </cell>
          <cell r="H502">
            <v>0.15</v>
          </cell>
        </row>
        <row r="503">
          <cell r="B503" t="str">
            <v>Locvung710mt</v>
          </cell>
          <cell r="C503" t="str">
            <v>Cây Lộc vừng mới trồng</v>
          </cell>
          <cell r="D503" t="str">
            <v>7cm ≤ đk gốc &lt; 10cm</v>
          </cell>
          <cell r="E503">
            <v>1</v>
          </cell>
          <cell r="F503" t="str">
            <v>cây</v>
          </cell>
          <cell r="G503">
            <v>37500</v>
          </cell>
          <cell r="H503">
            <v>1</v>
          </cell>
        </row>
        <row r="504">
          <cell r="B504" t="str">
            <v>Locvung1015mt</v>
          </cell>
          <cell r="C504" t="str">
            <v>Cây Lộc vừng mới trồng</v>
          </cell>
          <cell r="D504" t="str">
            <v>10cm ≤ đk gốc &lt; 15cm</v>
          </cell>
          <cell r="E504">
            <v>2</v>
          </cell>
          <cell r="F504" t="str">
            <v>cây</v>
          </cell>
          <cell r="G504">
            <v>81500</v>
          </cell>
          <cell r="H504">
            <v>1</v>
          </cell>
        </row>
        <row r="505">
          <cell r="B505" t="str">
            <v>Locvung15+mt</v>
          </cell>
          <cell r="C505" t="str">
            <v>Cây Lộc vừng mới trồng</v>
          </cell>
          <cell r="D505" t="str">
            <v>đk gốc từ 15cm trở lên</v>
          </cell>
          <cell r="E505">
            <v>3</v>
          </cell>
          <cell r="F505" t="str">
            <v>cây</v>
          </cell>
          <cell r="G505">
            <v>115000</v>
          </cell>
          <cell r="H505">
            <v>1</v>
          </cell>
        </row>
        <row r="506">
          <cell r="C506" t="str">
            <v>Cây Đào tiên</v>
          </cell>
        </row>
        <row r="507">
          <cell r="B507" t="str">
            <v>Daotien35</v>
          </cell>
          <cell r="C507" t="str">
            <v>Cây Đào tiên</v>
          </cell>
          <cell r="D507" t="str">
            <v>3cm ≤ đk gốc &lt; 5cm</v>
          </cell>
          <cell r="E507">
            <v>0.5</v>
          </cell>
          <cell r="F507" t="str">
            <v>cây</v>
          </cell>
          <cell r="G507">
            <v>85000</v>
          </cell>
          <cell r="H507">
            <v>1</v>
          </cell>
          <cell r="J507" t="str">
            <v>ĐG 30.12.2022</v>
          </cell>
        </row>
        <row r="508">
          <cell r="B508" t="str">
            <v>Daotien57</v>
          </cell>
          <cell r="C508" t="str">
            <v>Cây Đào tiên</v>
          </cell>
          <cell r="D508" t="str">
            <v>5cm ≤ đk gốc &lt; 7cm</v>
          </cell>
          <cell r="E508">
            <v>1</v>
          </cell>
          <cell r="F508" t="str">
            <v>cây</v>
          </cell>
          <cell r="G508">
            <v>110000</v>
          </cell>
          <cell r="H508">
            <v>1</v>
          </cell>
          <cell r="J508" t="str">
            <v>ĐG 30.12.2022</v>
          </cell>
        </row>
        <row r="509">
          <cell r="B509" t="str">
            <v>Daotien710</v>
          </cell>
          <cell r="C509" t="str">
            <v>Cây Đào tiên</v>
          </cell>
          <cell r="D509" t="str">
            <v>7cm ≤ đk gốc &lt; 10cm</v>
          </cell>
          <cell r="E509">
            <v>1</v>
          </cell>
          <cell r="F509" t="str">
            <v>cây</v>
          </cell>
          <cell r="G509">
            <v>180000</v>
          </cell>
          <cell r="H509">
            <v>1</v>
          </cell>
          <cell r="J509" t="str">
            <v>ĐG 30.12.2022</v>
          </cell>
        </row>
        <row r="510">
          <cell r="B510" t="str">
            <v>Daotien1015</v>
          </cell>
          <cell r="C510" t="str">
            <v>Cây Đào tiên</v>
          </cell>
          <cell r="D510" t="str">
            <v>10cm ≤ đk gốc &lt; 15cm</v>
          </cell>
          <cell r="E510">
            <v>2</v>
          </cell>
          <cell r="F510" t="str">
            <v>cây</v>
          </cell>
          <cell r="G510">
            <v>320000</v>
          </cell>
          <cell r="H510">
            <v>1</v>
          </cell>
          <cell r="J510" t="str">
            <v>ĐG 30.12.2022</v>
          </cell>
        </row>
        <row r="511">
          <cell r="B511" t="str">
            <v>Daotien15+</v>
          </cell>
          <cell r="C511" t="str">
            <v>Cây Đào tiên</v>
          </cell>
          <cell r="D511" t="str">
            <v>đk gốc từ 15cm trở lên</v>
          </cell>
          <cell r="E511">
            <v>3</v>
          </cell>
          <cell r="F511" t="str">
            <v>cây</v>
          </cell>
          <cell r="G511">
            <v>420000</v>
          </cell>
          <cell r="H511">
            <v>1</v>
          </cell>
          <cell r="J511" t="str">
            <v>ĐG 30.12.2022</v>
          </cell>
        </row>
        <row r="512">
          <cell r="B512" t="str">
            <v>Daotien35vmd</v>
          </cell>
          <cell r="C512" t="str">
            <v>Cây Đào tiên vượt mật độ</v>
          </cell>
          <cell r="D512" t="str">
            <v>3cm ≤ đk gốc &lt; 5cm</v>
          </cell>
          <cell r="E512">
            <v>0.5</v>
          </cell>
          <cell r="F512" t="str">
            <v>cây</v>
          </cell>
          <cell r="G512">
            <v>85000</v>
          </cell>
          <cell r="H512">
            <v>0.5</v>
          </cell>
          <cell r="J512" t="str">
            <v>ĐG 30.12.2022</v>
          </cell>
        </row>
        <row r="513">
          <cell r="B513" t="str">
            <v>Daotien57vmd</v>
          </cell>
          <cell r="C513" t="str">
            <v>Cây Đào tiên vượt mật độ</v>
          </cell>
          <cell r="D513" t="str">
            <v>5cm ≤ đk gốc &lt; 7cm</v>
          </cell>
          <cell r="E513">
            <v>1</v>
          </cell>
          <cell r="F513" t="str">
            <v>cây</v>
          </cell>
          <cell r="G513">
            <v>110000</v>
          </cell>
          <cell r="H513">
            <v>0.5</v>
          </cell>
          <cell r="J513" t="str">
            <v>ĐG 30.12.2022</v>
          </cell>
        </row>
        <row r="514">
          <cell r="B514" t="str">
            <v>Daotien710vmd</v>
          </cell>
          <cell r="C514" t="str">
            <v>Cây Đào tiên vượt mật độ</v>
          </cell>
          <cell r="D514" t="str">
            <v>7cm ≤ đk gốc &lt; 10cm</v>
          </cell>
          <cell r="E514">
            <v>1</v>
          </cell>
          <cell r="F514" t="str">
            <v>cây</v>
          </cell>
          <cell r="G514">
            <v>180000</v>
          </cell>
          <cell r="H514">
            <v>0.5</v>
          </cell>
          <cell r="J514" t="str">
            <v>ĐG 30.12.2022</v>
          </cell>
        </row>
        <row r="515">
          <cell r="B515" t="str">
            <v>Daotien1015vmd</v>
          </cell>
          <cell r="C515" t="str">
            <v>Cây Đào tiên vượt mật độ</v>
          </cell>
          <cell r="D515" t="str">
            <v>10cm ≤ đk gốc &lt; 15cm</v>
          </cell>
          <cell r="E515">
            <v>2</v>
          </cell>
          <cell r="F515" t="str">
            <v>cây</v>
          </cell>
          <cell r="G515">
            <v>320000</v>
          </cell>
          <cell r="H515">
            <v>0.5</v>
          </cell>
          <cell r="J515" t="str">
            <v>ĐG 30.12.2022</v>
          </cell>
        </row>
        <row r="516">
          <cell r="B516" t="str">
            <v>Daotien15+vmd</v>
          </cell>
          <cell r="C516" t="str">
            <v>Cây Đào tiên vượt mật độ</v>
          </cell>
          <cell r="D516" t="str">
            <v>đk gốc từ 15cm trở lên</v>
          </cell>
          <cell r="E516">
            <v>3</v>
          </cell>
          <cell r="F516" t="str">
            <v>cây</v>
          </cell>
          <cell r="G516">
            <v>420000</v>
          </cell>
          <cell r="H516">
            <v>0.5</v>
          </cell>
          <cell r="J516" t="str">
            <v>ĐG 30.12.2022</v>
          </cell>
        </row>
        <row r="517">
          <cell r="C517" t="str">
            <v>Cây Tùng</v>
          </cell>
        </row>
        <row r="518">
          <cell r="B518" t="str">
            <v>Tung01</v>
          </cell>
          <cell r="C518" t="str">
            <v>Cây Tùng</v>
          </cell>
          <cell r="D518" t="str">
            <v>cây giống</v>
          </cell>
          <cell r="F518" t="str">
            <v>m2</v>
          </cell>
          <cell r="H518">
            <v>1</v>
          </cell>
          <cell r="J518" t="str">
            <v>Đơn giá dự thảo</v>
          </cell>
        </row>
        <row r="519">
          <cell r="B519" t="str">
            <v>Tung35</v>
          </cell>
          <cell r="C519" t="str">
            <v>Cây Tùng</v>
          </cell>
          <cell r="D519" t="str">
            <v>3cm ≤ đk gốc &lt; 5cm</v>
          </cell>
          <cell r="E519">
            <v>0.5</v>
          </cell>
          <cell r="F519" t="str">
            <v>cây</v>
          </cell>
          <cell r="G519">
            <v>70000</v>
          </cell>
          <cell r="H519">
            <v>1</v>
          </cell>
          <cell r="J519" t="str">
            <v>Đơn giá dự thảo</v>
          </cell>
        </row>
        <row r="520">
          <cell r="B520" t="str">
            <v>Tung57</v>
          </cell>
          <cell r="C520" t="str">
            <v>Cây Tùng</v>
          </cell>
          <cell r="D520" t="str">
            <v>5cm ≤ đk gốc &lt; 7cm</v>
          </cell>
          <cell r="E520">
            <v>1</v>
          </cell>
          <cell r="F520" t="str">
            <v>cây</v>
          </cell>
          <cell r="G520">
            <v>90000</v>
          </cell>
          <cell r="H520">
            <v>1</v>
          </cell>
          <cell r="J520" t="str">
            <v>Đơn giá dự thảo</v>
          </cell>
        </row>
        <row r="521">
          <cell r="B521" t="str">
            <v>Tung710</v>
          </cell>
          <cell r="C521" t="str">
            <v>Cây Tùng</v>
          </cell>
          <cell r="D521" t="str">
            <v>7cm ≤ đk gốc &lt; 10cm</v>
          </cell>
          <cell r="E521">
            <v>1</v>
          </cell>
          <cell r="F521" t="str">
            <v>cây</v>
          </cell>
          <cell r="G521">
            <v>120000</v>
          </cell>
          <cell r="H521">
            <v>1</v>
          </cell>
          <cell r="J521" t="str">
            <v>Đơn giá dự thảo</v>
          </cell>
        </row>
        <row r="522">
          <cell r="B522" t="str">
            <v>Tung1015</v>
          </cell>
          <cell r="C522" t="str">
            <v>Cây Tùng</v>
          </cell>
          <cell r="D522" t="str">
            <v>10cm ≤ đk gốc &lt; 15cm</v>
          </cell>
          <cell r="E522">
            <v>2</v>
          </cell>
          <cell r="F522" t="str">
            <v>cây</v>
          </cell>
          <cell r="G522">
            <v>250000</v>
          </cell>
          <cell r="H522">
            <v>1</v>
          </cell>
          <cell r="J522" t="str">
            <v>Đơn giá dự thảo</v>
          </cell>
        </row>
        <row r="523">
          <cell r="B523" t="str">
            <v>Tung1520</v>
          </cell>
          <cell r="C523" t="str">
            <v>Cây Tùng</v>
          </cell>
          <cell r="D523" t="str">
            <v>15cm ≤ đk gốc &lt; 20cm</v>
          </cell>
          <cell r="E523">
            <v>2</v>
          </cell>
          <cell r="F523" t="str">
            <v>cây</v>
          </cell>
          <cell r="G523">
            <v>300000</v>
          </cell>
          <cell r="H523">
            <v>1</v>
          </cell>
          <cell r="J523" t="str">
            <v>Đơn giá dự thảo</v>
          </cell>
        </row>
        <row r="524">
          <cell r="B524" t="str">
            <v>Tung20+</v>
          </cell>
          <cell r="C524" t="str">
            <v>Cây Tùng</v>
          </cell>
          <cell r="D524" t="str">
            <v>đk gốc từ 20cm trở lên</v>
          </cell>
          <cell r="E524">
            <v>2</v>
          </cell>
          <cell r="F524" t="str">
            <v>cây</v>
          </cell>
          <cell r="G524">
            <v>350000</v>
          </cell>
          <cell r="H524">
            <v>1</v>
          </cell>
          <cell r="J524" t="str">
            <v>Đơn giá dự thảo</v>
          </cell>
        </row>
        <row r="525">
          <cell r="B525" t="str">
            <v>Tung35vmd</v>
          </cell>
          <cell r="C525" t="str">
            <v>Cây Tùng vừng vượt mật độ</v>
          </cell>
          <cell r="D525" t="str">
            <v>3cm ≤ đk gốc &lt; 5cm</v>
          </cell>
          <cell r="E525">
            <v>0.5</v>
          </cell>
          <cell r="F525" t="str">
            <v>cây</v>
          </cell>
          <cell r="G525">
            <v>70000</v>
          </cell>
          <cell r="H525">
            <v>0.5</v>
          </cell>
          <cell r="J525" t="str">
            <v>Đơn giá dự thảo</v>
          </cell>
        </row>
        <row r="526">
          <cell r="B526" t="str">
            <v>Tung57vmd</v>
          </cell>
          <cell r="C526" t="str">
            <v>Cây Tùng vừng vượt mật độ</v>
          </cell>
          <cell r="D526" t="str">
            <v>5cm ≤ đk gốc &lt; 7cm</v>
          </cell>
          <cell r="E526">
            <v>1</v>
          </cell>
          <cell r="F526" t="str">
            <v>cây</v>
          </cell>
          <cell r="G526">
            <v>90000</v>
          </cell>
          <cell r="H526">
            <v>0.5</v>
          </cell>
          <cell r="J526" t="str">
            <v>Đơn giá dự thảo</v>
          </cell>
        </row>
        <row r="527">
          <cell r="B527" t="str">
            <v>Tung710vmd</v>
          </cell>
          <cell r="C527" t="str">
            <v>Cây Tùng vừng vượt mật độ</v>
          </cell>
          <cell r="D527" t="str">
            <v>7cm ≤ đk gốc &lt; 10cm</v>
          </cell>
          <cell r="E527">
            <v>1</v>
          </cell>
          <cell r="F527" t="str">
            <v>cây</v>
          </cell>
          <cell r="G527">
            <v>120000</v>
          </cell>
          <cell r="H527">
            <v>0.5</v>
          </cell>
          <cell r="J527" t="str">
            <v>Đơn giá dự thảo</v>
          </cell>
        </row>
        <row r="528">
          <cell r="B528" t="str">
            <v>Tung1015vmd</v>
          </cell>
          <cell r="C528" t="str">
            <v>Cây Tùng vừng vượt mật độ</v>
          </cell>
          <cell r="D528" t="str">
            <v>10cm ≤ đk gốc &lt; 15cm</v>
          </cell>
          <cell r="E528">
            <v>2</v>
          </cell>
          <cell r="F528" t="str">
            <v>cây</v>
          </cell>
          <cell r="G528">
            <v>250000</v>
          </cell>
          <cell r="H528">
            <v>0.5</v>
          </cell>
          <cell r="J528" t="str">
            <v>Đơn giá dự thảo</v>
          </cell>
        </row>
        <row r="529">
          <cell r="B529" t="str">
            <v>Tung1520vmd</v>
          </cell>
          <cell r="C529" t="str">
            <v>Cây Tùng vừng vượt mật độ</v>
          </cell>
          <cell r="D529" t="str">
            <v>15cm ≤ đk gốc &lt; 20cm</v>
          </cell>
          <cell r="E529">
            <v>2</v>
          </cell>
          <cell r="F529" t="str">
            <v>cây</v>
          </cell>
          <cell r="G529">
            <v>300000</v>
          </cell>
          <cell r="H529">
            <v>0.5</v>
          </cell>
          <cell r="J529" t="str">
            <v>Đơn giá dự thảo</v>
          </cell>
        </row>
        <row r="530">
          <cell r="B530" t="str">
            <v>Tung20+vmd</v>
          </cell>
          <cell r="C530" t="str">
            <v>Cây Tùng vừng vượt mật độ</v>
          </cell>
          <cell r="D530" t="str">
            <v>đk gốc từ 20cm trở lên</v>
          </cell>
          <cell r="E530">
            <v>2</v>
          </cell>
          <cell r="F530" t="str">
            <v>cây</v>
          </cell>
          <cell r="G530">
            <v>350000</v>
          </cell>
          <cell r="H530">
            <v>0.5</v>
          </cell>
          <cell r="J530" t="str">
            <v>Đơn giá dự thảo</v>
          </cell>
        </row>
        <row r="531">
          <cell r="C531" t="str">
            <v>Cây Bồ đề</v>
          </cell>
        </row>
        <row r="532">
          <cell r="B532" t="str">
            <v>Bode01</v>
          </cell>
          <cell r="C532" t="str">
            <v>Cây Bồ đề</v>
          </cell>
          <cell r="D532" t="str">
            <v>cây giống</v>
          </cell>
          <cell r="F532" t="str">
            <v>m2</v>
          </cell>
          <cell r="G532">
            <v>50000</v>
          </cell>
          <cell r="H532">
            <v>1</v>
          </cell>
          <cell r="J532" t="str">
            <v>ĐG 30.12.2022</v>
          </cell>
        </row>
        <row r="533">
          <cell r="B533" t="str">
            <v>Bode35</v>
          </cell>
          <cell r="C533" t="str">
            <v>Cây Bồ đề</v>
          </cell>
          <cell r="D533" t="str">
            <v>3cm ≤ đk gốc &lt; 5cm</v>
          </cell>
          <cell r="E533">
            <v>1</v>
          </cell>
          <cell r="F533" t="str">
            <v>cây</v>
          </cell>
          <cell r="G533">
            <v>80000</v>
          </cell>
          <cell r="H533">
            <v>1</v>
          </cell>
          <cell r="J533" t="str">
            <v>ĐG 30.12.2022</v>
          </cell>
        </row>
        <row r="534">
          <cell r="B534" t="str">
            <v>Bode57</v>
          </cell>
          <cell r="C534" t="str">
            <v>Cây Bồ đề</v>
          </cell>
          <cell r="D534" t="str">
            <v>5cm ≤ đk gốc &lt; 7cm</v>
          </cell>
          <cell r="E534">
            <v>1</v>
          </cell>
          <cell r="F534" t="str">
            <v>cây</v>
          </cell>
          <cell r="G534">
            <v>100000</v>
          </cell>
          <cell r="H534">
            <v>1</v>
          </cell>
          <cell r="J534" t="str">
            <v>ĐG 30.12.2022</v>
          </cell>
        </row>
        <row r="535">
          <cell r="B535" t="str">
            <v>Bode710</v>
          </cell>
          <cell r="C535" t="str">
            <v>Cây Bồ đề</v>
          </cell>
          <cell r="D535" t="str">
            <v>7cm ≤ đk gốc &lt; 10cm</v>
          </cell>
          <cell r="E535">
            <v>1</v>
          </cell>
          <cell r="F535" t="str">
            <v>cây</v>
          </cell>
          <cell r="G535">
            <v>130000</v>
          </cell>
          <cell r="H535">
            <v>1</v>
          </cell>
          <cell r="J535" t="str">
            <v>ĐG 30.12.2022</v>
          </cell>
        </row>
        <row r="536">
          <cell r="B536" t="str">
            <v>Bode1015</v>
          </cell>
          <cell r="C536" t="str">
            <v>Cây Bồ đề</v>
          </cell>
          <cell r="D536" t="str">
            <v>10cm ≤ đk gốc &lt; 15cm</v>
          </cell>
          <cell r="E536">
            <v>2</v>
          </cell>
          <cell r="F536" t="str">
            <v>cây</v>
          </cell>
          <cell r="G536">
            <v>280000</v>
          </cell>
          <cell r="H536">
            <v>1</v>
          </cell>
          <cell r="J536" t="str">
            <v>ĐG 30.12.2022</v>
          </cell>
        </row>
        <row r="537">
          <cell r="B537" t="str">
            <v>Bode15+</v>
          </cell>
          <cell r="C537" t="str">
            <v>Cây Bồ đề</v>
          </cell>
          <cell r="D537" t="str">
            <v>đk gốc từ 15cm trở lên</v>
          </cell>
          <cell r="E537">
            <v>2.5</v>
          </cell>
          <cell r="F537" t="str">
            <v>cây</v>
          </cell>
          <cell r="G537">
            <v>400000</v>
          </cell>
          <cell r="H537">
            <v>1</v>
          </cell>
          <cell r="J537" t="str">
            <v>ĐG 30.12.2022</v>
          </cell>
        </row>
        <row r="538">
          <cell r="B538" t="str">
            <v>Bode01vmd</v>
          </cell>
          <cell r="C538" t="str">
            <v>Cây Bồ đề vượt mật độ</v>
          </cell>
          <cell r="D538" t="str">
            <v>cây giống</v>
          </cell>
          <cell r="F538" t="str">
            <v>m2</v>
          </cell>
          <cell r="G538">
            <v>50000</v>
          </cell>
          <cell r="H538">
            <v>0.5</v>
          </cell>
          <cell r="J538" t="str">
            <v>ĐG 30.12.2022</v>
          </cell>
        </row>
        <row r="539">
          <cell r="B539" t="str">
            <v>Bode35vmd</v>
          </cell>
          <cell r="C539" t="str">
            <v>Cây Bồ đề vượt mật độ</v>
          </cell>
          <cell r="D539" t="str">
            <v>3cm ≤ đk gốc &lt; 5cm</v>
          </cell>
          <cell r="E539">
            <v>1</v>
          </cell>
          <cell r="F539" t="str">
            <v>cây</v>
          </cell>
          <cell r="G539">
            <v>80000</v>
          </cell>
          <cell r="H539">
            <v>0.5</v>
          </cell>
          <cell r="J539" t="str">
            <v>ĐG 30.12.2022</v>
          </cell>
        </row>
        <row r="540">
          <cell r="B540" t="str">
            <v>Bode57vmd</v>
          </cell>
          <cell r="C540" t="str">
            <v>Cây Bồ đề vượt mật độ</v>
          </cell>
          <cell r="D540" t="str">
            <v>5cm ≤ đk gốc &lt; 7cm</v>
          </cell>
          <cell r="E540">
            <v>1</v>
          </cell>
          <cell r="F540" t="str">
            <v>cây</v>
          </cell>
          <cell r="G540">
            <v>100000</v>
          </cell>
          <cell r="H540">
            <v>0.5</v>
          </cell>
          <cell r="J540" t="str">
            <v>ĐG 30.12.2022</v>
          </cell>
        </row>
        <row r="541">
          <cell r="B541" t="str">
            <v>Bode710vmd</v>
          </cell>
          <cell r="C541" t="str">
            <v>Cây Bồ đề vượt mật độ</v>
          </cell>
          <cell r="D541" t="str">
            <v>7cm ≤ đk gốc &lt; 10cm</v>
          </cell>
          <cell r="E541">
            <v>1</v>
          </cell>
          <cell r="F541" t="str">
            <v>cây</v>
          </cell>
          <cell r="G541">
            <v>130000</v>
          </cell>
          <cell r="H541">
            <v>0.5</v>
          </cell>
          <cell r="J541" t="str">
            <v>ĐG 30.12.2022</v>
          </cell>
        </row>
        <row r="542">
          <cell r="B542" t="str">
            <v>Bode1015vmd</v>
          </cell>
          <cell r="C542" t="str">
            <v>Cây Bồ đề vượt mật độ</v>
          </cell>
          <cell r="D542" t="str">
            <v>10cm ≤ đk gốc &lt; 15cm</v>
          </cell>
          <cell r="E542">
            <v>2</v>
          </cell>
          <cell r="F542" t="str">
            <v>cây</v>
          </cell>
          <cell r="G542">
            <v>280000</v>
          </cell>
          <cell r="H542">
            <v>0.5</v>
          </cell>
          <cell r="J542" t="str">
            <v>ĐG 30.12.2022</v>
          </cell>
        </row>
        <row r="543">
          <cell r="B543" t="str">
            <v>Bode15+vmd</v>
          </cell>
          <cell r="C543" t="str">
            <v>Cây Bồ đề vượt mật độ</v>
          </cell>
          <cell r="D543" t="str">
            <v>đk gốc từ 15cm trở lên</v>
          </cell>
          <cell r="E543">
            <v>2.5</v>
          </cell>
          <cell r="F543" t="str">
            <v>cây</v>
          </cell>
          <cell r="G543">
            <v>400000</v>
          </cell>
          <cell r="H543">
            <v>0.5</v>
          </cell>
          <cell r="J543" t="str">
            <v>ĐG 30.12.2022</v>
          </cell>
        </row>
        <row r="544">
          <cell r="B544" t="str">
            <v>Bode15+#</v>
          </cell>
          <cell r="C544" t="str">
            <v>Cây Bồ đề trồng trên đất GTTL</v>
          </cell>
          <cell r="D544" t="str">
            <v>đk gốc từ 15cm trở lên</v>
          </cell>
          <cell r="E544">
            <v>2.5</v>
          </cell>
          <cell r="F544" t="str">
            <v>cây</v>
          </cell>
          <cell r="G544">
            <v>400000</v>
          </cell>
          <cell r="H544">
            <v>0.3</v>
          </cell>
          <cell r="J544" t="str">
            <v>ĐG 30.12.2022</v>
          </cell>
        </row>
        <row r="545">
          <cell r="B545" t="str">
            <v>Bode15+#vmd</v>
          </cell>
          <cell r="C545" t="str">
            <v>Cây Bồ đề trồng trên đất GTTL, vượt mật độ</v>
          </cell>
          <cell r="D545" t="str">
            <v>đk gốc từ 15cm trở lên</v>
          </cell>
          <cell r="E545">
            <v>2.5</v>
          </cell>
          <cell r="F545" t="str">
            <v>cây</v>
          </cell>
          <cell r="G545">
            <v>400000</v>
          </cell>
          <cell r="H545">
            <v>0.15</v>
          </cell>
          <cell r="J545" t="str">
            <v>ĐG 30.12.2022</v>
          </cell>
        </row>
        <row r="546">
          <cell r="C546" t="str">
            <v>Cây Đại</v>
          </cell>
          <cell r="J546" t="str">
            <v>ĐG 30.12.2022</v>
          </cell>
        </row>
        <row r="547">
          <cell r="B547" t="str">
            <v>Đại01</v>
          </cell>
          <cell r="C547" t="str">
            <v>Cây Đại</v>
          </cell>
          <cell r="D547" t="str">
            <v>cây giống</v>
          </cell>
          <cell r="F547" t="str">
            <v>m2</v>
          </cell>
          <cell r="G547">
            <v>50000</v>
          </cell>
          <cell r="H547">
            <v>1</v>
          </cell>
          <cell r="J547" t="str">
            <v>ĐG 30.12.2022</v>
          </cell>
        </row>
        <row r="548">
          <cell r="B548" t="str">
            <v>Đại35</v>
          </cell>
          <cell r="C548" t="str">
            <v>Cây Đại</v>
          </cell>
          <cell r="D548" t="str">
            <v>3cm ≤ đk gốc &lt; 5cm</v>
          </cell>
          <cell r="E548">
            <v>1</v>
          </cell>
          <cell r="F548" t="str">
            <v>cây</v>
          </cell>
          <cell r="G548">
            <v>80000</v>
          </cell>
          <cell r="H548">
            <v>1</v>
          </cell>
          <cell r="J548" t="str">
            <v>ĐG 30.12.2022</v>
          </cell>
        </row>
        <row r="549">
          <cell r="B549" t="str">
            <v>Đại57</v>
          </cell>
          <cell r="C549" t="str">
            <v>Cây Đại</v>
          </cell>
          <cell r="D549" t="str">
            <v>5cm ≤ đk gốc &lt; 7cm</v>
          </cell>
          <cell r="E549">
            <v>1</v>
          </cell>
          <cell r="F549" t="str">
            <v>cây</v>
          </cell>
          <cell r="G549">
            <v>100000</v>
          </cell>
          <cell r="H549">
            <v>1</v>
          </cell>
          <cell r="J549" t="str">
            <v>ĐG 30.12.2022</v>
          </cell>
        </row>
        <row r="550">
          <cell r="B550" t="str">
            <v>Đại710</v>
          </cell>
          <cell r="C550" t="str">
            <v>Cây Đại</v>
          </cell>
          <cell r="D550" t="str">
            <v>7cm ≤ đk gốc &lt; 10cm</v>
          </cell>
          <cell r="E550">
            <v>1</v>
          </cell>
          <cell r="F550" t="str">
            <v>cây</v>
          </cell>
          <cell r="G550">
            <v>130000</v>
          </cell>
          <cell r="H550">
            <v>1</v>
          </cell>
          <cell r="J550" t="str">
            <v>ĐG 30.12.2022</v>
          </cell>
        </row>
        <row r="551">
          <cell r="B551" t="str">
            <v>Đại1015</v>
          </cell>
          <cell r="C551" t="str">
            <v>Cây Đại</v>
          </cell>
          <cell r="D551" t="str">
            <v>10cm ≤ đk gốc &lt; 15cm</v>
          </cell>
          <cell r="E551">
            <v>2</v>
          </cell>
          <cell r="F551" t="str">
            <v>cây</v>
          </cell>
          <cell r="G551">
            <v>280000</v>
          </cell>
          <cell r="H551">
            <v>1</v>
          </cell>
          <cell r="J551" t="str">
            <v>ĐG 30.12.2022</v>
          </cell>
        </row>
        <row r="552">
          <cell r="B552" t="str">
            <v>Đại15+</v>
          </cell>
          <cell r="C552" t="str">
            <v>Cây Đại</v>
          </cell>
          <cell r="D552" t="str">
            <v>đk gốc từ 15cm trở lên</v>
          </cell>
          <cell r="E552">
            <v>2.5</v>
          </cell>
          <cell r="F552" t="str">
            <v>cây</v>
          </cell>
          <cell r="G552">
            <v>400000</v>
          </cell>
          <cell r="H552">
            <v>1</v>
          </cell>
          <cell r="J552" t="str">
            <v>ĐG 30.12.2022</v>
          </cell>
        </row>
        <row r="553">
          <cell r="B553" t="str">
            <v>Đại01vmd</v>
          </cell>
          <cell r="C553" t="str">
            <v>Cây Đại vượt mật độ</v>
          </cell>
          <cell r="D553" t="str">
            <v>cây giống</v>
          </cell>
          <cell r="F553" t="str">
            <v>m2</v>
          </cell>
          <cell r="G553">
            <v>50000</v>
          </cell>
          <cell r="H553">
            <v>0.5</v>
          </cell>
          <cell r="J553" t="str">
            <v>ĐG 30.12.2022</v>
          </cell>
        </row>
        <row r="554">
          <cell r="B554" t="str">
            <v>Đại35vmd</v>
          </cell>
          <cell r="C554" t="str">
            <v>Cây Đại vượt mật độ</v>
          </cell>
          <cell r="D554" t="str">
            <v>3cm ≤ đk gốc &lt; 5cm</v>
          </cell>
          <cell r="E554">
            <v>1</v>
          </cell>
          <cell r="F554" t="str">
            <v>cây</v>
          </cell>
          <cell r="G554">
            <v>80000</v>
          </cell>
          <cell r="H554">
            <v>0.5</v>
          </cell>
          <cell r="J554" t="str">
            <v>ĐG 30.12.2022</v>
          </cell>
        </row>
        <row r="555">
          <cell r="B555" t="str">
            <v>Đại57vmd</v>
          </cell>
          <cell r="C555" t="str">
            <v>Cây Đại vượt mật độ</v>
          </cell>
          <cell r="D555" t="str">
            <v>5cm ≤ đk gốc &lt; 7cm</v>
          </cell>
          <cell r="E555">
            <v>1</v>
          </cell>
          <cell r="F555" t="str">
            <v>cây</v>
          </cell>
          <cell r="G555">
            <v>100000</v>
          </cell>
          <cell r="H555">
            <v>0.5</v>
          </cell>
          <cell r="J555" t="str">
            <v>ĐG 30.12.2022</v>
          </cell>
        </row>
        <row r="556">
          <cell r="B556" t="str">
            <v>Đại710vmd</v>
          </cell>
          <cell r="C556" t="str">
            <v>Cây Đại vượt mật độ</v>
          </cell>
          <cell r="D556" t="str">
            <v>7cm ≤ đk gốc &lt; 10cm</v>
          </cell>
          <cell r="E556">
            <v>1</v>
          </cell>
          <cell r="F556" t="str">
            <v>cây</v>
          </cell>
          <cell r="G556">
            <v>130000</v>
          </cell>
          <cell r="H556">
            <v>0.5</v>
          </cell>
          <cell r="J556" t="str">
            <v>ĐG 30.12.2022</v>
          </cell>
        </row>
        <row r="557">
          <cell r="B557" t="str">
            <v>Đại1015vmd</v>
          </cell>
          <cell r="C557" t="str">
            <v>Cây Đại vượt mật độ</v>
          </cell>
          <cell r="D557" t="str">
            <v>10cm ≤ đk gốc &lt; 15cm</v>
          </cell>
          <cell r="E557">
            <v>2</v>
          </cell>
          <cell r="F557" t="str">
            <v>cây</v>
          </cell>
          <cell r="G557">
            <v>280000</v>
          </cell>
          <cell r="H557">
            <v>0.5</v>
          </cell>
          <cell r="J557" t="str">
            <v>ĐG 30.12.2022</v>
          </cell>
        </row>
        <row r="558">
          <cell r="B558" t="str">
            <v>Đại15+vmd</v>
          </cell>
          <cell r="C558" t="str">
            <v>Cây Đại vượt mật độ</v>
          </cell>
          <cell r="D558" t="str">
            <v>đk gốc từ 15cm trở lên</v>
          </cell>
          <cell r="E558">
            <v>2.5</v>
          </cell>
          <cell r="F558" t="str">
            <v>cây</v>
          </cell>
          <cell r="G558">
            <v>400000</v>
          </cell>
          <cell r="H558">
            <v>0.5</v>
          </cell>
          <cell r="J558" t="str">
            <v>ĐG 30.12.2022</v>
          </cell>
        </row>
        <row r="559">
          <cell r="C559" t="str">
            <v>Cây Osaka</v>
          </cell>
        </row>
        <row r="560">
          <cell r="B560" t="str">
            <v>Osaka05</v>
          </cell>
          <cell r="C560" t="str">
            <v>Cây Osaka</v>
          </cell>
          <cell r="D560" t="str">
            <v>đk gốc &lt; 5cm</v>
          </cell>
          <cell r="E560">
            <v>1</v>
          </cell>
          <cell r="F560" t="str">
            <v>cây</v>
          </cell>
          <cell r="G560">
            <v>80000</v>
          </cell>
          <cell r="H560">
            <v>1</v>
          </cell>
          <cell r="J560" t="str">
            <v>ĐG 30.12.2022</v>
          </cell>
        </row>
        <row r="561">
          <cell r="B561" t="str">
            <v>Osaka57</v>
          </cell>
          <cell r="C561" t="str">
            <v>Cây Osaka</v>
          </cell>
          <cell r="D561" t="str">
            <v>5cm ≤ đk gốc &lt; 7cm</v>
          </cell>
          <cell r="E561">
            <v>1</v>
          </cell>
          <cell r="F561" t="str">
            <v>cây</v>
          </cell>
          <cell r="G561">
            <v>100000</v>
          </cell>
          <cell r="H561">
            <v>1</v>
          </cell>
          <cell r="J561" t="str">
            <v>ĐG 30.12.2022</v>
          </cell>
        </row>
        <row r="562">
          <cell r="B562" t="str">
            <v>Osaka710</v>
          </cell>
          <cell r="C562" t="str">
            <v>Cây Osaka</v>
          </cell>
          <cell r="D562" t="str">
            <v>7cm ≤ đk gốc &lt; 10cm</v>
          </cell>
          <cell r="E562">
            <v>1.5</v>
          </cell>
          <cell r="F562" t="str">
            <v>cây</v>
          </cell>
          <cell r="G562">
            <v>160000</v>
          </cell>
          <cell r="H562">
            <v>1</v>
          </cell>
          <cell r="J562" t="str">
            <v>ĐG 30.12.2022</v>
          </cell>
        </row>
        <row r="563">
          <cell r="B563" t="str">
            <v>Osaka1015</v>
          </cell>
          <cell r="C563" t="str">
            <v>Cây Osaka</v>
          </cell>
          <cell r="D563" t="str">
            <v>10cm ≤ đk gốc &lt; 15cm</v>
          </cell>
          <cell r="E563">
            <v>2</v>
          </cell>
          <cell r="F563" t="str">
            <v>cây</v>
          </cell>
          <cell r="G563">
            <v>280000</v>
          </cell>
          <cell r="H563">
            <v>1</v>
          </cell>
          <cell r="J563" t="str">
            <v>ĐG 30.12.2022</v>
          </cell>
        </row>
        <row r="564">
          <cell r="B564" t="str">
            <v>Osaka1520</v>
          </cell>
          <cell r="C564" t="str">
            <v>Cây Osaka</v>
          </cell>
          <cell r="D564" t="str">
            <v>15cm ≤ đk gốc &lt; 20cm</v>
          </cell>
          <cell r="E564">
            <v>2.5</v>
          </cell>
          <cell r="F564" t="str">
            <v>cây</v>
          </cell>
          <cell r="G564">
            <v>400000</v>
          </cell>
          <cell r="H564">
            <v>1</v>
          </cell>
          <cell r="J564" t="str">
            <v>ĐG 30.12.2022</v>
          </cell>
        </row>
        <row r="565">
          <cell r="B565" t="str">
            <v>Osaka20+</v>
          </cell>
          <cell r="C565" t="str">
            <v>Cây Osaka</v>
          </cell>
          <cell r="D565" t="str">
            <v>đk gốc từ 15cm trở lên</v>
          </cell>
          <cell r="E565">
            <v>3</v>
          </cell>
          <cell r="F565" t="str">
            <v>cây</v>
          </cell>
          <cell r="G565">
            <v>520000</v>
          </cell>
          <cell r="H565">
            <v>1</v>
          </cell>
          <cell r="J565" t="str">
            <v>ĐG 30.12.2022</v>
          </cell>
        </row>
        <row r="566">
          <cell r="B566" t="str">
            <v>Osaka05vmd</v>
          </cell>
          <cell r="C566" t="str">
            <v>Cây Osaka vượt mật độ</v>
          </cell>
          <cell r="D566" t="str">
            <v>đk gốc &lt; 5cm</v>
          </cell>
          <cell r="E566">
            <v>1</v>
          </cell>
          <cell r="F566" t="str">
            <v>cây</v>
          </cell>
          <cell r="G566">
            <v>80000</v>
          </cell>
          <cell r="H566">
            <v>0.5</v>
          </cell>
          <cell r="J566" t="str">
            <v>ĐG 30.12.2022</v>
          </cell>
        </row>
        <row r="567">
          <cell r="B567" t="str">
            <v>Osaka57vmd</v>
          </cell>
          <cell r="C567" t="str">
            <v>Cây Osaka vượt mật độ</v>
          </cell>
          <cell r="D567" t="str">
            <v>5cm ≤ đk gốc &lt; 7cm</v>
          </cell>
          <cell r="E567">
            <v>1</v>
          </cell>
          <cell r="F567" t="str">
            <v>cây</v>
          </cell>
          <cell r="G567">
            <v>100000</v>
          </cell>
          <cell r="H567">
            <v>0.5</v>
          </cell>
          <cell r="J567" t="str">
            <v>ĐG 30.12.2022</v>
          </cell>
        </row>
        <row r="568">
          <cell r="B568" t="str">
            <v>Osaka710vmd</v>
          </cell>
          <cell r="C568" t="str">
            <v>Cây Osaka vượt mật độ</v>
          </cell>
          <cell r="D568" t="str">
            <v>7cm ≤ đk gốc &lt; 10cm</v>
          </cell>
          <cell r="E568">
            <v>1.5</v>
          </cell>
          <cell r="F568" t="str">
            <v>cây</v>
          </cell>
          <cell r="G568">
            <v>160000</v>
          </cell>
          <cell r="H568">
            <v>0.5</v>
          </cell>
          <cell r="J568" t="str">
            <v>ĐG 30.12.2022</v>
          </cell>
        </row>
        <row r="569">
          <cell r="B569" t="str">
            <v>Osaka1015vmd</v>
          </cell>
          <cell r="C569" t="str">
            <v>Cây Osaka vượt mật độ</v>
          </cell>
          <cell r="D569" t="str">
            <v>10cm ≤ đk gốc &lt; 15cm</v>
          </cell>
          <cell r="E569">
            <v>2</v>
          </cell>
          <cell r="F569" t="str">
            <v>cây</v>
          </cell>
          <cell r="G569">
            <v>280000</v>
          </cell>
          <cell r="H569">
            <v>0.5</v>
          </cell>
          <cell r="J569" t="str">
            <v>ĐG 30.12.2022</v>
          </cell>
        </row>
        <row r="570">
          <cell r="B570" t="str">
            <v>Osaka1520vmd</v>
          </cell>
          <cell r="C570" t="str">
            <v>Cây Osaka vượt mật độ</v>
          </cell>
          <cell r="D570" t="str">
            <v>15cm ≤ đk gốc &lt; 20cm</v>
          </cell>
          <cell r="E570">
            <v>2.5</v>
          </cell>
          <cell r="F570" t="str">
            <v>cây</v>
          </cell>
          <cell r="G570">
            <v>400000</v>
          </cell>
          <cell r="H570">
            <v>0.5</v>
          </cell>
          <cell r="J570" t="str">
            <v>ĐG 30.12.2022</v>
          </cell>
        </row>
        <row r="571">
          <cell r="B571" t="str">
            <v>Osaka15+vmd</v>
          </cell>
          <cell r="C571" t="str">
            <v>Cây Osaka vượt mật độ</v>
          </cell>
          <cell r="D571" t="str">
            <v>đk gốc từ 15cm trở lên</v>
          </cell>
          <cell r="E571">
            <v>3</v>
          </cell>
          <cell r="F571" t="str">
            <v>cây</v>
          </cell>
          <cell r="G571">
            <v>520000</v>
          </cell>
          <cell r="H571">
            <v>0.5</v>
          </cell>
          <cell r="J571" t="str">
            <v>ĐG 30.12.2022</v>
          </cell>
        </row>
        <row r="572">
          <cell r="C572" t="str">
            <v>Cây Vàng anh</v>
          </cell>
        </row>
        <row r="573">
          <cell r="B573" t="str">
            <v>Vàng anh05</v>
          </cell>
          <cell r="C573" t="str">
            <v>Cây Vàng anh</v>
          </cell>
          <cell r="D573" t="str">
            <v>đk gốc &lt; 5cm</v>
          </cell>
          <cell r="E573">
            <v>1</v>
          </cell>
          <cell r="F573" t="str">
            <v>cây</v>
          </cell>
          <cell r="G573">
            <v>80000</v>
          </cell>
          <cell r="H573">
            <v>1</v>
          </cell>
          <cell r="J573" t="str">
            <v>ĐG 30.12.2022</v>
          </cell>
        </row>
        <row r="574">
          <cell r="B574" t="str">
            <v>Vàng anh57</v>
          </cell>
          <cell r="C574" t="str">
            <v>Cây Vàng anh</v>
          </cell>
          <cell r="D574" t="str">
            <v>5cm ≤ đk gốc &lt; 7cm</v>
          </cell>
          <cell r="E574">
            <v>1</v>
          </cell>
          <cell r="F574" t="str">
            <v>cây</v>
          </cell>
          <cell r="G574">
            <v>100000</v>
          </cell>
          <cell r="H574">
            <v>1</v>
          </cell>
          <cell r="J574" t="str">
            <v>ĐG 30.12.2022</v>
          </cell>
        </row>
        <row r="575">
          <cell r="B575" t="str">
            <v>Vàng anh710</v>
          </cell>
          <cell r="C575" t="str">
            <v>Cây Vàng anh</v>
          </cell>
          <cell r="D575" t="str">
            <v>7cm ≤ đk gốc &lt; 10cm</v>
          </cell>
          <cell r="E575">
            <v>1.5</v>
          </cell>
          <cell r="F575" t="str">
            <v>cây</v>
          </cell>
          <cell r="G575">
            <v>160000</v>
          </cell>
          <cell r="H575">
            <v>1</v>
          </cell>
          <cell r="J575" t="str">
            <v>ĐG 30.12.2022</v>
          </cell>
        </row>
        <row r="576">
          <cell r="B576" t="str">
            <v>Vàng anh1015</v>
          </cell>
          <cell r="C576" t="str">
            <v>Cây Vàng anh</v>
          </cell>
          <cell r="D576" t="str">
            <v>10cm ≤ đk gốc &lt; 15cm</v>
          </cell>
          <cell r="E576">
            <v>2</v>
          </cell>
          <cell r="F576" t="str">
            <v>cây</v>
          </cell>
          <cell r="G576">
            <v>280000</v>
          </cell>
          <cell r="H576">
            <v>1</v>
          </cell>
          <cell r="J576" t="str">
            <v>ĐG 30.12.2022</v>
          </cell>
        </row>
        <row r="577">
          <cell r="B577" t="str">
            <v>Vàng anh1520</v>
          </cell>
          <cell r="C577" t="str">
            <v>Cây Vàng anh</v>
          </cell>
          <cell r="D577" t="str">
            <v>15cm ≤ đk gốc &lt; 20cm</v>
          </cell>
          <cell r="E577">
            <v>2.5</v>
          </cell>
          <cell r="F577" t="str">
            <v>cây</v>
          </cell>
          <cell r="G577">
            <v>400000</v>
          </cell>
          <cell r="H577">
            <v>1</v>
          </cell>
          <cell r="J577" t="str">
            <v>ĐG 30.12.2022</v>
          </cell>
        </row>
        <row r="578">
          <cell r="B578" t="str">
            <v>Vàng anh20+</v>
          </cell>
          <cell r="C578" t="str">
            <v>Cây Vàng anh</v>
          </cell>
          <cell r="D578" t="str">
            <v>đk gốc từ 20cm trở lên</v>
          </cell>
          <cell r="E578">
            <v>3</v>
          </cell>
          <cell r="F578" t="str">
            <v>cây</v>
          </cell>
          <cell r="G578">
            <v>520000</v>
          </cell>
          <cell r="H578">
            <v>1</v>
          </cell>
          <cell r="J578" t="str">
            <v>ĐG 30.12.2022</v>
          </cell>
        </row>
        <row r="579">
          <cell r="C579" t="str">
            <v>Cây Táo</v>
          </cell>
          <cell r="E579">
            <v>25</v>
          </cell>
        </row>
        <row r="580">
          <cell r="B580" t="str">
            <v>Táo01</v>
          </cell>
          <cell r="C580" t="str">
            <v>Cây táo</v>
          </cell>
          <cell r="D580" t="str">
            <v>cây giống</v>
          </cell>
          <cell r="F580" t="str">
            <v>m2</v>
          </cell>
          <cell r="G580">
            <v>70000</v>
          </cell>
          <cell r="H580">
            <v>1</v>
          </cell>
          <cell r="J580" t="str">
            <v>ĐG 30.12.2022</v>
          </cell>
        </row>
        <row r="581">
          <cell r="B581" t="str">
            <v>Táo27</v>
          </cell>
          <cell r="C581" t="str">
            <v>Cây táo</v>
          </cell>
          <cell r="D581" t="str">
            <v>2cm ≤ đk gốc &lt; 7cm</v>
          </cell>
          <cell r="E581">
            <v>25</v>
          </cell>
          <cell r="F581" t="str">
            <v>cây</v>
          </cell>
          <cell r="G581">
            <v>130000</v>
          </cell>
          <cell r="H581">
            <v>1</v>
          </cell>
          <cell r="J581" t="str">
            <v>ĐG 30.12.2022</v>
          </cell>
        </row>
        <row r="582">
          <cell r="B582" t="str">
            <v>Táo712</v>
          </cell>
          <cell r="C582" t="str">
            <v>Cây táo</v>
          </cell>
          <cell r="D582" t="str">
            <v>7cm ≤ đk gốc &lt; 12cm</v>
          </cell>
          <cell r="E582">
            <v>25</v>
          </cell>
          <cell r="F582" t="str">
            <v>cây</v>
          </cell>
          <cell r="G582">
            <v>220000</v>
          </cell>
          <cell r="H582">
            <v>1</v>
          </cell>
          <cell r="J582" t="str">
            <v>ĐG 30.12.2022</v>
          </cell>
        </row>
        <row r="583">
          <cell r="B583" t="str">
            <v>Táo1220</v>
          </cell>
          <cell r="C583" t="str">
            <v>Cây táo</v>
          </cell>
          <cell r="D583" t="str">
            <v>12cm ≤ đk gốc &lt; 20cm</v>
          </cell>
          <cell r="E583">
            <v>25</v>
          </cell>
          <cell r="F583" t="str">
            <v>cây</v>
          </cell>
          <cell r="G583">
            <v>330000</v>
          </cell>
          <cell r="H583">
            <v>1</v>
          </cell>
          <cell r="J583" t="str">
            <v>ĐG 30.12.2022</v>
          </cell>
        </row>
        <row r="584">
          <cell r="B584" t="str">
            <v>Táo2030</v>
          </cell>
          <cell r="C584" t="str">
            <v>Cây táo</v>
          </cell>
          <cell r="D584" t="str">
            <v>20cm ≤ đk gốc &lt; 30cm</v>
          </cell>
          <cell r="E584">
            <v>25</v>
          </cell>
          <cell r="F584" t="str">
            <v>cây</v>
          </cell>
          <cell r="G584">
            <v>360000</v>
          </cell>
          <cell r="H584">
            <v>1</v>
          </cell>
          <cell r="J584" t="str">
            <v>ĐG 30.12.2022</v>
          </cell>
        </row>
        <row r="585">
          <cell r="B585" t="str">
            <v>Táo30+</v>
          </cell>
          <cell r="C585" t="str">
            <v>Cây táo</v>
          </cell>
          <cell r="D585" t="str">
            <v>đk gốc từ 30cm trở lên</v>
          </cell>
          <cell r="E585">
            <v>25</v>
          </cell>
          <cell r="F585" t="str">
            <v>cây</v>
          </cell>
          <cell r="G585">
            <v>500000</v>
          </cell>
          <cell r="H585">
            <v>1</v>
          </cell>
          <cell r="J585" t="str">
            <v>ĐG 30.12.2022</v>
          </cell>
        </row>
        <row r="586">
          <cell r="B586" t="str">
            <v>Táo01vmd</v>
          </cell>
          <cell r="C586" t="str">
            <v>Cây táo vượt mật độ</v>
          </cell>
          <cell r="D586" t="str">
            <v>cây giống</v>
          </cell>
          <cell r="F586" t="str">
            <v>m2</v>
          </cell>
          <cell r="G586">
            <v>70000</v>
          </cell>
          <cell r="H586">
            <v>0.5</v>
          </cell>
          <cell r="J586" t="str">
            <v>ĐG 30.12.2022</v>
          </cell>
        </row>
        <row r="587">
          <cell r="B587" t="str">
            <v>Táo27vmd</v>
          </cell>
          <cell r="C587" t="str">
            <v>Cây táo vượt mật độ</v>
          </cell>
          <cell r="D587" t="str">
            <v>2cm ≤ đk gốc &lt; 7cm</v>
          </cell>
          <cell r="E587">
            <v>25</v>
          </cell>
          <cell r="F587" t="str">
            <v>cây</v>
          </cell>
          <cell r="G587">
            <v>130000</v>
          </cell>
          <cell r="H587">
            <v>0.5</v>
          </cell>
          <cell r="J587" t="str">
            <v>ĐG 30.12.2022</v>
          </cell>
        </row>
        <row r="588">
          <cell r="B588" t="str">
            <v>Táo712vmd</v>
          </cell>
          <cell r="C588" t="str">
            <v>Cây táo vượt mật độ</v>
          </cell>
          <cell r="D588" t="str">
            <v>7cm ≤ đk gốc &lt; 12cm</v>
          </cell>
          <cell r="E588">
            <v>25</v>
          </cell>
          <cell r="F588" t="str">
            <v>cây</v>
          </cell>
          <cell r="G588">
            <v>220000</v>
          </cell>
          <cell r="H588">
            <v>0.5</v>
          </cell>
          <cell r="J588" t="str">
            <v>ĐG 30.12.2022</v>
          </cell>
        </row>
        <row r="589">
          <cell r="B589" t="str">
            <v>Táo1220vmd</v>
          </cell>
          <cell r="C589" t="str">
            <v>Cây táo vượt mật độ</v>
          </cell>
          <cell r="D589" t="str">
            <v>12cm ≤ đk gốc &lt; 20cm</v>
          </cell>
          <cell r="E589">
            <v>25</v>
          </cell>
          <cell r="F589" t="str">
            <v>cây</v>
          </cell>
          <cell r="G589">
            <v>330000</v>
          </cell>
          <cell r="H589">
            <v>0.5</v>
          </cell>
          <cell r="J589" t="str">
            <v>ĐG 30.12.2022</v>
          </cell>
        </row>
        <row r="590">
          <cell r="B590" t="str">
            <v>Táo2030vmd</v>
          </cell>
          <cell r="C590" t="str">
            <v>Cây táo vượt mật độ</v>
          </cell>
          <cell r="D590" t="str">
            <v>20cm ≤ đk gốc &lt; 30cm</v>
          </cell>
          <cell r="E590">
            <v>25</v>
          </cell>
          <cell r="F590" t="str">
            <v>cây</v>
          </cell>
          <cell r="G590">
            <v>360000</v>
          </cell>
          <cell r="H590">
            <v>0.5</v>
          </cell>
          <cell r="J590" t="str">
            <v>ĐG 30.12.2022</v>
          </cell>
        </row>
        <row r="591">
          <cell r="B591" t="str">
            <v>Táo30+vmd</v>
          </cell>
          <cell r="C591" t="str">
            <v>Cây táo vượt mật độ</v>
          </cell>
          <cell r="D591" t="str">
            <v>đk gốc từ 30cm trở lên</v>
          </cell>
          <cell r="E591">
            <v>25</v>
          </cell>
          <cell r="F591" t="str">
            <v>cây</v>
          </cell>
          <cell r="G591">
            <v>500000</v>
          </cell>
          <cell r="H591">
            <v>0.5</v>
          </cell>
          <cell r="J591" t="str">
            <v>ĐG 30.12.2022</v>
          </cell>
        </row>
        <row r="592">
          <cell r="B592" t="str">
            <v>Táo27#</v>
          </cell>
          <cell r="C592" t="str">
            <v>Cây táo trồng bờ ruộng</v>
          </cell>
          <cell r="D592" t="str">
            <v>2cm ≤ đk gốc &lt; 7cm</v>
          </cell>
          <cell r="E592">
            <v>25</v>
          </cell>
          <cell r="F592" t="str">
            <v>cây</v>
          </cell>
          <cell r="G592">
            <v>130000</v>
          </cell>
          <cell r="H592">
            <v>0.3</v>
          </cell>
          <cell r="J592" t="str">
            <v>ĐG 30.12.2022</v>
          </cell>
        </row>
        <row r="593">
          <cell r="C593" t="str">
            <v>Cây Me</v>
          </cell>
          <cell r="J593" t="str">
            <v>ĐG 30.12.2022</v>
          </cell>
        </row>
        <row r="594">
          <cell r="C594" t="str">
            <v>Cây Me</v>
          </cell>
          <cell r="J594" t="str">
            <v>ĐG 30.12.2022</v>
          </cell>
        </row>
        <row r="595">
          <cell r="B595" t="str">
            <v>Me01</v>
          </cell>
          <cell r="C595" t="str">
            <v>Cây Me</v>
          </cell>
          <cell r="D595" t="str">
            <v>cây giống</v>
          </cell>
          <cell r="F595" t="str">
            <v>m2</v>
          </cell>
          <cell r="G595">
            <v>70000</v>
          </cell>
          <cell r="H595">
            <v>1</v>
          </cell>
          <cell r="J595" t="str">
            <v>ĐG 30.12.2022</v>
          </cell>
        </row>
        <row r="596">
          <cell r="B596" t="str">
            <v>Me27</v>
          </cell>
          <cell r="C596" t="str">
            <v>Cây Me</v>
          </cell>
          <cell r="D596" t="str">
            <v>2cm ≤ đk gốc &lt; 7cm</v>
          </cell>
          <cell r="E596">
            <v>5</v>
          </cell>
          <cell r="F596" t="str">
            <v>cây</v>
          </cell>
          <cell r="G596">
            <v>130000</v>
          </cell>
          <cell r="H596">
            <v>1</v>
          </cell>
          <cell r="J596" t="str">
            <v>ĐG 30.12.2022</v>
          </cell>
        </row>
        <row r="597">
          <cell r="B597" t="str">
            <v>Me712</v>
          </cell>
          <cell r="C597" t="str">
            <v>Cây Me</v>
          </cell>
          <cell r="D597" t="str">
            <v>7cm ≤ đk gốc &lt; 12cm</v>
          </cell>
          <cell r="E597">
            <v>6.6666666666666696</v>
          </cell>
          <cell r="F597" t="str">
            <v>cây</v>
          </cell>
          <cell r="G597">
            <v>220000</v>
          </cell>
          <cell r="H597">
            <v>1</v>
          </cell>
          <cell r="J597" t="str">
            <v>ĐG 30.12.2022</v>
          </cell>
        </row>
        <row r="598">
          <cell r="B598" t="str">
            <v>Me1220</v>
          </cell>
          <cell r="C598" t="str">
            <v>Cây Me</v>
          </cell>
          <cell r="D598" t="str">
            <v>12cm ≤ đk gốc &lt; 20cm</v>
          </cell>
          <cell r="E598">
            <v>8.3720930232558093</v>
          </cell>
          <cell r="F598" t="str">
            <v>cây</v>
          </cell>
          <cell r="G598">
            <v>330000</v>
          </cell>
          <cell r="H598">
            <v>1</v>
          </cell>
          <cell r="J598" t="str">
            <v>ĐG 30.12.2022</v>
          </cell>
        </row>
        <row r="599">
          <cell r="B599" t="str">
            <v>Me2030</v>
          </cell>
          <cell r="C599" t="str">
            <v>Cây Me</v>
          </cell>
          <cell r="D599" t="str">
            <v>20cm ≤ đk gốc &lt; 30cm</v>
          </cell>
          <cell r="E599">
            <v>8.3720930232558093</v>
          </cell>
          <cell r="F599" t="str">
            <v>cây</v>
          </cell>
          <cell r="G599">
            <v>360000</v>
          </cell>
          <cell r="H599">
            <v>1</v>
          </cell>
          <cell r="J599" t="str">
            <v>ĐG 30.12.2022</v>
          </cell>
        </row>
        <row r="600">
          <cell r="B600" t="str">
            <v>Me30+</v>
          </cell>
          <cell r="C600" t="str">
            <v>Cây Me</v>
          </cell>
          <cell r="D600" t="str">
            <v>đk gốc từ 30cm trở lên</v>
          </cell>
          <cell r="E600">
            <v>11.25</v>
          </cell>
          <cell r="F600" t="str">
            <v>cây</v>
          </cell>
          <cell r="G600">
            <v>500000</v>
          </cell>
          <cell r="H600">
            <v>1</v>
          </cell>
          <cell r="J600" t="str">
            <v>ĐG 30.12.2022</v>
          </cell>
        </row>
        <row r="601">
          <cell r="B601" t="str">
            <v>Me01vmd</v>
          </cell>
          <cell r="C601" t="str">
            <v>Cây Me vượt mật độ</v>
          </cell>
          <cell r="D601" t="str">
            <v>cây giống</v>
          </cell>
          <cell r="F601" t="str">
            <v>m2</v>
          </cell>
          <cell r="G601">
            <v>70000</v>
          </cell>
          <cell r="H601">
            <v>0.5</v>
          </cell>
          <cell r="J601" t="str">
            <v>ĐG 30.12.2022</v>
          </cell>
        </row>
        <row r="602">
          <cell r="B602" t="str">
            <v>Me27vmd</v>
          </cell>
          <cell r="C602" t="str">
            <v>Cây Me vượt mật độ</v>
          </cell>
          <cell r="D602" t="str">
            <v>2cm ≤ đk gốc &lt; 7cm</v>
          </cell>
          <cell r="E602">
            <v>5</v>
          </cell>
          <cell r="F602" t="str">
            <v>cây</v>
          </cell>
          <cell r="G602">
            <v>130000</v>
          </cell>
          <cell r="H602">
            <v>0.5</v>
          </cell>
          <cell r="J602" t="str">
            <v>ĐG 30.12.2022</v>
          </cell>
        </row>
        <row r="603">
          <cell r="B603" t="str">
            <v>Me712vmd</v>
          </cell>
          <cell r="C603" t="str">
            <v>Cây Me vượt mật độ</v>
          </cell>
          <cell r="D603" t="str">
            <v>7cm ≤ đk gốc &lt; 12cm</v>
          </cell>
          <cell r="E603">
            <v>6.6666666666666696</v>
          </cell>
          <cell r="F603" t="str">
            <v>cây</v>
          </cell>
          <cell r="G603">
            <v>220000</v>
          </cell>
          <cell r="H603">
            <v>0.5</v>
          </cell>
          <cell r="J603" t="str">
            <v>ĐG 30.12.2022</v>
          </cell>
        </row>
        <row r="604">
          <cell r="B604" t="str">
            <v>Me1220vmd</v>
          </cell>
          <cell r="C604" t="str">
            <v>Cây Me vượt mật độ</v>
          </cell>
          <cell r="D604" t="str">
            <v>12cm ≤ đk gốc &lt; 20cm</v>
          </cell>
          <cell r="E604">
            <v>8.3720930232558093</v>
          </cell>
          <cell r="F604" t="str">
            <v>cây</v>
          </cell>
          <cell r="G604">
            <v>330000</v>
          </cell>
          <cell r="H604">
            <v>0.5</v>
          </cell>
          <cell r="J604" t="str">
            <v>ĐG 30.12.2022</v>
          </cell>
        </row>
        <row r="605">
          <cell r="B605" t="str">
            <v>Me2030vmd</v>
          </cell>
          <cell r="C605" t="str">
            <v>Cây Me vượt mật độ</v>
          </cell>
          <cell r="D605" t="str">
            <v>20cm ≤ đk gốc &lt; 30cm</v>
          </cell>
          <cell r="E605">
            <v>8.3720930232558093</v>
          </cell>
          <cell r="F605" t="str">
            <v>cây</v>
          </cell>
          <cell r="G605">
            <v>360000</v>
          </cell>
          <cell r="H605">
            <v>0.5</v>
          </cell>
          <cell r="J605" t="str">
            <v>ĐG 30.12.2022</v>
          </cell>
        </row>
        <row r="606">
          <cell r="B606" t="str">
            <v>Me30+vmd</v>
          </cell>
          <cell r="C606" t="str">
            <v>Cây Me vượt mật độ</v>
          </cell>
          <cell r="D606" t="str">
            <v>đk gốc từ 30cm trở lên</v>
          </cell>
          <cell r="E606">
            <v>11.25</v>
          </cell>
          <cell r="F606" t="str">
            <v>cây</v>
          </cell>
          <cell r="G606">
            <v>500000</v>
          </cell>
          <cell r="H606">
            <v>0.5</v>
          </cell>
          <cell r="J606" t="str">
            <v>ĐG 30.12.2022</v>
          </cell>
        </row>
        <row r="607">
          <cell r="B607" t="str">
            <v>Me27#</v>
          </cell>
          <cell r="C607" t="str">
            <v>Cây Me trồng bờ ruộng</v>
          </cell>
          <cell r="D607" t="str">
            <v>2cm ≤ đk gốc &lt; 7cm</v>
          </cell>
          <cell r="E607">
            <v>5</v>
          </cell>
          <cell r="F607" t="str">
            <v>cây</v>
          </cell>
          <cell r="G607">
            <v>130000</v>
          </cell>
          <cell r="H607">
            <v>0.3</v>
          </cell>
        </row>
        <row r="608">
          <cell r="B608" t="str">
            <v>Xoài01</v>
          </cell>
          <cell r="C608" t="str">
            <v>Cây xoài</v>
          </cell>
          <cell r="D608" t="str">
            <v>cây giống</v>
          </cell>
          <cell r="E608" t="str">
            <v>28,5</v>
          </cell>
          <cell r="F608" t="str">
            <v>m2</v>
          </cell>
          <cell r="G608">
            <v>70000</v>
          </cell>
          <cell r="H608">
            <v>1</v>
          </cell>
          <cell r="J608" t="str">
            <v>ĐG 30.12.2022</v>
          </cell>
        </row>
        <row r="609">
          <cell r="B609" t="str">
            <v>Xoài27</v>
          </cell>
          <cell r="C609" t="str">
            <v>Cây xoài</v>
          </cell>
          <cell r="D609" t="str">
            <v>2cm ≤ đk gốc &lt; 7cm</v>
          </cell>
          <cell r="E609" t="str">
            <v>28,5</v>
          </cell>
          <cell r="F609" t="str">
            <v>cây</v>
          </cell>
          <cell r="G609">
            <v>180000</v>
          </cell>
          <cell r="H609">
            <v>1</v>
          </cell>
          <cell r="J609" t="str">
            <v>ĐG 30.12.2022</v>
          </cell>
        </row>
        <row r="610">
          <cell r="B610" t="str">
            <v>Xoài712</v>
          </cell>
          <cell r="C610" t="str">
            <v>Cây xoài</v>
          </cell>
          <cell r="D610" t="str">
            <v>7cm ≤ đk gốc &lt; 12cm</v>
          </cell>
          <cell r="E610" t="str">
            <v>28,5</v>
          </cell>
          <cell r="F610" t="str">
            <v>cây</v>
          </cell>
          <cell r="G610">
            <v>300000</v>
          </cell>
          <cell r="H610">
            <v>1</v>
          </cell>
          <cell r="J610" t="str">
            <v>ĐG 30.12.2022</v>
          </cell>
        </row>
        <row r="611">
          <cell r="B611" t="str">
            <v>Xoài1220</v>
          </cell>
          <cell r="C611" t="str">
            <v>Cây xoài</v>
          </cell>
          <cell r="D611" t="str">
            <v>12cm ≤ đk gốc &lt; 20cm</v>
          </cell>
          <cell r="E611" t="str">
            <v>28,5</v>
          </cell>
          <cell r="F611" t="str">
            <v>cây</v>
          </cell>
          <cell r="G611">
            <v>520000</v>
          </cell>
          <cell r="H611">
            <v>1</v>
          </cell>
          <cell r="J611" t="str">
            <v>ĐG 30.12.2022</v>
          </cell>
        </row>
        <row r="612">
          <cell r="B612" t="str">
            <v>Xoài2030</v>
          </cell>
          <cell r="C612" t="str">
            <v>Cây xoài</v>
          </cell>
          <cell r="D612" t="str">
            <v>20cm ≤ đk gốc &lt; 30cm</v>
          </cell>
          <cell r="E612" t="str">
            <v>28,5</v>
          </cell>
          <cell r="F612" t="str">
            <v>cây</v>
          </cell>
          <cell r="G612">
            <v>700000</v>
          </cell>
          <cell r="H612">
            <v>1</v>
          </cell>
          <cell r="J612" t="str">
            <v>ĐG 30.12.2022</v>
          </cell>
        </row>
        <row r="613">
          <cell r="B613" t="str">
            <v>Xoài30+</v>
          </cell>
          <cell r="C613" t="str">
            <v>Cây xoài</v>
          </cell>
          <cell r="D613" t="str">
            <v>đk gốc từ 30cm trở lên</v>
          </cell>
          <cell r="E613" t="str">
            <v>28,5</v>
          </cell>
          <cell r="F613" t="str">
            <v>cây</v>
          </cell>
          <cell r="G613">
            <v>1000000</v>
          </cell>
          <cell r="H613">
            <v>1</v>
          </cell>
          <cell r="J613" t="str">
            <v>ĐG 30.12.2022</v>
          </cell>
        </row>
        <row r="614">
          <cell r="B614" t="str">
            <v>Xoài01vmd</v>
          </cell>
          <cell r="C614" t="str">
            <v>Cây xoài vượt mật độ</v>
          </cell>
          <cell r="D614" t="str">
            <v>cây giống</v>
          </cell>
          <cell r="E614" t="str">
            <v>28,5</v>
          </cell>
          <cell r="F614" t="str">
            <v>m2</v>
          </cell>
          <cell r="G614">
            <v>70000</v>
          </cell>
          <cell r="H614">
            <v>0.5</v>
          </cell>
          <cell r="J614" t="str">
            <v>ĐG 30.12.2022</v>
          </cell>
        </row>
        <row r="615">
          <cell r="B615" t="str">
            <v>Xoài27vmd</v>
          </cell>
          <cell r="C615" t="str">
            <v>Cây xoài vượt mật độ</v>
          </cell>
          <cell r="D615" t="str">
            <v>2cm ≤ đk gốc &lt; 7cm</v>
          </cell>
          <cell r="E615" t="str">
            <v>28,5</v>
          </cell>
          <cell r="F615" t="str">
            <v>cây</v>
          </cell>
          <cell r="G615">
            <v>180000</v>
          </cell>
          <cell r="H615">
            <v>0.5</v>
          </cell>
          <cell r="J615" t="str">
            <v>ĐG 30.12.2022</v>
          </cell>
        </row>
        <row r="616">
          <cell r="B616" t="str">
            <v>Xoài712vmd</v>
          </cell>
          <cell r="C616" t="str">
            <v>Cây xoài vượt mật độ</v>
          </cell>
          <cell r="D616" t="str">
            <v>7cm ≤ đk gốc &lt; 12cm</v>
          </cell>
          <cell r="E616" t="str">
            <v>28,5</v>
          </cell>
          <cell r="F616" t="str">
            <v>cây</v>
          </cell>
          <cell r="G616">
            <v>300000</v>
          </cell>
          <cell r="H616">
            <v>0.5</v>
          </cell>
          <cell r="J616" t="str">
            <v>ĐG 30.12.2022</v>
          </cell>
        </row>
        <row r="617">
          <cell r="B617" t="str">
            <v>Xoài1220vmd</v>
          </cell>
          <cell r="C617" t="str">
            <v>Cây xoài vượt mật độ</v>
          </cell>
          <cell r="D617" t="str">
            <v>12cm ≤ đk gốc &lt; 20cm</v>
          </cell>
          <cell r="E617" t="str">
            <v>28,5</v>
          </cell>
          <cell r="F617" t="str">
            <v>cây</v>
          </cell>
          <cell r="G617">
            <v>520000</v>
          </cell>
          <cell r="H617">
            <v>0.5</v>
          </cell>
          <cell r="J617" t="str">
            <v>ĐG 30.12.2022</v>
          </cell>
        </row>
        <row r="618">
          <cell r="B618" t="str">
            <v>Xoài2030vmd</v>
          </cell>
          <cell r="C618" t="str">
            <v>Cây xoài vượt mật độ</v>
          </cell>
          <cell r="D618" t="str">
            <v>20cm ≤ đk gốc &lt; 30cm</v>
          </cell>
          <cell r="E618" t="str">
            <v>28,5</v>
          </cell>
          <cell r="F618" t="str">
            <v>cây</v>
          </cell>
          <cell r="G618">
            <v>700000</v>
          </cell>
          <cell r="H618">
            <v>0.5</v>
          </cell>
          <cell r="J618" t="str">
            <v>ĐG 30.12.2022</v>
          </cell>
        </row>
        <row r="619">
          <cell r="B619" t="str">
            <v>Xoài30+vmd</v>
          </cell>
          <cell r="C619" t="str">
            <v>Cây xoài vượt mật độ</v>
          </cell>
          <cell r="D619" t="str">
            <v>đk gốc từ 30cm trở lên</v>
          </cell>
          <cell r="E619" t="str">
            <v>28,5</v>
          </cell>
          <cell r="F619" t="str">
            <v>cây</v>
          </cell>
          <cell r="G619">
            <v>1000000</v>
          </cell>
          <cell r="H619">
            <v>0.5</v>
          </cell>
          <cell r="J619" t="str">
            <v>ĐG 30.12.2022</v>
          </cell>
        </row>
        <row r="620">
          <cell r="C620" t="str">
            <v>Cây Na</v>
          </cell>
          <cell r="E620">
            <v>9.0909090909090899</v>
          </cell>
        </row>
        <row r="621">
          <cell r="B621" t="str">
            <v>Na01</v>
          </cell>
          <cell r="C621" t="str">
            <v>Cây Na</v>
          </cell>
          <cell r="D621" t="str">
            <v>cây giống</v>
          </cell>
          <cell r="E621">
            <v>9.09</v>
          </cell>
          <cell r="F621" t="str">
            <v>m2</v>
          </cell>
          <cell r="G621">
            <v>70000</v>
          </cell>
          <cell r="H621">
            <v>1</v>
          </cell>
          <cell r="J621" t="str">
            <v>ĐG 30.12.2022</v>
          </cell>
        </row>
        <row r="622">
          <cell r="B622" t="str">
            <v>Na27</v>
          </cell>
          <cell r="C622" t="str">
            <v>Cây Na</v>
          </cell>
          <cell r="D622" t="str">
            <v>2cm ≤ đk gốc &lt; 7cm</v>
          </cell>
          <cell r="E622">
            <v>9.09</v>
          </cell>
          <cell r="F622" t="str">
            <v>cây</v>
          </cell>
          <cell r="G622">
            <v>130000</v>
          </cell>
          <cell r="H622">
            <v>1</v>
          </cell>
          <cell r="J622" t="str">
            <v>ĐG 30.12.2022</v>
          </cell>
        </row>
        <row r="623">
          <cell r="B623" t="str">
            <v>Na712</v>
          </cell>
          <cell r="C623" t="str">
            <v>Cây Na</v>
          </cell>
          <cell r="D623" t="str">
            <v>7cm ≤ đk gốc &lt; 12cm</v>
          </cell>
          <cell r="E623">
            <v>9.09</v>
          </cell>
          <cell r="F623" t="str">
            <v>cây</v>
          </cell>
          <cell r="G623">
            <v>220000</v>
          </cell>
          <cell r="H623">
            <v>1</v>
          </cell>
          <cell r="J623" t="str">
            <v>ĐG 30.12.2022</v>
          </cell>
        </row>
        <row r="624">
          <cell r="B624" t="str">
            <v>Na1220</v>
          </cell>
          <cell r="C624" t="str">
            <v>Cây Na</v>
          </cell>
          <cell r="D624" t="str">
            <v>12cm ≤ đk gốc &lt; 20cm</v>
          </cell>
          <cell r="E624">
            <v>9.09</v>
          </cell>
          <cell r="F624" t="str">
            <v>cây</v>
          </cell>
          <cell r="G624">
            <v>330000</v>
          </cell>
          <cell r="H624">
            <v>1</v>
          </cell>
          <cell r="J624" t="str">
            <v>ĐG 30.12.2022</v>
          </cell>
        </row>
        <row r="625">
          <cell r="B625" t="str">
            <v>Na2030</v>
          </cell>
          <cell r="C625" t="str">
            <v>Cây Na</v>
          </cell>
          <cell r="D625" t="str">
            <v>20cm ≤ đk gốc &lt; 30cm</v>
          </cell>
          <cell r="E625">
            <v>9.09</v>
          </cell>
          <cell r="F625" t="str">
            <v>cây</v>
          </cell>
          <cell r="G625">
            <v>360000</v>
          </cell>
          <cell r="H625">
            <v>1</v>
          </cell>
          <cell r="J625" t="str">
            <v>ĐG 30.12.2022</v>
          </cell>
        </row>
        <row r="626">
          <cell r="B626" t="str">
            <v>Na30+</v>
          </cell>
          <cell r="C626" t="str">
            <v>Cây Na</v>
          </cell>
          <cell r="D626" t="str">
            <v>đk gốc từ 30cm trở lên</v>
          </cell>
          <cell r="E626">
            <v>9.09</v>
          </cell>
          <cell r="F626" t="str">
            <v>cây</v>
          </cell>
          <cell r="G626">
            <v>500000</v>
          </cell>
          <cell r="H626">
            <v>1</v>
          </cell>
          <cell r="J626" t="str">
            <v>ĐG 30.12.2022</v>
          </cell>
        </row>
        <row r="627">
          <cell r="B627" t="str">
            <v>Na01vmd</v>
          </cell>
          <cell r="C627" t="str">
            <v>Cây Na vượt mật độ</v>
          </cell>
          <cell r="D627" t="str">
            <v>cây giống</v>
          </cell>
          <cell r="E627">
            <v>9.09</v>
          </cell>
          <cell r="F627" t="str">
            <v>m2</v>
          </cell>
          <cell r="G627">
            <v>70000</v>
          </cell>
          <cell r="H627">
            <v>0.5</v>
          </cell>
          <cell r="J627" t="str">
            <v>ĐG 30.12.2022</v>
          </cell>
        </row>
        <row r="628">
          <cell r="B628" t="str">
            <v>Na27vmd</v>
          </cell>
          <cell r="C628" t="str">
            <v>Cây Na vượt mật độ</v>
          </cell>
          <cell r="D628" t="str">
            <v>2cm ≤ đk gốc &lt; 7cm</v>
          </cell>
          <cell r="E628">
            <v>9.09</v>
          </cell>
          <cell r="F628" t="str">
            <v>cây</v>
          </cell>
          <cell r="G628">
            <v>130000</v>
          </cell>
          <cell r="H628">
            <v>0.5</v>
          </cell>
          <cell r="J628" t="str">
            <v>ĐG 30.12.2022</v>
          </cell>
        </row>
        <row r="629">
          <cell r="B629" t="str">
            <v>Na712vmd</v>
          </cell>
          <cell r="C629" t="str">
            <v>Cây Na vượt mật độ</v>
          </cell>
          <cell r="D629" t="str">
            <v>7cm ≤ đk gốc &lt; 12cm</v>
          </cell>
          <cell r="E629">
            <v>9.09</v>
          </cell>
          <cell r="F629" t="str">
            <v>cây</v>
          </cell>
          <cell r="G629">
            <v>220000</v>
          </cell>
          <cell r="H629">
            <v>0.5</v>
          </cell>
          <cell r="J629" t="str">
            <v>ĐG 30.12.2022</v>
          </cell>
        </row>
        <row r="630">
          <cell r="B630" t="str">
            <v>Na1220vmd</v>
          </cell>
          <cell r="C630" t="str">
            <v>Cây Na vượt mật độ</v>
          </cell>
          <cell r="D630" t="str">
            <v>12cm ≤ đk gốc &lt; 20cm</v>
          </cell>
          <cell r="E630">
            <v>9.09</v>
          </cell>
          <cell r="F630" t="str">
            <v>cây</v>
          </cell>
          <cell r="G630">
            <v>330000</v>
          </cell>
          <cell r="H630">
            <v>0.5</v>
          </cell>
          <cell r="J630" t="str">
            <v>ĐG 30.12.2022</v>
          </cell>
        </row>
        <row r="631">
          <cell r="B631" t="str">
            <v>Na2030vmd</v>
          </cell>
          <cell r="C631" t="str">
            <v>Cây Na vượt mật độ</v>
          </cell>
          <cell r="D631" t="str">
            <v>20cm ≤ đk gốc &lt; 30cm</v>
          </cell>
          <cell r="E631">
            <v>9.09</v>
          </cell>
          <cell r="F631" t="str">
            <v>cây</v>
          </cell>
          <cell r="G631">
            <v>360000</v>
          </cell>
          <cell r="H631">
            <v>0.5</v>
          </cell>
          <cell r="J631" t="str">
            <v>ĐG 30.12.2022</v>
          </cell>
        </row>
        <row r="632">
          <cell r="B632" t="str">
            <v>Na30+vmd</v>
          </cell>
          <cell r="C632" t="str">
            <v>Cây Na vượt mật độ</v>
          </cell>
          <cell r="D632" t="str">
            <v>đk gốc từ 30cm trở lên</v>
          </cell>
          <cell r="E632">
            <v>9.09</v>
          </cell>
          <cell r="F632" t="str">
            <v>cây</v>
          </cell>
          <cell r="G632">
            <v>500000</v>
          </cell>
          <cell r="H632">
            <v>0.5</v>
          </cell>
          <cell r="J632" t="str">
            <v>ĐG 30.12.2022</v>
          </cell>
        </row>
        <row r="633">
          <cell r="B633" t="str">
            <v>Na27#</v>
          </cell>
          <cell r="C633" t="str">
            <v>Cây Na trồng bờ ruộng</v>
          </cell>
          <cell r="D633" t="str">
            <v>2cm ≤ đk gốc &lt; 7cm</v>
          </cell>
          <cell r="E633">
            <v>9.09</v>
          </cell>
          <cell r="F633" t="str">
            <v>cây</v>
          </cell>
          <cell r="G633">
            <v>130000</v>
          </cell>
          <cell r="H633">
            <v>0.3</v>
          </cell>
          <cell r="J633" t="str">
            <v>ĐG 30.12.2022</v>
          </cell>
        </row>
        <row r="634">
          <cell r="C634" t="str">
            <v>Cây Xoan đào</v>
          </cell>
        </row>
        <row r="635">
          <cell r="B635" t="str">
            <v>Xoan01</v>
          </cell>
          <cell r="C635" t="str">
            <v>Cây xoan</v>
          </cell>
          <cell r="D635" t="str">
            <v>cây giống</v>
          </cell>
          <cell r="F635" t="str">
            <v>m2</v>
          </cell>
          <cell r="G635">
            <v>36000</v>
          </cell>
          <cell r="H635">
            <v>1</v>
          </cell>
          <cell r="J635" t="str">
            <v>ĐG 30.12.2022</v>
          </cell>
        </row>
        <row r="636">
          <cell r="B636" t="str">
            <v>Xoan05</v>
          </cell>
          <cell r="C636" t="str">
            <v>Cây xoan</v>
          </cell>
          <cell r="D636" t="str">
            <v>đk gốc &lt; 5cm</v>
          </cell>
          <cell r="E636">
            <v>4</v>
          </cell>
          <cell r="F636" t="str">
            <v>cây</v>
          </cell>
          <cell r="G636">
            <v>48000</v>
          </cell>
          <cell r="H636">
            <v>1</v>
          </cell>
          <cell r="J636" t="str">
            <v>ĐG 30.12.2022</v>
          </cell>
        </row>
        <row r="637">
          <cell r="B637" t="str">
            <v>Xoan510</v>
          </cell>
          <cell r="C637" t="str">
            <v>Cây xoan</v>
          </cell>
          <cell r="D637" t="str">
            <v>5cm ≤ đk gốc &lt; 10cm</v>
          </cell>
          <cell r="E637">
            <v>4</v>
          </cell>
          <cell r="F637" t="str">
            <v>cây</v>
          </cell>
          <cell r="G637">
            <v>70000</v>
          </cell>
          <cell r="H637">
            <v>1</v>
          </cell>
          <cell r="J637" t="str">
            <v>ĐG 30.12.2022</v>
          </cell>
        </row>
        <row r="638">
          <cell r="B638" t="str">
            <v>Xoan1013</v>
          </cell>
          <cell r="C638" t="str">
            <v>Cây xoan</v>
          </cell>
          <cell r="D638" t="str">
            <v>10cm ≤ đk gốc &lt; 13cm</v>
          </cell>
          <cell r="E638">
            <v>5</v>
          </cell>
          <cell r="F638" t="str">
            <v>cây</v>
          </cell>
          <cell r="G638">
            <v>95000</v>
          </cell>
          <cell r="H638">
            <v>1</v>
          </cell>
          <cell r="J638" t="str">
            <v>ĐG 30.12.2022</v>
          </cell>
        </row>
        <row r="639">
          <cell r="B639" t="str">
            <v>Xoan1320</v>
          </cell>
          <cell r="C639" t="str">
            <v>Cây xoan</v>
          </cell>
          <cell r="D639" t="str">
            <v>13cm ≤ đk gốc &lt; 20cm</v>
          </cell>
          <cell r="E639">
            <v>5</v>
          </cell>
          <cell r="F639" t="str">
            <v>cây</v>
          </cell>
          <cell r="G639">
            <v>120000</v>
          </cell>
          <cell r="H639">
            <v>1</v>
          </cell>
          <cell r="J639" t="str">
            <v>ĐG 30.12.2022</v>
          </cell>
        </row>
        <row r="640">
          <cell r="B640" t="str">
            <v>Xoan2050</v>
          </cell>
          <cell r="C640" t="str">
            <v>Cây xoan</v>
          </cell>
          <cell r="D640" t="str">
            <v>20cm ≤ đk gốc &lt;50cm</v>
          </cell>
          <cell r="E640">
            <v>6.6666666666666696</v>
          </cell>
          <cell r="F640" t="str">
            <v>cây</v>
          </cell>
          <cell r="G640">
            <v>165000</v>
          </cell>
          <cell r="H640">
            <v>1</v>
          </cell>
          <cell r="J640" t="str">
            <v>ĐG 30.12.2022</v>
          </cell>
        </row>
        <row r="641">
          <cell r="B641" t="str">
            <v>Xoan50+</v>
          </cell>
          <cell r="C641" t="str">
            <v>Cây xoan</v>
          </cell>
          <cell r="D641" t="str">
            <v>đk gốc từ 50cm trở lên</v>
          </cell>
          <cell r="E641">
            <v>6.6666666666666696</v>
          </cell>
          <cell r="F641" t="str">
            <v>cây</v>
          </cell>
          <cell r="G641">
            <v>180000</v>
          </cell>
          <cell r="H641">
            <v>1</v>
          </cell>
          <cell r="J641" t="str">
            <v>ĐG 30.12.2022</v>
          </cell>
        </row>
        <row r="642">
          <cell r="B642" t="str">
            <v>Xoan01vmd</v>
          </cell>
          <cell r="C642" t="str">
            <v>Cây xoan vượt mật độ</v>
          </cell>
          <cell r="D642" t="str">
            <v>cây giống</v>
          </cell>
          <cell r="F642" t="str">
            <v>m2</v>
          </cell>
          <cell r="G642">
            <v>36000</v>
          </cell>
          <cell r="H642">
            <v>0.5</v>
          </cell>
          <cell r="J642" t="str">
            <v>ĐG 30.12.2022</v>
          </cell>
        </row>
        <row r="643">
          <cell r="B643" t="str">
            <v>Xoan05vmd</v>
          </cell>
          <cell r="C643" t="str">
            <v>Cây xoan vượt mật độ</v>
          </cell>
          <cell r="D643" t="str">
            <v>đk gốc &lt; 5cm</v>
          </cell>
          <cell r="E643">
            <v>4</v>
          </cell>
          <cell r="F643" t="str">
            <v>cây</v>
          </cell>
          <cell r="G643">
            <v>48000</v>
          </cell>
          <cell r="H643">
            <v>0.5</v>
          </cell>
          <cell r="J643" t="str">
            <v>ĐG 30.12.2022</v>
          </cell>
        </row>
        <row r="644">
          <cell r="B644" t="str">
            <v>Xoan510vmd</v>
          </cell>
          <cell r="C644" t="str">
            <v>Cây xoan vượt mật độ</v>
          </cell>
          <cell r="D644" t="str">
            <v>5cm ≤ đk gốc &lt; 10cm</v>
          </cell>
          <cell r="E644">
            <v>4</v>
          </cell>
          <cell r="F644" t="str">
            <v>cây</v>
          </cell>
          <cell r="G644">
            <v>70000</v>
          </cell>
          <cell r="H644">
            <v>0.5</v>
          </cell>
          <cell r="J644" t="str">
            <v>ĐG 30.12.2022</v>
          </cell>
        </row>
        <row r="645">
          <cell r="B645" t="str">
            <v>Xoan1013vmd</v>
          </cell>
          <cell r="C645" t="str">
            <v>Cây xoan vượt mật độ</v>
          </cell>
          <cell r="D645" t="str">
            <v>10cm ≤ đk gốc &lt; 13cm</v>
          </cell>
          <cell r="E645">
            <v>5</v>
          </cell>
          <cell r="F645" t="str">
            <v>cây</v>
          </cell>
          <cell r="G645">
            <v>95000</v>
          </cell>
          <cell r="H645">
            <v>0.5</v>
          </cell>
          <cell r="J645" t="str">
            <v>ĐG 30.12.2022</v>
          </cell>
        </row>
        <row r="646">
          <cell r="B646" t="str">
            <v>Xoan1320vmd</v>
          </cell>
          <cell r="C646" t="str">
            <v>Cây xoan vượt mật độ</v>
          </cell>
          <cell r="D646" t="str">
            <v>13cm ≤ đk gốc &lt; 20cm</v>
          </cell>
          <cell r="E646">
            <v>5</v>
          </cell>
          <cell r="F646" t="str">
            <v>cây</v>
          </cell>
          <cell r="G646">
            <v>120000</v>
          </cell>
          <cell r="H646">
            <v>0.5</v>
          </cell>
          <cell r="J646" t="str">
            <v>ĐG 30.12.2022</v>
          </cell>
        </row>
        <row r="647">
          <cell r="B647" t="str">
            <v>Xoan2050vmd</v>
          </cell>
          <cell r="C647" t="str">
            <v>Cây xoan vượt mật độ</v>
          </cell>
          <cell r="D647" t="str">
            <v>20cm ≤ đk gốc &lt;50cm</v>
          </cell>
          <cell r="E647">
            <v>6.6666666666666696</v>
          </cell>
          <cell r="F647" t="str">
            <v>cây</v>
          </cell>
          <cell r="G647">
            <v>165000</v>
          </cell>
          <cell r="H647">
            <v>0.5</v>
          </cell>
          <cell r="J647" t="str">
            <v>ĐG 30.12.2022</v>
          </cell>
        </row>
        <row r="648">
          <cell r="B648" t="str">
            <v>Xoan50+vmd</v>
          </cell>
          <cell r="C648" t="str">
            <v>Cây xoan vượt mật độ</v>
          </cell>
          <cell r="D648" t="str">
            <v>đk gốc từ 50cm trở lên</v>
          </cell>
          <cell r="E648">
            <v>6.6666666666666696</v>
          </cell>
          <cell r="F648" t="str">
            <v>cây</v>
          </cell>
          <cell r="G648">
            <v>180000</v>
          </cell>
          <cell r="H648">
            <v>0.5</v>
          </cell>
          <cell r="J648" t="str">
            <v>ĐG 30.12.2022</v>
          </cell>
        </row>
        <row r="649">
          <cell r="B649" t="str">
            <v>Xoan2050#</v>
          </cell>
          <cell r="C649" t="str">
            <v>Cây xoan trồng trên đất GTTL</v>
          </cell>
          <cell r="D649" t="str">
            <v>20cm ≤ đk gốc &lt;50cm</v>
          </cell>
          <cell r="E649">
            <v>6.6666666666666696</v>
          </cell>
          <cell r="F649" t="str">
            <v>cây</v>
          </cell>
          <cell r="G649">
            <v>165000</v>
          </cell>
          <cell r="H649">
            <v>0.3</v>
          </cell>
          <cell r="J649" t="str">
            <v>ĐG 30.12.2022</v>
          </cell>
        </row>
        <row r="650">
          <cell r="C650" t="str">
            <v>Cây Phi lao</v>
          </cell>
        </row>
        <row r="651">
          <cell r="B651" t="str">
            <v>Philao01</v>
          </cell>
          <cell r="C651" t="str">
            <v>Cây Phi lao</v>
          </cell>
          <cell r="D651" t="str">
            <v>cây giống</v>
          </cell>
          <cell r="F651" t="str">
            <v>m2</v>
          </cell>
          <cell r="G651">
            <v>36000</v>
          </cell>
          <cell r="H651">
            <v>0.8</v>
          </cell>
          <cell r="J651" t="str">
            <v>ĐG 30.12.2022</v>
          </cell>
        </row>
        <row r="652">
          <cell r="B652" t="str">
            <v>Philao05</v>
          </cell>
          <cell r="C652" t="str">
            <v>Cây Phi lao</v>
          </cell>
          <cell r="D652" t="str">
            <v>đk gốc &lt; 5cm</v>
          </cell>
          <cell r="E652">
            <v>4</v>
          </cell>
          <cell r="F652" t="str">
            <v>cây</v>
          </cell>
          <cell r="G652">
            <v>48000</v>
          </cell>
          <cell r="H652">
            <v>1</v>
          </cell>
          <cell r="J652" t="str">
            <v>ĐG 30.12.2022</v>
          </cell>
        </row>
        <row r="653">
          <cell r="B653" t="str">
            <v>Philao510</v>
          </cell>
          <cell r="C653" t="str">
            <v>Cây Phi lao</v>
          </cell>
          <cell r="D653" t="str">
            <v>5cm ≤ đk gốc &lt; 10cm</v>
          </cell>
          <cell r="E653">
            <v>4</v>
          </cell>
          <cell r="F653" t="str">
            <v>cây</v>
          </cell>
          <cell r="G653">
            <v>70000</v>
          </cell>
          <cell r="H653">
            <v>1</v>
          </cell>
          <cell r="J653" t="str">
            <v>ĐG 30.12.2022</v>
          </cell>
        </row>
        <row r="654">
          <cell r="B654" t="str">
            <v>Philao1013</v>
          </cell>
          <cell r="C654" t="str">
            <v>Cây Phi lao</v>
          </cell>
          <cell r="D654" t="str">
            <v>10cm ≤ đk gốc &lt; 13cm</v>
          </cell>
          <cell r="E654">
            <v>5</v>
          </cell>
          <cell r="F654" t="str">
            <v>cây</v>
          </cell>
          <cell r="G654">
            <v>95000</v>
          </cell>
          <cell r="H654">
            <v>1</v>
          </cell>
          <cell r="J654" t="str">
            <v>ĐG 30.12.2022</v>
          </cell>
        </row>
        <row r="655">
          <cell r="B655" t="str">
            <v>Philao1320</v>
          </cell>
          <cell r="C655" t="str">
            <v>Cây Phi lao</v>
          </cell>
          <cell r="D655" t="str">
            <v>13cm ≤ đk gốc &lt; 20cm</v>
          </cell>
          <cell r="E655">
            <v>5</v>
          </cell>
          <cell r="F655" t="str">
            <v>cây</v>
          </cell>
          <cell r="G655">
            <v>120000</v>
          </cell>
          <cell r="H655">
            <v>1</v>
          </cell>
          <cell r="J655" t="str">
            <v>ĐG 30.12.2022</v>
          </cell>
        </row>
        <row r="656">
          <cell r="B656" t="str">
            <v>Philao2050</v>
          </cell>
          <cell r="C656" t="str">
            <v>Cây Phi lao</v>
          </cell>
          <cell r="D656" t="str">
            <v>20cm ≤ đk gốc &lt;50cm</v>
          </cell>
          <cell r="E656">
            <v>6.6666666666666696</v>
          </cell>
          <cell r="F656" t="str">
            <v>cây</v>
          </cell>
          <cell r="G656">
            <v>165000</v>
          </cell>
          <cell r="H656">
            <v>1</v>
          </cell>
          <cell r="J656" t="str">
            <v>ĐG 30.12.2022</v>
          </cell>
        </row>
        <row r="657">
          <cell r="B657" t="str">
            <v>Philao50+</v>
          </cell>
          <cell r="C657" t="str">
            <v>Cây Phi lao</v>
          </cell>
          <cell r="D657" t="str">
            <v>đk gốc từ 50cm trở lên</v>
          </cell>
          <cell r="E657">
            <v>6.6666666666666696</v>
          </cell>
          <cell r="F657" t="str">
            <v>cây</v>
          </cell>
          <cell r="G657">
            <v>180000</v>
          </cell>
          <cell r="H657">
            <v>1</v>
          </cell>
          <cell r="J657" t="str">
            <v>ĐG 30.12.2022</v>
          </cell>
        </row>
        <row r="658">
          <cell r="B658" t="str">
            <v>Philao01vmd</v>
          </cell>
          <cell r="C658" t="str">
            <v>Cây Phi lao vượt mật độ</v>
          </cell>
          <cell r="D658" t="str">
            <v>cây giống</v>
          </cell>
          <cell r="F658" t="str">
            <v>m2</v>
          </cell>
          <cell r="G658">
            <v>36000</v>
          </cell>
          <cell r="H658">
            <v>0.5</v>
          </cell>
          <cell r="J658" t="str">
            <v>ĐG 30.12.2022</v>
          </cell>
        </row>
        <row r="659">
          <cell r="B659" t="str">
            <v>Philao05vmd</v>
          </cell>
          <cell r="C659" t="str">
            <v>Cây Phi lao vượt mật độ</v>
          </cell>
          <cell r="D659" t="str">
            <v>đk gốc &lt; 5cm</v>
          </cell>
          <cell r="E659">
            <v>4</v>
          </cell>
          <cell r="F659" t="str">
            <v>cây</v>
          </cell>
          <cell r="G659">
            <v>48000</v>
          </cell>
          <cell r="H659">
            <v>0.5</v>
          </cell>
          <cell r="J659" t="str">
            <v>ĐG 30.12.2022</v>
          </cell>
        </row>
        <row r="660">
          <cell r="B660" t="str">
            <v>Philao510vmd</v>
          </cell>
          <cell r="C660" t="str">
            <v>Cây Phi lao vượt mật độ</v>
          </cell>
          <cell r="D660" t="str">
            <v>5cm ≤ đk gốc &lt; 10cm</v>
          </cell>
          <cell r="E660">
            <v>4</v>
          </cell>
          <cell r="F660" t="str">
            <v>cây</v>
          </cell>
          <cell r="G660">
            <v>70000</v>
          </cell>
          <cell r="H660">
            <v>0.5</v>
          </cell>
          <cell r="J660" t="str">
            <v>ĐG 30.12.2022</v>
          </cell>
        </row>
        <row r="661">
          <cell r="B661" t="str">
            <v>Philao1013vmd</v>
          </cell>
          <cell r="C661" t="str">
            <v>Cây Phi lao vượt mật độ</v>
          </cell>
          <cell r="D661" t="str">
            <v>10cm ≤ đk gốc &lt; 13cm</v>
          </cell>
          <cell r="E661">
            <v>5</v>
          </cell>
          <cell r="F661" t="str">
            <v>cây</v>
          </cell>
          <cell r="G661">
            <v>95000</v>
          </cell>
          <cell r="H661">
            <v>0.5</v>
          </cell>
          <cell r="J661" t="str">
            <v>ĐG 30.12.2022</v>
          </cell>
        </row>
        <row r="662">
          <cell r="B662" t="str">
            <v>Philao1320vmd</v>
          </cell>
          <cell r="C662" t="str">
            <v>Cây Phi lao vượt mật độ</v>
          </cell>
          <cell r="D662" t="str">
            <v>13cm ≤ đk gốc &lt; 20cm</v>
          </cell>
          <cell r="E662">
            <v>5</v>
          </cell>
          <cell r="F662" t="str">
            <v>cây</v>
          </cell>
          <cell r="G662">
            <v>120000</v>
          </cell>
          <cell r="H662">
            <v>0.5</v>
          </cell>
          <cell r="J662" t="str">
            <v>ĐG 30.12.2022</v>
          </cell>
        </row>
        <row r="663">
          <cell r="B663" t="str">
            <v>Philao2050vmd</v>
          </cell>
          <cell r="C663" t="str">
            <v>Cây Phi lao vượt mật độ</v>
          </cell>
          <cell r="D663" t="str">
            <v>20cm ≤ đk gốc &lt;50cm</v>
          </cell>
          <cell r="E663">
            <v>6.6666666666666696</v>
          </cell>
          <cell r="F663" t="str">
            <v>cây</v>
          </cell>
          <cell r="G663">
            <v>165000</v>
          </cell>
          <cell r="H663">
            <v>0.5</v>
          </cell>
          <cell r="J663" t="str">
            <v>ĐG 30.12.2022</v>
          </cell>
        </row>
        <row r="664">
          <cell r="B664" t="str">
            <v>Philao50+vmd</v>
          </cell>
          <cell r="C664" t="str">
            <v>Cây Phi lao vượt mật độ</v>
          </cell>
          <cell r="D664" t="str">
            <v>đk gốc từ 50cm trở lên</v>
          </cell>
          <cell r="E664">
            <v>6.6666666666666696</v>
          </cell>
          <cell r="F664" t="str">
            <v>cây</v>
          </cell>
          <cell r="G664">
            <v>180000</v>
          </cell>
          <cell r="H664">
            <v>0.5</v>
          </cell>
          <cell r="J664" t="str">
            <v>ĐG 30.12.2022</v>
          </cell>
        </row>
        <row r="665">
          <cell r="C665" t="str">
            <v>Cây Xà cừ</v>
          </cell>
        </row>
        <row r="666">
          <cell r="B666" t="str">
            <v>Xacu01</v>
          </cell>
          <cell r="C666" t="str">
            <v>Cây xà cừ</v>
          </cell>
          <cell r="D666" t="str">
            <v>cây giống</v>
          </cell>
          <cell r="F666" t="str">
            <v>m2</v>
          </cell>
          <cell r="H666">
            <v>1</v>
          </cell>
        </row>
        <row r="667">
          <cell r="B667" t="str">
            <v>Xacu05</v>
          </cell>
          <cell r="C667" t="str">
            <v>Cây xà cừ</v>
          </cell>
          <cell r="D667" t="str">
            <v>đk gốc &lt; 5cm</v>
          </cell>
          <cell r="E667">
            <v>4</v>
          </cell>
          <cell r="F667" t="str">
            <v>cây</v>
          </cell>
          <cell r="G667">
            <v>36000</v>
          </cell>
          <cell r="H667">
            <v>1</v>
          </cell>
          <cell r="J667" t="str">
            <v>ĐG 30.12.2022</v>
          </cell>
        </row>
        <row r="668">
          <cell r="B668" t="str">
            <v>Xacu510</v>
          </cell>
          <cell r="C668" t="str">
            <v>Cây xà cừ</v>
          </cell>
          <cell r="D668" t="str">
            <v>5cm ≤ đk gốc &lt; 10cm</v>
          </cell>
          <cell r="E668">
            <v>4</v>
          </cell>
          <cell r="F668" t="str">
            <v>cây</v>
          </cell>
          <cell r="G668">
            <v>60000</v>
          </cell>
          <cell r="H668">
            <v>1</v>
          </cell>
          <cell r="J668" t="str">
            <v>ĐG 30.12.2022</v>
          </cell>
        </row>
        <row r="669">
          <cell r="B669" t="str">
            <v>Xacu1013</v>
          </cell>
          <cell r="C669" t="str">
            <v>Cây xà cừ</v>
          </cell>
          <cell r="D669" t="str">
            <v>10cm ≤ đk gốc &lt; 13cm</v>
          </cell>
          <cell r="E669">
            <v>5</v>
          </cell>
          <cell r="F669" t="str">
            <v>cây</v>
          </cell>
          <cell r="G669">
            <v>90000</v>
          </cell>
          <cell r="H669">
            <v>1</v>
          </cell>
          <cell r="J669" t="str">
            <v>ĐG 30.12.2022</v>
          </cell>
        </row>
        <row r="670">
          <cell r="B670" t="str">
            <v>Xacu1320</v>
          </cell>
          <cell r="C670" t="str">
            <v>Cây xà cừ</v>
          </cell>
          <cell r="D670" t="str">
            <v>13cm ≤ đk gốc &lt; 20cm</v>
          </cell>
          <cell r="E670">
            <v>5</v>
          </cell>
          <cell r="F670" t="str">
            <v>cây</v>
          </cell>
          <cell r="G670">
            <v>120000</v>
          </cell>
          <cell r="H670">
            <v>1</v>
          </cell>
          <cell r="J670" t="str">
            <v>ĐG 30.12.2022</v>
          </cell>
        </row>
        <row r="671">
          <cell r="B671" t="str">
            <v>Xacu2050</v>
          </cell>
          <cell r="C671" t="str">
            <v>Cây xà cừ</v>
          </cell>
          <cell r="D671" t="str">
            <v>20cm ≤ đk gốc &lt;50cm</v>
          </cell>
          <cell r="E671">
            <v>6.6666666666666696</v>
          </cell>
          <cell r="F671" t="str">
            <v>cây</v>
          </cell>
          <cell r="G671">
            <v>150000</v>
          </cell>
          <cell r="H671">
            <v>1</v>
          </cell>
          <cell r="J671" t="str">
            <v>ĐG 30.12.2022</v>
          </cell>
        </row>
        <row r="672">
          <cell r="B672" t="str">
            <v>Xacu50+</v>
          </cell>
          <cell r="C672" t="str">
            <v>Cây xà cừ</v>
          </cell>
          <cell r="D672" t="str">
            <v>đk gốc từ 50cm trở lên</v>
          </cell>
          <cell r="E672">
            <v>6.6666666666666696</v>
          </cell>
          <cell r="F672" t="str">
            <v>cây</v>
          </cell>
          <cell r="G672">
            <v>220000</v>
          </cell>
          <cell r="H672">
            <v>1</v>
          </cell>
          <cell r="J672" t="str">
            <v>ĐG 30.12.2022</v>
          </cell>
        </row>
        <row r="673">
          <cell r="B673" t="str">
            <v>Xacu01vmd</v>
          </cell>
          <cell r="C673" t="str">
            <v>Cây xà cừ</v>
          </cell>
          <cell r="D673" t="str">
            <v>cây giống</v>
          </cell>
          <cell r="F673" t="str">
            <v>m2</v>
          </cell>
          <cell r="H673">
            <v>0.5</v>
          </cell>
        </row>
        <row r="674">
          <cell r="B674" t="str">
            <v>Xacu05vmd</v>
          </cell>
          <cell r="C674" t="str">
            <v>Cây xà cừ vượt mật độ</v>
          </cell>
          <cell r="D674" t="str">
            <v>đk gốc &lt; 5cm</v>
          </cell>
          <cell r="E674">
            <v>4</v>
          </cell>
          <cell r="F674" t="str">
            <v>cây</v>
          </cell>
          <cell r="G674">
            <v>36000</v>
          </cell>
          <cell r="H674">
            <v>0.5</v>
          </cell>
          <cell r="J674" t="str">
            <v>ĐG 30.12.2022</v>
          </cell>
        </row>
        <row r="675">
          <cell r="B675" t="str">
            <v>Xacu510vmd</v>
          </cell>
          <cell r="C675" t="str">
            <v>Cây xà cừ vượt mật độ</v>
          </cell>
          <cell r="D675" t="str">
            <v>5cm ≤ đk gốc &lt; 10cm</v>
          </cell>
          <cell r="E675">
            <v>4</v>
          </cell>
          <cell r="F675" t="str">
            <v>cây</v>
          </cell>
          <cell r="G675">
            <v>60000</v>
          </cell>
          <cell r="H675">
            <v>0.5</v>
          </cell>
          <cell r="J675" t="str">
            <v>ĐG 30.12.2022</v>
          </cell>
        </row>
        <row r="676">
          <cell r="B676" t="str">
            <v>Xacu1013vmd</v>
          </cell>
          <cell r="C676" t="str">
            <v>Cây xà cừ vượt mật độ</v>
          </cell>
          <cell r="D676" t="str">
            <v>10cm ≤ đk gốc &lt; 13cm</v>
          </cell>
          <cell r="E676">
            <v>5</v>
          </cell>
          <cell r="F676" t="str">
            <v>cây</v>
          </cell>
          <cell r="G676">
            <v>90000</v>
          </cell>
          <cell r="H676">
            <v>0.5</v>
          </cell>
          <cell r="J676" t="str">
            <v>ĐG 30.12.2022</v>
          </cell>
        </row>
        <row r="677">
          <cell r="B677" t="str">
            <v>Xacu1320vmd</v>
          </cell>
          <cell r="C677" t="str">
            <v>Cây xà cừ vượt mật độ</v>
          </cell>
          <cell r="D677" t="str">
            <v>13cm ≤ đk gốc &lt; 20cm</v>
          </cell>
          <cell r="E677">
            <v>5</v>
          </cell>
          <cell r="F677" t="str">
            <v>cây</v>
          </cell>
          <cell r="G677">
            <v>120000</v>
          </cell>
          <cell r="H677">
            <v>0.5</v>
          </cell>
          <cell r="J677" t="str">
            <v>ĐG 30.12.2022</v>
          </cell>
        </row>
        <row r="678">
          <cell r="B678" t="str">
            <v>Xacu2050vmd</v>
          </cell>
          <cell r="C678" t="str">
            <v>Cây xà cừ vượt mật độ</v>
          </cell>
          <cell r="D678" t="str">
            <v>20cm ≤ đk gốc &lt;50cm</v>
          </cell>
          <cell r="E678">
            <v>6.6666666666666696</v>
          </cell>
          <cell r="F678" t="str">
            <v>cây</v>
          </cell>
          <cell r="G678">
            <v>150000</v>
          </cell>
          <cell r="H678">
            <v>0.5</v>
          </cell>
          <cell r="J678" t="str">
            <v>ĐG 30.12.2022</v>
          </cell>
        </row>
        <row r="679">
          <cell r="B679" t="str">
            <v>Xacu50+vmd</v>
          </cell>
          <cell r="C679" t="str">
            <v>Cây xà cừ vượt mật độ</v>
          </cell>
          <cell r="D679" t="str">
            <v>đk gốc từ 50cm trở lên</v>
          </cell>
          <cell r="E679">
            <v>6.6666666666666696</v>
          </cell>
          <cell r="F679" t="str">
            <v>cây</v>
          </cell>
          <cell r="G679">
            <v>220000</v>
          </cell>
          <cell r="H679">
            <v>0.5</v>
          </cell>
          <cell r="J679" t="str">
            <v>ĐG 30.12.2022</v>
          </cell>
        </row>
        <row r="680">
          <cell r="B680" t="str">
            <v>Xacu2050#</v>
          </cell>
          <cell r="C680" t="str">
            <v>Cây xà cừ trồng trên đất GTTL</v>
          </cell>
          <cell r="D680" t="str">
            <v>20cm ≤ đk gốc &lt;50cm</v>
          </cell>
          <cell r="E680">
            <v>6.6666666666666696</v>
          </cell>
          <cell r="F680" t="str">
            <v>cây</v>
          </cell>
          <cell r="G680">
            <v>150000</v>
          </cell>
          <cell r="H680">
            <v>0.3</v>
          </cell>
          <cell r="J680" t="str">
            <v>ĐG 30.12.2022</v>
          </cell>
        </row>
        <row r="681">
          <cell r="B681" t="str">
            <v>Xacu1013#</v>
          </cell>
          <cell r="C681" t="str">
            <v>Cây xà cừ trồng trên đất GTTL</v>
          </cell>
          <cell r="D681" t="str">
            <v>10cm ≤ đk gốc &lt; 13cm</v>
          </cell>
          <cell r="E681">
            <v>5</v>
          </cell>
          <cell r="F681" t="str">
            <v>cây</v>
          </cell>
          <cell r="G681">
            <v>90000</v>
          </cell>
          <cell r="H681">
            <v>0.3</v>
          </cell>
          <cell r="J681" t="str">
            <v>ĐG 30.12.2022</v>
          </cell>
        </row>
        <row r="682">
          <cell r="C682" t="str">
            <v>Cây Keo</v>
          </cell>
        </row>
        <row r="683">
          <cell r="B683" t="str">
            <v>Keo01</v>
          </cell>
          <cell r="C683" t="str">
            <v>Cây keo</v>
          </cell>
          <cell r="D683" t="str">
            <v>cây giống</v>
          </cell>
          <cell r="F683" t="str">
            <v>m2</v>
          </cell>
          <cell r="H683">
            <v>1</v>
          </cell>
        </row>
        <row r="684">
          <cell r="B684" t="str">
            <v>Keo05</v>
          </cell>
          <cell r="C684" t="str">
            <v>Cây keo</v>
          </cell>
          <cell r="D684" t="str">
            <v>đk gốc &lt; 5cm</v>
          </cell>
          <cell r="E684">
            <v>4</v>
          </cell>
          <cell r="F684" t="str">
            <v>cây</v>
          </cell>
          <cell r="G684">
            <v>36000</v>
          </cell>
          <cell r="H684">
            <v>1</v>
          </cell>
          <cell r="J684" t="str">
            <v>ĐG 30.12.2022</v>
          </cell>
        </row>
        <row r="685">
          <cell r="B685" t="str">
            <v>Keo510</v>
          </cell>
          <cell r="C685" t="str">
            <v>Cây keo</v>
          </cell>
          <cell r="D685" t="str">
            <v>5cm ≤ đk gốc &lt; 10cm</v>
          </cell>
          <cell r="E685">
            <v>4</v>
          </cell>
          <cell r="F685" t="str">
            <v>cây</v>
          </cell>
          <cell r="G685">
            <v>60000</v>
          </cell>
          <cell r="H685">
            <v>1</v>
          </cell>
          <cell r="J685" t="str">
            <v>ĐG 30.12.2022</v>
          </cell>
        </row>
        <row r="686">
          <cell r="B686" t="str">
            <v>Keo1013</v>
          </cell>
          <cell r="C686" t="str">
            <v>Cây keo</v>
          </cell>
          <cell r="D686" t="str">
            <v>10cm ≤ đk gốc &lt; 13cm</v>
          </cell>
          <cell r="E686">
            <v>5</v>
          </cell>
          <cell r="F686" t="str">
            <v>cây</v>
          </cell>
          <cell r="G686">
            <v>90000</v>
          </cell>
          <cell r="H686">
            <v>1</v>
          </cell>
          <cell r="J686" t="str">
            <v>ĐG 30.12.2022</v>
          </cell>
        </row>
        <row r="687">
          <cell r="B687" t="str">
            <v>Keo1320</v>
          </cell>
          <cell r="C687" t="str">
            <v>Cây keo</v>
          </cell>
          <cell r="D687" t="str">
            <v>13cm ≤ đk gốc &lt; 20cm</v>
          </cell>
          <cell r="E687">
            <v>5</v>
          </cell>
          <cell r="F687" t="str">
            <v>cây</v>
          </cell>
          <cell r="G687">
            <v>120000</v>
          </cell>
          <cell r="H687">
            <v>1</v>
          </cell>
          <cell r="J687" t="str">
            <v>ĐG 30.12.2022</v>
          </cell>
        </row>
        <row r="688">
          <cell r="B688" t="str">
            <v>Keo2050</v>
          </cell>
          <cell r="C688" t="str">
            <v>Cây keo</v>
          </cell>
          <cell r="D688" t="str">
            <v>20cm ≤ đk gốc &lt;50cm</v>
          </cell>
          <cell r="E688">
            <v>6.6666666666666696</v>
          </cell>
          <cell r="F688" t="str">
            <v>cây</v>
          </cell>
          <cell r="G688">
            <v>150000</v>
          </cell>
          <cell r="H688">
            <v>1</v>
          </cell>
          <cell r="J688" t="str">
            <v>ĐG 30.12.2022</v>
          </cell>
        </row>
        <row r="689">
          <cell r="B689" t="str">
            <v>Keo50+</v>
          </cell>
          <cell r="C689" t="str">
            <v>Cây keo</v>
          </cell>
          <cell r="D689" t="str">
            <v>đk gốc từ 50cm trở lên</v>
          </cell>
          <cell r="E689">
            <v>6.6666666666666696</v>
          </cell>
          <cell r="F689" t="str">
            <v>cây</v>
          </cell>
          <cell r="G689">
            <v>220000</v>
          </cell>
          <cell r="H689">
            <v>1</v>
          </cell>
          <cell r="J689" t="str">
            <v>ĐG 30.12.2022</v>
          </cell>
        </row>
        <row r="690">
          <cell r="B690" t="str">
            <v>Keo01vmd</v>
          </cell>
          <cell r="C690" t="str">
            <v>Cây keo</v>
          </cell>
          <cell r="D690" t="str">
            <v>cây giống</v>
          </cell>
          <cell r="F690" t="str">
            <v>m2</v>
          </cell>
          <cell r="H690">
            <v>0.5</v>
          </cell>
        </row>
        <row r="691">
          <cell r="B691" t="str">
            <v>Keo05vmd</v>
          </cell>
          <cell r="C691" t="str">
            <v>Cây keo vượt mật độ</v>
          </cell>
          <cell r="D691" t="str">
            <v>đk gốc &lt; 5cm</v>
          </cell>
          <cell r="E691">
            <v>4</v>
          </cell>
          <cell r="F691" t="str">
            <v>cây</v>
          </cell>
          <cell r="G691">
            <v>36000</v>
          </cell>
          <cell r="H691">
            <v>0.5</v>
          </cell>
          <cell r="J691" t="str">
            <v>ĐG 30.12.2022</v>
          </cell>
        </row>
        <row r="692">
          <cell r="B692" t="str">
            <v>Keo510vmd</v>
          </cell>
          <cell r="C692" t="str">
            <v>Cây keo vượt mật độ</v>
          </cell>
          <cell r="D692" t="str">
            <v>5cm ≤ đk gốc &lt; 10cm</v>
          </cell>
          <cell r="E692">
            <v>4</v>
          </cell>
          <cell r="F692" t="str">
            <v>cây</v>
          </cell>
          <cell r="G692">
            <v>60000</v>
          </cell>
          <cell r="H692">
            <v>0.5</v>
          </cell>
          <cell r="J692" t="str">
            <v>ĐG 30.12.2022</v>
          </cell>
        </row>
        <row r="693">
          <cell r="B693" t="str">
            <v>Keo1013vmd</v>
          </cell>
          <cell r="C693" t="str">
            <v>Cây keo vượt mật độ</v>
          </cell>
          <cell r="D693" t="str">
            <v>10cm ≤ đk gốc &lt; 13cm</v>
          </cell>
          <cell r="E693">
            <v>5</v>
          </cell>
          <cell r="F693" t="str">
            <v>cây</v>
          </cell>
          <cell r="G693">
            <v>90000</v>
          </cell>
          <cell r="H693">
            <v>0.5</v>
          </cell>
          <cell r="J693" t="str">
            <v>ĐG 30.12.2022</v>
          </cell>
        </row>
        <row r="694">
          <cell r="B694" t="str">
            <v>Keo1320vmd</v>
          </cell>
          <cell r="C694" t="str">
            <v>Cây keo vượt mật độ</v>
          </cell>
          <cell r="D694" t="str">
            <v>13cm ≤ đk gốc &lt; 20cm</v>
          </cell>
          <cell r="E694">
            <v>5</v>
          </cell>
          <cell r="F694" t="str">
            <v>cây</v>
          </cell>
          <cell r="G694">
            <v>120000</v>
          </cell>
          <cell r="H694">
            <v>0.5</v>
          </cell>
          <cell r="J694" t="str">
            <v>ĐG 30.12.2022</v>
          </cell>
        </row>
        <row r="695">
          <cell r="B695" t="str">
            <v>Keo2050vmd</v>
          </cell>
          <cell r="C695" t="str">
            <v>Cây keo vượt mật độ</v>
          </cell>
          <cell r="D695" t="str">
            <v>20cm ≤ đk gốc &lt;50cm</v>
          </cell>
          <cell r="E695">
            <v>6.6666666666666696</v>
          </cell>
          <cell r="F695" t="str">
            <v>cây</v>
          </cell>
          <cell r="G695">
            <v>150000</v>
          </cell>
          <cell r="H695">
            <v>0.5</v>
          </cell>
          <cell r="J695" t="str">
            <v>ĐG 30.12.2022</v>
          </cell>
        </row>
        <row r="696">
          <cell r="B696" t="str">
            <v>Keo50+vmd</v>
          </cell>
          <cell r="C696" t="str">
            <v>Cây keo vượt mật độ</v>
          </cell>
          <cell r="D696" t="str">
            <v>đk gốc từ 50cm trở lên</v>
          </cell>
          <cell r="E696">
            <v>6.6666666666666696</v>
          </cell>
          <cell r="F696" t="str">
            <v>cây</v>
          </cell>
          <cell r="G696">
            <v>220000</v>
          </cell>
          <cell r="H696">
            <v>0.5</v>
          </cell>
          <cell r="J696" t="str">
            <v>ĐG 30.12.2022</v>
          </cell>
        </row>
        <row r="697">
          <cell r="C697" t="str">
            <v>Cây Bạch đàn</v>
          </cell>
        </row>
        <row r="698">
          <cell r="B698" t="str">
            <v>Bachdan01</v>
          </cell>
          <cell r="C698" t="str">
            <v>Cây Bạch đàn</v>
          </cell>
          <cell r="D698" t="str">
            <v>cây giống</v>
          </cell>
          <cell r="F698" t="str">
            <v>m2</v>
          </cell>
          <cell r="H698">
            <v>1</v>
          </cell>
        </row>
        <row r="699">
          <cell r="B699" t="str">
            <v>Bachdan05</v>
          </cell>
          <cell r="C699" t="str">
            <v>Cây Bạch đàn</v>
          </cell>
          <cell r="D699" t="str">
            <v>đk gốc &lt; 5cm</v>
          </cell>
          <cell r="E699">
            <v>4</v>
          </cell>
          <cell r="F699" t="str">
            <v>cây</v>
          </cell>
          <cell r="G699">
            <v>36000</v>
          </cell>
          <cell r="H699">
            <v>1</v>
          </cell>
          <cell r="J699" t="str">
            <v>ĐG 30.12.2022</v>
          </cell>
        </row>
        <row r="700">
          <cell r="B700" t="str">
            <v>Bachdan510</v>
          </cell>
          <cell r="C700" t="str">
            <v>Cây Bạch đàn</v>
          </cell>
          <cell r="D700" t="str">
            <v>5cm ≤ đk gốc &lt; 10cm</v>
          </cell>
          <cell r="E700">
            <v>4</v>
          </cell>
          <cell r="F700" t="str">
            <v>cây</v>
          </cell>
          <cell r="G700">
            <v>60000</v>
          </cell>
          <cell r="H700">
            <v>1</v>
          </cell>
          <cell r="J700" t="str">
            <v>ĐG 30.12.2022</v>
          </cell>
        </row>
        <row r="701">
          <cell r="B701" t="str">
            <v>Bachdan1013</v>
          </cell>
          <cell r="C701" t="str">
            <v>Cây Bạch đàn</v>
          </cell>
          <cell r="D701" t="str">
            <v>10cm ≤ đk gốc &lt; 13cm</v>
          </cell>
          <cell r="E701">
            <v>5</v>
          </cell>
          <cell r="F701" t="str">
            <v>cây</v>
          </cell>
          <cell r="G701">
            <v>90000</v>
          </cell>
          <cell r="H701">
            <v>1</v>
          </cell>
          <cell r="J701" t="str">
            <v>ĐG 30.12.2022</v>
          </cell>
        </row>
        <row r="702">
          <cell r="B702" t="str">
            <v>Bachdan1320</v>
          </cell>
          <cell r="C702" t="str">
            <v>Cây Bạch đàn</v>
          </cell>
          <cell r="D702" t="str">
            <v>13cm ≤ đk gốc &lt; 20cm</v>
          </cell>
          <cell r="E702">
            <v>5</v>
          </cell>
          <cell r="F702" t="str">
            <v>cây</v>
          </cell>
          <cell r="G702">
            <v>120000</v>
          </cell>
          <cell r="H702">
            <v>1</v>
          </cell>
          <cell r="J702" t="str">
            <v>ĐG 30.12.2022</v>
          </cell>
        </row>
        <row r="703">
          <cell r="B703" t="str">
            <v>Bachdan2050</v>
          </cell>
          <cell r="C703" t="str">
            <v>Cây Bạch đàn</v>
          </cell>
          <cell r="D703" t="str">
            <v>20cm ≤ đk gốc &lt;50cm</v>
          </cell>
          <cell r="E703">
            <v>6.6666666666666696</v>
          </cell>
          <cell r="F703" t="str">
            <v>cây</v>
          </cell>
          <cell r="G703">
            <v>150000</v>
          </cell>
          <cell r="H703">
            <v>1</v>
          </cell>
          <cell r="J703" t="str">
            <v>ĐG 30.12.2022</v>
          </cell>
        </row>
        <row r="704">
          <cell r="B704" t="str">
            <v>Bachdan50+</v>
          </cell>
          <cell r="C704" t="str">
            <v>Cây Bạch đàn</v>
          </cell>
          <cell r="D704" t="str">
            <v>đk gốc từ 50cm trở lên</v>
          </cell>
          <cell r="E704">
            <v>6.6666666666666696</v>
          </cell>
          <cell r="F704" t="str">
            <v>cây</v>
          </cell>
          <cell r="G704">
            <v>220000</v>
          </cell>
          <cell r="H704">
            <v>1</v>
          </cell>
          <cell r="J704" t="str">
            <v>ĐG 30.12.2022</v>
          </cell>
        </row>
        <row r="705">
          <cell r="B705" t="str">
            <v>Bachdan01vmd</v>
          </cell>
          <cell r="C705" t="str">
            <v>Cây Bạch đàn vượt mật độ</v>
          </cell>
          <cell r="D705" t="str">
            <v>cây giống</v>
          </cell>
          <cell r="F705" t="str">
            <v>m2</v>
          </cell>
          <cell r="H705">
            <v>0.5</v>
          </cell>
        </row>
        <row r="706">
          <cell r="B706" t="str">
            <v>Bachdan05vmd</v>
          </cell>
          <cell r="C706" t="str">
            <v>Cây Bạch đàn vượt mật độ</v>
          </cell>
          <cell r="D706" t="str">
            <v>đk gốc &lt; 5cm</v>
          </cell>
          <cell r="E706">
            <v>4</v>
          </cell>
          <cell r="F706" t="str">
            <v>cây</v>
          </cell>
          <cell r="G706">
            <v>36000</v>
          </cell>
          <cell r="H706">
            <v>0.5</v>
          </cell>
          <cell r="J706" t="str">
            <v>ĐG 30.12.2022</v>
          </cell>
        </row>
        <row r="707">
          <cell r="B707" t="str">
            <v>Bachdan510vmd</v>
          </cell>
          <cell r="C707" t="str">
            <v>Cây Bạch đàn vượt mật độ</v>
          </cell>
          <cell r="D707" t="str">
            <v>5cm ≤ đk gốc &lt; 10cm</v>
          </cell>
          <cell r="E707">
            <v>4</v>
          </cell>
          <cell r="F707" t="str">
            <v>cây</v>
          </cell>
          <cell r="G707">
            <v>60000</v>
          </cell>
          <cell r="H707">
            <v>0.5</v>
          </cell>
          <cell r="J707" t="str">
            <v>ĐG 30.12.2022</v>
          </cell>
        </row>
        <row r="708">
          <cell r="B708" t="str">
            <v>Bachdan1013vmd</v>
          </cell>
          <cell r="C708" t="str">
            <v>Cây Bạch đàn vượt mật độ</v>
          </cell>
          <cell r="D708" t="str">
            <v>10cm ≤ đk gốc &lt; 13cm</v>
          </cell>
          <cell r="E708">
            <v>5</v>
          </cell>
          <cell r="F708" t="str">
            <v>cây</v>
          </cell>
          <cell r="G708">
            <v>90000</v>
          </cell>
          <cell r="H708">
            <v>0.5</v>
          </cell>
          <cell r="J708" t="str">
            <v>ĐG 30.12.2022</v>
          </cell>
        </row>
        <row r="709">
          <cell r="B709" t="str">
            <v>Bachdan1320vmd</v>
          </cell>
          <cell r="C709" t="str">
            <v>Cây Bạch đàn vượt mật độ</v>
          </cell>
          <cell r="D709" t="str">
            <v>13cm ≤ đk gốc &lt; 20cm</v>
          </cell>
          <cell r="E709">
            <v>5</v>
          </cell>
          <cell r="F709" t="str">
            <v>cây</v>
          </cell>
          <cell r="G709">
            <v>120000</v>
          </cell>
          <cell r="H709">
            <v>0.5</v>
          </cell>
          <cell r="J709" t="str">
            <v>ĐG 30.12.2022</v>
          </cell>
        </row>
        <row r="710">
          <cell r="B710" t="str">
            <v>Bachdan2050vmd</v>
          </cell>
          <cell r="C710" t="str">
            <v>Cây Bạch đàn vượt mật độ</v>
          </cell>
          <cell r="D710" t="str">
            <v>20cm ≤ đk gốc &lt;50cm</v>
          </cell>
          <cell r="E710">
            <v>6.6666666666666696</v>
          </cell>
          <cell r="F710" t="str">
            <v>cây</v>
          </cell>
          <cell r="G710">
            <v>150000</v>
          </cell>
          <cell r="H710">
            <v>0.5</v>
          </cell>
          <cell r="J710" t="str">
            <v>ĐG 30.12.2022</v>
          </cell>
        </row>
        <row r="711">
          <cell r="B711" t="str">
            <v>Bachdan50+vmd</v>
          </cell>
          <cell r="C711" t="str">
            <v>Cây Bạch đàn vượt mật độ</v>
          </cell>
          <cell r="D711" t="str">
            <v>đk gốc từ 50cm trở lên</v>
          </cell>
          <cell r="E711">
            <v>6.6666666666666696</v>
          </cell>
          <cell r="F711" t="str">
            <v>cây</v>
          </cell>
          <cell r="G711">
            <v>220000</v>
          </cell>
          <cell r="H711">
            <v>0.5</v>
          </cell>
          <cell r="J711" t="str">
            <v>ĐG 30.12.2022</v>
          </cell>
        </row>
        <row r="712">
          <cell r="C712" t="str">
            <v>Cây Sưa</v>
          </cell>
        </row>
        <row r="713">
          <cell r="B713" t="str">
            <v>Sua01</v>
          </cell>
          <cell r="C713" t="str">
            <v>Cây sưa</v>
          </cell>
          <cell r="D713" t="str">
            <v>cây giống</v>
          </cell>
          <cell r="F713" t="str">
            <v>m2</v>
          </cell>
          <cell r="H713">
            <v>1</v>
          </cell>
        </row>
        <row r="714">
          <cell r="B714" t="str">
            <v>Sua05</v>
          </cell>
          <cell r="C714" t="str">
            <v>Cây sưa</v>
          </cell>
          <cell r="D714" t="str">
            <v>đk gốc &lt; 5cm</v>
          </cell>
          <cell r="E714">
            <v>4</v>
          </cell>
          <cell r="F714" t="str">
            <v>cây</v>
          </cell>
          <cell r="G714">
            <v>36000</v>
          </cell>
          <cell r="H714">
            <v>1</v>
          </cell>
          <cell r="J714" t="str">
            <v>ĐG 30.12.2022</v>
          </cell>
        </row>
        <row r="715">
          <cell r="B715" t="str">
            <v>Sua510</v>
          </cell>
          <cell r="C715" t="str">
            <v>Cây sưa</v>
          </cell>
          <cell r="D715" t="str">
            <v>5cm ≤ đk gốc &lt; 10cm</v>
          </cell>
          <cell r="E715">
            <v>4</v>
          </cell>
          <cell r="F715" t="str">
            <v>cây</v>
          </cell>
          <cell r="G715">
            <v>60000</v>
          </cell>
          <cell r="H715">
            <v>1</v>
          </cell>
          <cell r="J715" t="str">
            <v>ĐG 30.12.2022</v>
          </cell>
        </row>
        <row r="716">
          <cell r="B716" t="str">
            <v>Sua1013</v>
          </cell>
          <cell r="C716" t="str">
            <v>Cây sưa</v>
          </cell>
          <cell r="D716" t="str">
            <v>10cm ≤ đk gốc &lt; 13cm</v>
          </cell>
          <cell r="E716">
            <v>5</v>
          </cell>
          <cell r="F716" t="str">
            <v>cây</v>
          </cell>
          <cell r="G716">
            <v>90000</v>
          </cell>
          <cell r="H716">
            <v>1</v>
          </cell>
          <cell r="J716" t="str">
            <v>ĐG 30.12.2022</v>
          </cell>
        </row>
        <row r="717">
          <cell r="B717" t="str">
            <v>Sua1320</v>
          </cell>
          <cell r="C717" t="str">
            <v>Cây sưa</v>
          </cell>
          <cell r="D717" t="str">
            <v>13cm ≤ đk gốc &lt; 20cm</v>
          </cell>
          <cell r="E717">
            <v>5</v>
          </cell>
          <cell r="F717" t="str">
            <v>cây</v>
          </cell>
          <cell r="G717">
            <v>120000</v>
          </cell>
          <cell r="H717">
            <v>1</v>
          </cell>
          <cell r="J717" t="str">
            <v>ĐG 30.12.2022</v>
          </cell>
        </row>
        <row r="718">
          <cell r="B718" t="str">
            <v>Sua2050</v>
          </cell>
          <cell r="C718" t="str">
            <v>Cây sưa</v>
          </cell>
          <cell r="D718" t="str">
            <v>20cm ≤ đk gốc &lt;50cm</v>
          </cell>
          <cell r="E718">
            <v>6.6666666666666696</v>
          </cell>
          <cell r="F718" t="str">
            <v>cây</v>
          </cell>
          <cell r="G718">
            <v>150000</v>
          </cell>
          <cell r="H718">
            <v>1</v>
          </cell>
          <cell r="J718" t="str">
            <v>ĐG 30.12.2022</v>
          </cell>
        </row>
        <row r="719">
          <cell r="B719" t="str">
            <v>Sua50+</v>
          </cell>
          <cell r="C719" t="str">
            <v>Cây sưa</v>
          </cell>
          <cell r="D719" t="str">
            <v>đk gốc từ 50cm trở lên</v>
          </cell>
          <cell r="E719">
            <v>6.6666666666666696</v>
          </cell>
          <cell r="F719" t="str">
            <v>cây</v>
          </cell>
          <cell r="G719">
            <v>220000</v>
          </cell>
          <cell r="H719">
            <v>1</v>
          </cell>
          <cell r="J719" t="str">
            <v>ĐG 30.12.2022</v>
          </cell>
        </row>
        <row r="720">
          <cell r="B720" t="str">
            <v>Sua01vmd</v>
          </cell>
          <cell r="C720" t="str">
            <v>Cây sưa vượt mật độ</v>
          </cell>
          <cell r="D720" t="str">
            <v>cây giống</v>
          </cell>
          <cell r="F720" t="str">
            <v>m2</v>
          </cell>
          <cell r="H720">
            <v>0.5</v>
          </cell>
        </row>
        <row r="721">
          <cell r="B721" t="str">
            <v>Sua05vmd</v>
          </cell>
          <cell r="C721" t="str">
            <v>Cây sưa vượt mật độ</v>
          </cell>
          <cell r="D721" t="str">
            <v>đk gốc &lt; 5cm</v>
          </cell>
          <cell r="E721">
            <v>4</v>
          </cell>
          <cell r="F721" t="str">
            <v>cây</v>
          </cell>
          <cell r="G721">
            <v>36000</v>
          </cell>
          <cell r="H721">
            <v>0.5</v>
          </cell>
          <cell r="J721" t="str">
            <v>ĐG 30.12.2022</v>
          </cell>
        </row>
        <row r="722">
          <cell r="B722" t="str">
            <v>Sua510vmd</v>
          </cell>
          <cell r="C722" t="str">
            <v>Cây sưa vượt mật độ</v>
          </cell>
          <cell r="D722" t="str">
            <v>5cm ≤ đk gốc &lt; 10cm</v>
          </cell>
          <cell r="E722">
            <v>4</v>
          </cell>
          <cell r="F722" t="str">
            <v>cây</v>
          </cell>
          <cell r="G722">
            <v>60000</v>
          </cell>
          <cell r="H722">
            <v>0.5</v>
          </cell>
          <cell r="J722" t="str">
            <v>ĐG 30.12.2022</v>
          </cell>
        </row>
        <row r="723">
          <cell r="B723" t="str">
            <v>Sua1013vmd</v>
          </cell>
          <cell r="C723" t="str">
            <v>Cây sưa vượt mật độ</v>
          </cell>
          <cell r="D723" t="str">
            <v>10cm ≤ đk gốc &lt; 13cm</v>
          </cell>
          <cell r="E723">
            <v>5</v>
          </cell>
          <cell r="F723" t="str">
            <v>cây</v>
          </cell>
          <cell r="G723">
            <v>90000</v>
          </cell>
          <cell r="H723">
            <v>0.5</v>
          </cell>
          <cell r="J723" t="str">
            <v>ĐG 30.12.2022</v>
          </cell>
        </row>
        <row r="724">
          <cell r="B724" t="str">
            <v>Sua1320vmd</v>
          </cell>
          <cell r="C724" t="str">
            <v>Cây sưa vượt mật độ</v>
          </cell>
          <cell r="D724" t="str">
            <v>13cm ≤ đk gốc &lt; 20cm</v>
          </cell>
          <cell r="E724">
            <v>5</v>
          </cell>
          <cell r="F724" t="str">
            <v>cây</v>
          </cell>
          <cell r="G724">
            <v>120000</v>
          </cell>
          <cell r="H724">
            <v>0.5</v>
          </cell>
          <cell r="J724" t="str">
            <v>ĐG 30.12.2022</v>
          </cell>
        </row>
        <row r="725">
          <cell r="B725" t="str">
            <v>Sua2050vmd</v>
          </cell>
          <cell r="C725" t="str">
            <v>Cây sưa vượt mật độ</v>
          </cell>
          <cell r="D725" t="str">
            <v>20cm ≤ đk gốc &lt;50cm</v>
          </cell>
          <cell r="E725">
            <v>6.6666666666666696</v>
          </cell>
          <cell r="F725" t="str">
            <v>cây</v>
          </cell>
          <cell r="G725">
            <v>150000</v>
          </cell>
          <cell r="H725">
            <v>0.5</v>
          </cell>
          <cell r="J725" t="str">
            <v>ĐG 30.12.2022</v>
          </cell>
        </row>
        <row r="726">
          <cell r="B726" t="str">
            <v>Sua50+vmd</v>
          </cell>
          <cell r="C726" t="str">
            <v>Cây sưa vượt mật độ</v>
          </cell>
          <cell r="D726" t="str">
            <v>đk gốc từ 50cm trở lên</v>
          </cell>
          <cell r="E726">
            <v>6.6666666666666696</v>
          </cell>
          <cell r="F726" t="str">
            <v>cây</v>
          </cell>
          <cell r="G726">
            <v>220000</v>
          </cell>
          <cell r="H726">
            <v>0.5</v>
          </cell>
          <cell r="J726" t="str">
            <v>ĐG 30.12.2022</v>
          </cell>
        </row>
        <row r="727">
          <cell r="C727" t="str">
            <v>Cây Duối</v>
          </cell>
        </row>
        <row r="728">
          <cell r="B728" t="str">
            <v>Duối01</v>
          </cell>
          <cell r="C728" t="str">
            <v>Cây duối</v>
          </cell>
          <cell r="D728" t="str">
            <v>cây giống</v>
          </cell>
          <cell r="F728" t="str">
            <v>m2</v>
          </cell>
          <cell r="G728">
            <v>36000</v>
          </cell>
          <cell r="H728">
            <v>1</v>
          </cell>
          <cell r="J728" t="str">
            <v>ĐG 30.12.2022</v>
          </cell>
        </row>
        <row r="729">
          <cell r="B729" t="str">
            <v>Duối27</v>
          </cell>
          <cell r="C729" t="str">
            <v>Cây duối</v>
          </cell>
          <cell r="D729" t="str">
            <v>2cm ≤ đk gốc &lt; 7cm</v>
          </cell>
          <cell r="E729">
            <v>5</v>
          </cell>
          <cell r="F729" t="str">
            <v>cây</v>
          </cell>
          <cell r="G729">
            <v>45000</v>
          </cell>
          <cell r="H729">
            <v>1</v>
          </cell>
          <cell r="J729" t="str">
            <v>ĐG 30.12.2022</v>
          </cell>
        </row>
        <row r="730">
          <cell r="B730" t="str">
            <v>Duối712</v>
          </cell>
          <cell r="C730" t="str">
            <v>Cây duối</v>
          </cell>
          <cell r="D730" t="str">
            <v>7cm ≤ đk gốc &lt; 12cm</v>
          </cell>
          <cell r="E730">
            <v>6.6666666666666696</v>
          </cell>
          <cell r="F730" t="str">
            <v>cây</v>
          </cell>
          <cell r="G730">
            <v>80000</v>
          </cell>
          <cell r="H730">
            <v>1</v>
          </cell>
          <cell r="J730" t="str">
            <v>ĐG 30.12.2022</v>
          </cell>
        </row>
        <row r="731">
          <cell r="B731" t="str">
            <v>Duối1220</v>
          </cell>
          <cell r="C731" t="str">
            <v>Cây duối</v>
          </cell>
          <cell r="D731" t="str">
            <v>12cm ≤ đk gốc &lt; 20cm</v>
          </cell>
          <cell r="E731">
            <v>8.3720930232558093</v>
          </cell>
          <cell r="F731" t="str">
            <v>cây</v>
          </cell>
          <cell r="G731">
            <v>110000</v>
          </cell>
          <cell r="H731">
            <v>1</v>
          </cell>
          <cell r="J731" t="str">
            <v>ĐG 30.12.2022</v>
          </cell>
        </row>
        <row r="732">
          <cell r="B732" t="str">
            <v>Duối2030</v>
          </cell>
          <cell r="C732" t="str">
            <v>Cây duối</v>
          </cell>
          <cell r="D732" t="str">
            <v>20cm ≤ đk gốc &lt; 30cm</v>
          </cell>
          <cell r="E732">
            <v>8.3720930232558093</v>
          </cell>
          <cell r="F732" t="str">
            <v>cây</v>
          </cell>
          <cell r="G732">
            <v>150000</v>
          </cell>
          <cell r="H732">
            <v>1</v>
          </cell>
          <cell r="J732" t="str">
            <v>ĐG 30.12.2022</v>
          </cell>
        </row>
        <row r="733">
          <cell r="B733" t="str">
            <v>Duối30+</v>
          </cell>
          <cell r="C733" t="str">
            <v>Cây duối</v>
          </cell>
          <cell r="D733" t="str">
            <v>đk gốc từ 30cm trở lên</v>
          </cell>
          <cell r="E733">
            <v>16.363636363636399</v>
          </cell>
          <cell r="F733" t="str">
            <v>cây</v>
          </cell>
          <cell r="G733">
            <v>220000</v>
          </cell>
          <cell r="H733">
            <v>1</v>
          </cell>
          <cell r="J733" t="str">
            <v>ĐG 30.12.2022</v>
          </cell>
        </row>
        <row r="734">
          <cell r="B734" t="str">
            <v>Duối01vmd</v>
          </cell>
          <cell r="C734" t="str">
            <v>Cây duối vượt mật độ</v>
          </cell>
          <cell r="D734" t="str">
            <v>cây giống</v>
          </cell>
          <cell r="F734" t="str">
            <v>m2</v>
          </cell>
          <cell r="G734">
            <v>36000</v>
          </cell>
          <cell r="H734">
            <v>0.5</v>
          </cell>
          <cell r="J734" t="str">
            <v>ĐG 30.12.2022</v>
          </cell>
        </row>
        <row r="735">
          <cell r="B735" t="str">
            <v>Duối27vmd</v>
          </cell>
          <cell r="C735" t="str">
            <v>Cây duối vượt mật độ</v>
          </cell>
          <cell r="D735" t="str">
            <v>2cm ≤ đk gốc &lt; 7cm</v>
          </cell>
          <cell r="E735">
            <v>5</v>
          </cell>
          <cell r="F735" t="str">
            <v>cây</v>
          </cell>
          <cell r="G735">
            <v>45000</v>
          </cell>
          <cell r="H735">
            <v>0.5</v>
          </cell>
          <cell r="J735" t="str">
            <v>ĐG 30.12.2022</v>
          </cell>
        </row>
        <row r="736">
          <cell r="B736" t="str">
            <v>Duối712vmd</v>
          </cell>
          <cell r="C736" t="str">
            <v>Cây duối vượt mật độ</v>
          </cell>
          <cell r="D736" t="str">
            <v>7cm ≤ đk gốc &lt; 12cm</v>
          </cell>
          <cell r="E736">
            <v>6.6666666666666696</v>
          </cell>
          <cell r="F736" t="str">
            <v>cây</v>
          </cell>
          <cell r="G736">
            <v>80000</v>
          </cell>
          <cell r="H736">
            <v>0.5</v>
          </cell>
          <cell r="J736" t="str">
            <v>ĐG 30.12.2022</v>
          </cell>
        </row>
        <row r="737">
          <cell r="B737" t="str">
            <v>Duối1220vmd</v>
          </cell>
          <cell r="C737" t="str">
            <v>Cây duối vượt mật độ</v>
          </cell>
          <cell r="D737" t="str">
            <v>12cm ≤ đk gốc &lt; 20cm</v>
          </cell>
          <cell r="E737">
            <v>8.3720930232558093</v>
          </cell>
          <cell r="F737" t="str">
            <v>cây</v>
          </cell>
          <cell r="G737">
            <v>110000</v>
          </cell>
          <cell r="H737">
            <v>0.5</v>
          </cell>
          <cell r="J737" t="str">
            <v>ĐG 30.12.2022</v>
          </cell>
        </row>
        <row r="738">
          <cell r="B738" t="str">
            <v>Duối2030vmd</v>
          </cell>
          <cell r="C738" t="str">
            <v>Cây duối vượt mật độ</v>
          </cell>
          <cell r="D738" t="str">
            <v>20cm ≤ đk gốc &lt; 30cm</v>
          </cell>
          <cell r="E738">
            <v>8.3720930232558093</v>
          </cell>
          <cell r="F738" t="str">
            <v>cây</v>
          </cell>
          <cell r="G738">
            <v>150000</v>
          </cell>
          <cell r="H738">
            <v>0.5</v>
          </cell>
          <cell r="J738" t="str">
            <v>ĐG 30.12.2022</v>
          </cell>
        </row>
        <row r="739">
          <cell r="B739" t="str">
            <v>Duối30+vmd</v>
          </cell>
          <cell r="C739" t="str">
            <v>Cây duối vượt mật độ</v>
          </cell>
          <cell r="D739" t="str">
            <v>đk gốc từ 30cm trở lên</v>
          </cell>
          <cell r="E739">
            <v>16.363636363636399</v>
          </cell>
          <cell r="F739" t="str">
            <v>cây</v>
          </cell>
          <cell r="G739">
            <v>220000</v>
          </cell>
          <cell r="H739">
            <v>0.5</v>
          </cell>
          <cell r="J739" t="str">
            <v>ĐG 30.12.2022</v>
          </cell>
        </row>
        <row r="740">
          <cell r="C740" t="str">
            <v>Cây dâu tằm</v>
          </cell>
        </row>
        <row r="741">
          <cell r="B741" t="str">
            <v>Dautam01</v>
          </cell>
          <cell r="C741" t="str">
            <v>Cây dâu tằm</v>
          </cell>
          <cell r="D741" t="str">
            <v>cây giống</v>
          </cell>
          <cell r="F741" t="str">
            <v>m2</v>
          </cell>
          <cell r="G741">
            <v>36000</v>
          </cell>
          <cell r="H741">
            <v>1</v>
          </cell>
        </row>
        <row r="742">
          <cell r="B742" t="str">
            <v>Dautam05</v>
          </cell>
          <cell r="C742" t="str">
            <v>Cây dâu tằm</v>
          </cell>
          <cell r="D742" t="str">
            <v>đk gốc &lt; 5cm</v>
          </cell>
          <cell r="E742">
            <v>4</v>
          </cell>
          <cell r="F742" t="str">
            <v>cây</v>
          </cell>
          <cell r="G742">
            <v>48000</v>
          </cell>
          <cell r="H742">
            <v>1</v>
          </cell>
        </row>
        <row r="743">
          <cell r="B743" t="str">
            <v>Dautam510</v>
          </cell>
          <cell r="C743" t="str">
            <v>Cây dâu tằm</v>
          </cell>
          <cell r="D743" t="str">
            <v>5cm ≤ đk gốc &lt; 10cm</v>
          </cell>
          <cell r="E743">
            <v>4</v>
          </cell>
          <cell r="F743" t="str">
            <v>cây</v>
          </cell>
          <cell r="G743">
            <v>70000</v>
          </cell>
          <cell r="H743">
            <v>1</v>
          </cell>
        </row>
        <row r="744">
          <cell r="B744" t="str">
            <v>Dautam1013</v>
          </cell>
          <cell r="C744" t="str">
            <v>Cây dâu tằm</v>
          </cell>
          <cell r="D744" t="str">
            <v>10cm ≤ đk gốc &lt; 13cm</v>
          </cell>
          <cell r="E744">
            <v>5</v>
          </cell>
          <cell r="F744" t="str">
            <v>cây</v>
          </cell>
          <cell r="G744">
            <v>95000</v>
          </cell>
          <cell r="H744">
            <v>1</v>
          </cell>
        </row>
        <row r="745">
          <cell r="B745" t="str">
            <v>Dautam1320</v>
          </cell>
          <cell r="C745" t="str">
            <v>Cây dâu tằm</v>
          </cell>
          <cell r="D745" t="str">
            <v>13cm ≤ đk gốc &lt; 20cm</v>
          </cell>
          <cell r="E745">
            <v>5</v>
          </cell>
          <cell r="F745" t="str">
            <v>cây</v>
          </cell>
          <cell r="G745">
            <v>120000</v>
          </cell>
          <cell r="H745">
            <v>1</v>
          </cell>
        </row>
        <row r="746">
          <cell r="B746" t="str">
            <v>Dautam2050</v>
          </cell>
          <cell r="C746" t="str">
            <v>Cây dâu tằm</v>
          </cell>
          <cell r="D746" t="str">
            <v>20cm ≤ đk gốc &lt;50cm</v>
          </cell>
          <cell r="E746">
            <v>6.6666666666666696</v>
          </cell>
          <cell r="F746" t="str">
            <v>cây</v>
          </cell>
          <cell r="G746">
            <v>145000</v>
          </cell>
          <cell r="H746">
            <v>1</v>
          </cell>
        </row>
        <row r="747">
          <cell r="B747" t="str">
            <v>Dautam50+</v>
          </cell>
          <cell r="C747" t="str">
            <v>Cây dâu tằm</v>
          </cell>
          <cell r="D747" t="str">
            <v>đk gốc từ 50cm trở lên</v>
          </cell>
          <cell r="E747">
            <v>6.6666666666666696</v>
          </cell>
          <cell r="F747" t="str">
            <v>cây</v>
          </cell>
          <cell r="G747">
            <v>180000</v>
          </cell>
          <cell r="H747">
            <v>1</v>
          </cell>
        </row>
        <row r="748">
          <cell r="C748" t="str">
            <v>Cây Trúc</v>
          </cell>
        </row>
        <row r="749">
          <cell r="B749" t="str">
            <v>Trúc</v>
          </cell>
          <cell r="C749" t="str">
            <v>Cây trúc</v>
          </cell>
          <cell r="F749" t="str">
            <v>m2</v>
          </cell>
          <cell r="G749">
            <v>40000</v>
          </cell>
          <cell r="H749">
            <v>1</v>
          </cell>
        </row>
        <row r="750">
          <cell r="B750" t="str">
            <v>Trúc.vmd</v>
          </cell>
          <cell r="C750" t="str">
            <v>Cây trúc vượt mật độ</v>
          </cell>
          <cell r="F750" t="str">
            <v>m2</v>
          </cell>
          <cell r="G750">
            <v>40000</v>
          </cell>
          <cell r="H750">
            <v>0.5</v>
          </cell>
        </row>
        <row r="751">
          <cell r="B751" t="str">
            <v>Trúc02</v>
          </cell>
          <cell r="C751" t="str">
            <v>Cây trúc</v>
          </cell>
          <cell r="D751" t="str">
            <v>đk gốc 2cm</v>
          </cell>
          <cell r="F751" t="str">
            <v>m2</v>
          </cell>
          <cell r="G751">
            <v>40000</v>
          </cell>
          <cell r="H751">
            <v>1</v>
          </cell>
          <cell r="J751" t="str">
            <v>Quy tính diện tích còn lại</v>
          </cell>
        </row>
        <row r="752">
          <cell r="B752" t="str">
            <v>Trúc05</v>
          </cell>
          <cell r="C752" t="str">
            <v>Cây trúc</v>
          </cell>
          <cell r="D752" t="str">
            <v>đk gốc 5cm</v>
          </cell>
          <cell r="F752" t="str">
            <v>m2</v>
          </cell>
          <cell r="G752">
            <v>40000</v>
          </cell>
          <cell r="H752">
            <v>1</v>
          </cell>
          <cell r="J752" t="str">
            <v>Quy tính diện tích còn lại</v>
          </cell>
        </row>
        <row r="753">
          <cell r="B753" t="str">
            <v>Trúc02#</v>
          </cell>
          <cell r="C753" t="str">
            <v>Cây trúc trồng trên đất GTTL</v>
          </cell>
          <cell r="D753" t="str">
            <v>đk gốc 2cm</v>
          </cell>
          <cell r="F753" t="str">
            <v>m2</v>
          </cell>
          <cell r="G753">
            <v>40000</v>
          </cell>
          <cell r="H753">
            <v>1</v>
          </cell>
          <cell r="J753" t="str">
            <v>Quy tính diện tích còn lại</v>
          </cell>
        </row>
        <row r="754">
          <cell r="B754" t="str">
            <v>TrúcQT01</v>
          </cell>
          <cell r="C754" t="str">
            <v>Cây trúc quân tử</v>
          </cell>
          <cell r="F754" t="str">
            <v>m2</v>
          </cell>
          <cell r="G754">
            <v>40000</v>
          </cell>
          <cell r="H754">
            <v>1</v>
          </cell>
        </row>
        <row r="755">
          <cell r="B755" t="str">
            <v>TrúcQT02</v>
          </cell>
          <cell r="C755" t="str">
            <v>Cây trúc quân tử</v>
          </cell>
          <cell r="D755" t="str">
            <v>đk gốc 2cm</v>
          </cell>
          <cell r="F755" t="str">
            <v>m2</v>
          </cell>
          <cell r="G755">
            <v>40000</v>
          </cell>
          <cell r="H755">
            <v>1</v>
          </cell>
          <cell r="J755" t="str">
            <v>Quy tính diện tích còn lại</v>
          </cell>
        </row>
        <row r="756">
          <cell r="B756" t="str">
            <v>TrúcQT05</v>
          </cell>
          <cell r="C756" t="str">
            <v>Cây trúc quân tử</v>
          </cell>
          <cell r="D756" t="str">
            <v>đk gốc 5cm</v>
          </cell>
          <cell r="F756" t="str">
            <v>m2</v>
          </cell>
          <cell r="G756">
            <v>40000</v>
          </cell>
          <cell r="H756">
            <v>1</v>
          </cell>
          <cell r="J756" t="str">
            <v>Quy tính diện tích còn lại</v>
          </cell>
        </row>
        <row r="757">
          <cell r="B757" t="str">
            <v>Trúcmây02</v>
          </cell>
          <cell r="C757" t="str">
            <v>Cây trúc mây</v>
          </cell>
          <cell r="D757" t="str">
            <v>đk gốc 2cm</v>
          </cell>
          <cell r="F757" t="str">
            <v>m2</v>
          </cell>
          <cell r="G757">
            <v>40000</v>
          </cell>
          <cell r="H757">
            <v>1</v>
          </cell>
          <cell r="J757" t="str">
            <v>Quy tính diện tích còn lại</v>
          </cell>
        </row>
        <row r="758">
          <cell r="B758" t="str">
            <v>Trúcpb</v>
          </cell>
          <cell r="C758" t="str">
            <v>Cây trúc phật bà</v>
          </cell>
          <cell r="D758" t="str">
            <v>5cm ≤ đk gốc</v>
          </cell>
          <cell r="F758" t="str">
            <v>m2</v>
          </cell>
          <cell r="G758">
            <v>40000</v>
          </cell>
          <cell r="H758">
            <v>1</v>
          </cell>
          <cell r="J758" t="str">
            <v>Quy tính diện tích còn lại</v>
          </cell>
        </row>
        <row r="759">
          <cell r="B759" t="str">
            <v>Trúcpb35</v>
          </cell>
          <cell r="C759" t="str">
            <v>Cây trúc phật bà</v>
          </cell>
          <cell r="D759" t="str">
            <v>3cm ≤ đk gốc ≤ 5cm</v>
          </cell>
          <cell r="F759" t="str">
            <v>m2</v>
          </cell>
          <cell r="G759">
            <v>40000</v>
          </cell>
          <cell r="H759">
            <v>1</v>
          </cell>
          <cell r="J759" t="str">
            <v>Quy tính diện tích còn lại</v>
          </cell>
        </row>
        <row r="760">
          <cell r="B760" t="str">
            <v>Trúcpb710</v>
          </cell>
          <cell r="C760" t="str">
            <v>Cây trúc phật bà</v>
          </cell>
          <cell r="D760" t="str">
            <v>7cm ≤ đk gốc ≤ 10cm</v>
          </cell>
          <cell r="F760" t="str">
            <v>m2</v>
          </cell>
          <cell r="G760">
            <v>40000</v>
          </cell>
          <cell r="H760">
            <v>1</v>
          </cell>
          <cell r="J760" t="str">
            <v>Quy tính diện tích còn lại</v>
          </cell>
        </row>
        <row r="761">
          <cell r="B761" t="str">
            <v>Trúcpb35mt</v>
          </cell>
          <cell r="C761" t="str">
            <v>Cây trúc phật bà mới trồng</v>
          </cell>
          <cell r="D761" t="str">
            <v>3cm ≤ đk gốc ≤ 5cm</v>
          </cell>
          <cell r="F761" t="str">
            <v>m2</v>
          </cell>
          <cell r="G761">
            <v>40000</v>
          </cell>
          <cell r="H761">
            <v>1</v>
          </cell>
          <cell r="J761" t="str">
            <v>Quy tính diện tích còn lại</v>
          </cell>
        </row>
        <row r="762">
          <cell r="B762" t="str">
            <v>TrúcNhật01</v>
          </cell>
          <cell r="C762" t="str">
            <v>Cây trúc Nhật</v>
          </cell>
          <cell r="F762" t="str">
            <v>m2</v>
          </cell>
          <cell r="G762">
            <v>40000</v>
          </cell>
          <cell r="H762">
            <v>1</v>
          </cell>
        </row>
        <row r="763">
          <cell r="C763" t="str">
            <v>Cây Đào</v>
          </cell>
        </row>
        <row r="764">
          <cell r="B764" t="str">
            <v>Đào01</v>
          </cell>
          <cell r="C764" t="str">
            <v>Cây đào</v>
          </cell>
          <cell r="D764" t="str">
            <v>cây giống</v>
          </cell>
          <cell r="F764" t="str">
            <v>m2</v>
          </cell>
          <cell r="G764">
            <v>30000</v>
          </cell>
          <cell r="H764">
            <v>1</v>
          </cell>
          <cell r="J764" t="str">
            <v>ĐG 12.2021</v>
          </cell>
        </row>
        <row r="765">
          <cell r="B765" t="str">
            <v>Đào25</v>
          </cell>
          <cell r="C765" t="str">
            <v>Cây đào</v>
          </cell>
          <cell r="D765" t="str">
            <v>2cm ≤ đk gốc &lt; 5cm</v>
          </cell>
          <cell r="E765">
            <v>0.5</v>
          </cell>
          <cell r="F765" t="str">
            <v>cây</v>
          </cell>
          <cell r="G765">
            <v>70000</v>
          </cell>
          <cell r="H765">
            <v>1</v>
          </cell>
          <cell r="J765" t="str">
            <v>ĐG 30.12.2022</v>
          </cell>
        </row>
        <row r="766">
          <cell r="B766" t="str">
            <v>Đào57</v>
          </cell>
          <cell r="C766" t="str">
            <v>Cây đào</v>
          </cell>
          <cell r="D766" t="str">
            <v>5cm ≤ đk gốc &lt; 7cm</v>
          </cell>
          <cell r="E766">
            <v>1</v>
          </cell>
          <cell r="F766" t="str">
            <v>cây</v>
          </cell>
          <cell r="G766">
            <v>150000</v>
          </cell>
          <cell r="H766">
            <v>1</v>
          </cell>
          <cell r="J766" t="str">
            <v>ĐG 30.12.2022</v>
          </cell>
        </row>
        <row r="767">
          <cell r="B767" t="str">
            <v>Đào710</v>
          </cell>
          <cell r="C767" t="str">
            <v>Cây đào</v>
          </cell>
          <cell r="D767" t="str">
            <v>7cm ≤ đk gốc &lt; 10cm</v>
          </cell>
          <cell r="E767">
            <v>1</v>
          </cell>
          <cell r="F767" t="str">
            <v>cây</v>
          </cell>
          <cell r="G767">
            <v>200000</v>
          </cell>
          <cell r="H767">
            <v>1</v>
          </cell>
          <cell r="J767" t="str">
            <v>ĐG 30.12.2022</v>
          </cell>
        </row>
        <row r="768">
          <cell r="B768" t="str">
            <v>Đào10+</v>
          </cell>
          <cell r="C768" t="str">
            <v>Cây đào</v>
          </cell>
          <cell r="D768" t="str">
            <v>đk gốc từ 10cm trở lên</v>
          </cell>
          <cell r="E768">
            <v>2</v>
          </cell>
          <cell r="F768" t="str">
            <v>cây</v>
          </cell>
          <cell r="G768">
            <v>420000</v>
          </cell>
          <cell r="H768">
            <v>1</v>
          </cell>
          <cell r="J768" t="str">
            <v>ĐG 30.12.2022</v>
          </cell>
        </row>
        <row r="769">
          <cell r="B769" t="str">
            <v>Đào25vmd</v>
          </cell>
          <cell r="C769" t="str">
            <v>Cây đào vượt mật độ</v>
          </cell>
          <cell r="D769" t="str">
            <v>2cm ≤ đk gốc &lt; 5cm</v>
          </cell>
          <cell r="E769">
            <v>0.5</v>
          </cell>
          <cell r="F769" t="str">
            <v>cây</v>
          </cell>
          <cell r="G769">
            <v>70000</v>
          </cell>
          <cell r="H769">
            <v>0.5</v>
          </cell>
          <cell r="J769" t="str">
            <v>ĐG 30.12.2022</v>
          </cell>
        </row>
        <row r="770">
          <cell r="B770" t="str">
            <v>Đào57vmd</v>
          </cell>
          <cell r="C770" t="str">
            <v>Cây đào vượt mật độ</v>
          </cell>
          <cell r="D770" t="str">
            <v>5cm ≤ đk gốc &lt; 7cm</v>
          </cell>
          <cell r="E770">
            <v>1</v>
          </cell>
          <cell r="F770" t="str">
            <v>cây</v>
          </cell>
          <cell r="G770">
            <v>150000</v>
          </cell>
          <cell r="H770">
            <v>0.5</v>
          </cell>
          <cell r="J770" t="str">
            <v>ĐG 30.12.2022</v>
          </cell>
        </row>
        <row r="771">
          <cell r="B771" t="str">
            <v>Đào710vmd</v>
          </cell>
          <cell r="C771" t="str">
            <v>Cây đào vượt mật độ</v>
          </cell>
          <cell r="D771" t="str">
            <v>7cm ≤ đk gốc &lt; 10cm</v>
          </cell>
          <cell r="E771">
            <v>1</v>
          </cell>
          <cell r="F771" t="str">
            <v>cây</v>
          </cell>
          <cell r="G771">
            <v>200000</v>
          </cell>
          <cell r="H771">
            <v>0.5</v>
          </cell>
          <cell r="J771" t="str">
            <v>ĐG 30.12.2022</v>
          </cell>
        </row>
        <row r="772">
          <cell r="B772" t="str">
            <v>Đào10+vmd</v>
          </cell>
          <cell r="C772" t="str">
            <v>Cây đào vượt mật độ</v>
          </cell>
          <cell r="D772" t="str">
            <v>đk gốc từ 10cm trở lên</v>
          </cell>
          <cell r="E772">
            <v>2</v>
          </cell>
          <cell r="F772" t="str">
            <v>cây</v>
          </cell>
          <cell r="G772">
            <v>420000</v>
          </cell>
          <cell r="H772">
            <v>0.5</v>
          </cell>
          <cell r="J772" t="str">
            <v>ĐG 30.12.2022</v>
          </cell>
        </row>
        <row r="773">
          <cell r="C773" t="str">
            <v>Cây Mai</v>
          </cell>
        </row>
        <row r="774">
          <cell r="B774" t="str">
            <v>Mai01</v>
          </cell>
          <cell r="C774" t="str">
            <v>Cây mai</v>
          </cell>
          <cell r="D774" t="str">
            <v>cây giống</v>
          </cell>
          <cell r="F774" t="str">
            <v>m2</v>
          </cell>
          <cell r="G774">
            <v>30000</v>
          </cell>
          <cell r="H774">
            <v>1</v>
          </cell>
          <cell r="J774" t="str">
            <v>ĐG 12.2021</v>
          </cell>
        </row>
        <row r="775">
          <cell r="B775" t="str">
            <v>Mai25</v>
          </cell>
          <cell r="C775" t="str">
            <v>Cây mai</v>
          </cell>
          <cell r="D775" t="str">
            <v>2cm ≤ đk gốc &lt; 5cm</v>
          </cell>
          <cell r="E775">
            <v>0.5</v>
          </cell>
          <cell r="F775" t="str">
            <v>cây</v>
          </cell>
          <cell r="G775">
            <v>70000</v>
          </cell>
          <cell r="H775">
            <v>1</v>
          </cell>
          <cell r="J775" t="str">
            <v>ĐG 30.12.2022</v>
          </cell>
        </row>
        <row r="776">
          <cell r="B776" t="str">
            <v>Mai57</v>
          </cell>
          <cell r="C776" t="str">
            <v>Cây mai</v>
          </cell>
          <cell r="D776" t="str">
            <v>5cm ≤ đk gốc &lt; 7cm</v>
          </cell>
          <cell r="E776">
            <v>1</v>
          </cell>
          <cell r="F776" t="str">
            <v>cây</v>
          </cell>
          <cell r="G776">
            <v>150000</v>
          </cell>
          <cell r="H776">
            <v>1</v>
          </cell>
          <cell r="J776" t="str">
            <v>ĐG 30.12.2022</v>
          </cell>
        </row>
        <row r="777">
          <cell r="B777" t="str">
            <v>Mai710</v>
          </cell>
          <cell r="C777" t="str">
            <v>Cây mai</v>
          </cell>
          <cell r="D777" t="str">
            <v>7cm ≤ đk gốc &lt; 10cm</v>
          </cell>
          <cell r="E777">
            <v>1</v>
          </cell>
          <cell r="F777" t="str">
            <v>cây</v>
          </cell>
          <cell r="G777">
            <v>200000</v>
          </cell>
          <cell r="H777">
            <v>1</v>
          </cell>
          <cell r="J777" t="str">
            <v>ĐG 30.12.2022</v>
          </cell>
        </row>
        <row r="778">
          <cell r="B778" t="str">
            <v>Mai10+</v>
          </cell>
          <cell r="C778" t="str">
            <v>Cây mai</v>
          </cell>
          <cell r="D778" t="str">
            <v>đk gốc từ 10cm trở lên</v>
          </cell>
          <cell r="E778">
            <v>2</v>
          </cell>
          <cell r="F778" t="str">
            <v>cây</v>
          </cell>
          <cell r="G778">
            <v>420000</v>
          </cell>
          <cell r="H778">
            <v>1</v>
          </cell>
          <cell r="J778" t="str">
            <v>ĐG 30.12.2022</v>
          </cell>
        </row>
        <row r="779">
          <cell r="B779" t="str">
            <v>Mai25vmd</v>
          </cell>
          <cell r="C779" t="str">
            <v>Cây mai vượt mật độ</v>
          </cell>
          <cell r="D779" t="str">
            <v>2cm ≤ đk gốc &lt; 5cm</v>
          </cell>
          <cell r="E779">
            <v>0.5</v>
          </cell>
          <cell r="F779" t="str">
            <v>cây</v>
          </cell>
          <cell r="G779">
            <v>70000</v>
          </cell>
          <cell r="H779">
            <v>0.5</v>
          </cell>
          <cell r="J779" t="str">
            <v>ĐG 30.12.2022</v>
          </cell>
        </row>
        <row r="780">
          <cell r="B780" t="str">
            <v>Mai57vmd</v>
          </cell>
          <cell r="C780" t="str">
            <v>Cây mai vượt mật độ</v>
          </cell>
          <cell r="D780" t="str">
            <v>5cm ≤ đk gốc &lt; 7cm</v>
          </cell>
          <cell r="E780">
            <v>1</v>
          </cell>
          <cell r="F780" t="str">
            <v>cây</v>
          </cell>
          <cell r="G780">
            <v>150000</v>
          </cell>
          <cell r="H780">
            <v>0.5</v>
          </cell>
          <cell r="J780" t="str">
            <v>ĐG 30.12.2022</v>
          </cell>
        </row>
        <row r="781">
          <cell r="B781" t="str">
            <v>Mai710vmd</v>
          </cell>
          <cell r="C781" t="str">
            <v>Cây mai vượt mật độ</v>
          </cell>
          <cell r="D781" t="str">
            <v>7cm ≤ đk gốc &lt; 10cm</v>
          </cell>
          <cell r="E781">
            <v>1</v>
          </cell>
          <cell r="F781" t="str">
            <v>cây</v>
          </cell>
          <cell r="G781">
            <v>200000</v>
          </cell>
          <cell r="H781">
            <v>0.5</v>
          </cell>
          <cell r="J781" t="str">
            <v>ĐG 30.12.2022</v>
          </cell>
        </row>
        <row r="782">
          <cell r="B782" t="str">
            <v>Mai10+vmd</v>
          </cell>
          <cell r="C782" t="str">
            <v>Cây mai vượt mật độ</v>
          </cell>
          <cell r="D782" t="str">
            <v>đk gốc từ 10cm trở lên</v>
          </cell>
          <cell r="E782">
            <v>2</v>
          </cell>
          <cell r="F782" t="str">
            <v>cây</v>
          </cell>
          <cell r="G782">
            <v>420000</v>
          </cell>
          <cell r="H782">
            <v>0.5</v>
          </cell>
          <cell r="J782" t="str">
            <v>ĐG 30.12.2022</v>
          </cell>
        </row>
        <row r="783">
          <cell r="B783" t="str">
            <v>Mai25mt</v>
          </cell>
          <cell r="C783" t="str">
            <v>Cây mai mới trồng</v>
          </cell>
          <cell r="D783" t="str">
            <v>2cm ≤ đk gốc &lt; 5cm</v>
          </cell>
          <cell r="E783">
            <v>0.5</v>
          </cell>
          <cell r="F783" t="str">
            <v>cây</v>
          </cell>
          <cell r="G783">
            <v>15000</v>
          </cell>
          <cell r="H783">
            <v>1</v>
          </cell>
          <cell r="J783" t="str">
            <v>ĐG 30.12.2022</v>
          </cell>
        </row>
        <row r="784">
          <cell r="C784" t="str">
            <v>Cây Mộc</v>
          </cell>
        </row>
        <row r="785">
          <cell r="B785" t="str">
            <v>Mộc01</v>
          </cell>
          <cell r="C785" t="str">
            <v>Cây mộc</v>
          </cell>
          <cell r="D785" t="str">
            <v>cây giống</v>
          </cell>
          <cell r="F785" t="str">
            <v>m2</v>
          </cell>
          <cell r="G785">
            <v>30000</v>
          </cell>
          <cell r="H785">
            <v>1</v>
          </cell>
          <cell r="J785" t="str">
            <v>ĐG 30.12.2022</v>
          </cell>
        </row>
        <row r="786">
          <cell r="B786" t="str">
            <v>Mộc02</v>
          </cell>
          <cell r="C786" t="str">
            <v>Cây mộc</v>
          </cell>
          <cell r="D786" t="str">
            <v>đk gốc &lt; 2cm</v>
          </cell>
          <cell r="F786" t="str">
            <v>m2</v>
          </cell>
          <cell r="G786">
            <v>40000</v>
          </cell>
          <cell r="H786">
            <v>1</v>
          </cell>
        </row>
        <row r="787">
          <cell r="B787" t="str">
            <v>Mộc25</v>
          </cell>
          <cell r="C787" t="str">
            <v>Cây mộc</v>
          </cell>
          <cell r="D787" t="str">
            <v>2cm ≤ đk gốc &lt; 5cm</v>
          </cell>
          <cell r="E787">
            <v>0.5</v>
          </cell>
          <cell r="F787" t="str">
            <v>cây</v>
          </cell>
          <cell r="G787">
            <v>70000</v>
          </cell>
          <cell r="H787">
            <v>1</v>
          </cell>
          <cell r="J787" t="str">
            <v>ĐG 30.12.2022</v>
          </cell>
        </row>
        <row r="788">
          <cell r="B788" t="str">
            <v>Mộc57</v>
          </cell>
          <cell r="C788" t="str">
            <v>Cây mộc</v>
          </cell>
          <cell r="D788" t="str">
            <v>5cm ≤ đk gốc &lt; 7cm</v>
          </cell>
          <cell r="E788">
            <v>1</v>
          </cell>
          <cell r="F788" t="str">
            <v>cây</v>
          </cell>
          <cell r="G788">
            <v>150000</v>
          </cell>
          <cell r="H788">
            <v>1</v>
          </cell>
          <cell r="J788" t="str">
            <v>ĐG 30.12.2022</v>
          </cell>
        </row>
        <row r="789">
          <cell r="B789" t="str">
            <v>Mộc710</v>
          </cell>
          <cell r="C789" t="str">
            <v>Cây mộc</v>
          </cell>
          <cell r="D789" t="str">
            <v>7cm ≤ đk gốc &lt; 10cm</v>
          </cell>
          <cell r="E789">
            <v>1</v>
          </cell>
          <cell r="F789" t="str">
            <v>cây</v>
          </cell>
          <cell r="G789">
            <v>200000</v>
          </cell>
          <cell r="H789">
            <v>1</v>
          </cell>
          <cell r="J789" t="str">
            <v>ĐG 30.12.2022</v>
          </cell>
        </row>
        <row r="790">
          <cell r="B790" t="str">
            <v>Mộc10+</v>
          </cell>
          <cell r="C790" t="str">
            <v>Cây mộc</v>
          </cell>
          <cell r="D790" t="str">
            <v>đk gốc từ 10cm trở lên</v>
          </cell>
          <cell r="E790">
            <v>2</v>
          </cell>
          <cell r="F790" t="str">
            <v>cây</v>
          </cell>
          <cell r="G790">
            <v>420000</v>
          </cell>
          <cell r="H790">
            <v>1</v>
          </cell>
          <cell r="J790" t="str">
            <v>ĐG 30.12.2022</v>
          </cell>
        </row>
        <row r="791">
          <cell r="B791" t="str">
            <v>Mộc01vmd</v>
          </cell>
          <cell r="C791" t="str">
            <v>Cây mộc vượt mật độ</v>
          </cell>
          <cell r="D791" t="str">
            <v>cây giống</v>
          </cell>
          <cell r="F791" t="str">
            <v>m2</v>
          </cell>
          <cell r="G791">
            <v>30000</v>
          </cell>
          <cell r="H791">
            <v>0.5</v>
          </cell>
          <cell r="J791" t="str">
            <v>ĐG 30.12.2022</v>
          </cell>
        </row>
        <row r="792">
          <cell r="B792" t="str">
            <v>Mộc25vmd</v>
          </cell>
          <cell r="C792" t="str">
            <v>Cây mộc vượt mật độ</v>
          </cell>
          <cell r="D792" t="str">
            <v>2cm ≤ đk gốc &lt; 5cm</v>
          </cell>
          <cell r="E792">
            <v>0.5</v>
          </cell>
          <cell r="F792" t="str">
            <v>cây</v>
          </cell>
          <cell r="G792">
            <v>70000</v>
          </cell>
          <cell r="H792">
            <v>0.5</v>
          </cell>
          <cell r="J792" t="str">
            <v>ĐG 30.12.2022</v>
          </cell>
        </row>
        <row r="793">
          <cell r="B793" t="str">
            <v>Mộc57vmd</v>
          </cell>
          <cell r="C793" t="str">
            <v>Cây mộc vượt mật độ</v>
          </cell>
          <cell r="D793" t="str">
            <v>5cm ≤ đk gốc &lt; 7cm</v>
          </cell>
          <cell r="E793">
            <v>1</v>
          </cell>
          <cell r="F793" t="str">
            <v>cây</v>
          </cell>
          <cell r="G793">
            <v>150000</v>
          </cell>
          <cell r="H793">
            <v>0.5</v>
          </cell>
          <cell r="J793" t="str">
            <v>ĐG 30.12.2022</v>
          </cell>
        </row>
        <row r="794">
          <cell r="B794" t="str">
            <v>Mộc710vmd</v>
          </cell>
          <cell r="C794" t="str">
            <v>Cây mộc vượt mật độ</v>
          </cell>
          <cell r="D794" t="str">
            <v>7cm ≤ đk gốc &lt; 10cm</v>
          </cell>
          <cell r="E794">
            <v>1</v>
          </cell>
          <cell r="F794" t="str">
            <v>cây</v>
          </cell>
          <cell r="G794">
            <v>200000</v>
          </cell>
          <cell r="H794">
            <v>0.5</v>
          </cell>
          <cell r="J794" t="str">
            <v>ĐG 30.12.2022</v>
          </cell>
        </row>
        <row r="795">
          <cell r="B795" t="str">
            <v>Mộc10+vmd</v>
          </cell>
          <cell r="C795" t="str">
            <v>Cây mộc vượt mật độ</v>
          </cell>
          <cell r="D795" t="str">
            <v>đk gốc từ 10cm trở lên</v>
          </cell>
          <cell r="E795">
            <v>2</v>
          </cell>
          <cell r="F795" t="str">
            <v>cây</v>
          </cell>
          <cell r="G795">
            <v>420000</v>
          </cell>
          <cell r="H795">
            <v>0.5</v>
          </cell>
          <cell r="J795" t="str">
            <v>ĐG 30.12.2022</v>
          </cell>
        </row>
        <row r="796">
          <cell r="C796" t="str">
            <v>Cây hoa Ban</v>
          </cell>
        </row>
        <row r="797">
          <cell r="B797" t="str">
            <v>Ban05</v>
          </cell>
          <cell r="C797" t="str">
            <v>Cây hoa Ban</v>
          </cell>
          <cell r="D797" t="str">
            <v>đk gốc &lt; 5cm</v>
          </cell>
          <cell r="E797">
            <v>1</v>
          </cell>
          <cell r="F797" t="str">
            <v>cây</v>
          </cell>
          <cell r="G797">
            <v>80000</v>
          </cell>
          <cell r="H797">
            <v>1</v>
          </cell>
          <cell r="J797" t="str">
            <v>ĐG 30.12.2022</v>
          </cell>
        </row>
        <row r="798">
          <cell r="B798" t="str">
            <v>Ban57</v>
          </cell>
          <cell r="C798" t="str">
            <v>Cây hoa Ban</v>
          </cell>
          <cell r="D798" t="str">
            <v>5cm ≤ đk gốc &lt; 7cm</v>
          </cell>
          <cell r="E798">
            <v>1</v>
          </cell>
          <cell r="F798" t="str">
            <v>cây</v>
          </cell>
          <cell r="G798">
            <v>100000</v>
          </cell>
          <cell r="H798">
            <v>1</v>
          </cell>
          <cell r="J798" t="str">
            <v>ĐG 30.12.2022</v>
          </cell>
        </row>
        <row r="799">
          <cell r="B799" t="str">
            <v>Ban710</v>
          </cell>
          <cell r="C799" t="str">
            <v>Cây hoa Ban</v>
          </cell>
          <cell r="D799" t="str">
            <v>7cm ≤ đk gốc &lt; 10cm</v>
          </cell>
          <cell r="E799">
            <v>1.5</v>
          </cell>
          <cell r="F799" t="str">
            <v>cây</v>
          </cell>
          <cell r="G799">
            <v>160000</v>
          </cell>
          <cell r="H799">
            <v>1</v>
          </cell>
          <cell r="J799" t="str">
            <v>ĐG 30.12.2022</v>
          </cell>
        </row>
        <row r="800">
          <cell r="B800" t="str">
            <v>Ban1015</v>
          </cell>
          <cell r="C800" t="str">
            <v>Cây hoa Ban</v>
          </cell>
          <cell r="D800" t="str">
            <v>10cm ≤ đk gốc &lt; 15cm</v>
          </cell>
          <cell r="E800">
            <v>2</v>
          </cell>
          <cell r="F800" t="str">
            <v>cây</v>
          </cell>
          <cell r="G800">
            <v>280000</v>
          </cell>
          <cell r="H800">
            <v>1</v>
          </cell>
          <cell r="J800" t="str">
            <v>ĐG 30.12.2022</v>
          </cell>
        </row>
        <row r="801">
          <cell r="B801" t="str">
            <v>Ban1520</v>
          </cell>
          <cell r="C801" t="str">
            <v>Cây hoa Ban</v>
          </cell>
          <cell r="D801" t="str">
            <v>15cm ≤ đk gốc &lt; 20cm</v>
          </cell>
          <cell r="E801">
            <v>2.5</v>
          </cell>
          <cell r="F801" t="str">
            <v>cây</v>
          </cell>
          <cell r="G801">
            <v>400000</v>
          </cell>
          <cell r="H801">
            <v>1</v>
          </cell>
          <cell r="J801" t="str">
            <v>ĐG 30.12.2022</v>
          </cell>
        </row>
        <row r="802">
          <cell r="B802" t="str">
            <v>Ban20+</v>
          </cell>
          <cell r="C802" t="str">
            <v>Cây hoa Ban</v>
          </cell>
          <cell r="D802" t="str">
            <v>đk gốc từ 20cm trở lên</v>
          </cell>
          <cell r="E802">
            <v>3</v>
          </cell>
          <cell r="F802" t="str">
            <v>cây</v>
          </cell>
          <cell r="G802">
            <v>520000</v>
          </cell>
          <cell r="H802">
            <v>1</v>
          </cell>
          <cell r="J802" t="str">
            <v>ĐG 30.12.2022</v>
          </cell>
        </row>
        <row r="803">
          <cell r="B803" t="str">
            <v>Ban05vmd</v>
          </cell>
          <cell r="C803" t="str">
            <v>Cây hoa Ban vượt mật độ</v>
          </cell>
          <cell r="D803" t="str">
            <v>đk gốc &lt; 5cm</v>
          </cell>
          <cell r="E803">
            <v>1</v>
          </cell>
          <cell r="F803" t="str">
            <v>cây</v>
          </cell>
          <cell r="G803">
            <v>80000</v>
          </cell>
          <cell r="H803">
            <v>0.5</v>
          </cell>
          <cell r="J803" t="str">
            <v>ĐG 30.12.2022</v>
          </cell>
        </row>
        <row r="804">
          <cell r="B804" t="str">
            <v>Ban57vmd</v>
          </cell>
          <cell r="C804" t="str">
            <v>Cây hoa Ban vượt mật độ</v>
          </cell>
          <cell r="D804" t="str">
            <v>5cm ≤ đk gốc &lt; 7cm</v>
          </cell>
          <cell r="E804">
            <v>1</v>
          </cell>
          <cell r="F804" t="str">
            <v>cây</v>
          </cell>
          <cell r="G804">
            <v>100000</v>
          </cell>
          <cell r="H804">
            <v>0.5</v>
          </cell>
          <cell r="J804" t="str">
            <v>ĐG 30.12.2022</v>
          </cell>
        </row>
        <row r="805">
          <cell r="B805" t="str">
            <v>Ban710vmd</v>
          </cell>
          <cell r="C805" t="str">
            <v>Cây hoa Ban vượt mật độ</v>
          </cell>
          <cell r="D805" t="str">
            <v>7cm ≤ đk gốc &lt; 10cm</v>
          </cell>
          <cell r="E805">
            <v>1.5</v>
          </cell>
          <cell r="F805" t="str">
            <v>cây</v>
          </cell>
          <cell r="G805">
            <v>160000</v>
          </cell>
          <cell r="H805">
            <v>0.5</v>
          </cell>
          <cell r="J805" t="str">
            <v>ĐG 30.12.2022</v>
          </cell>
        </row>
        <row r="806">
          <cell r="B806" t="str">
            <v>Ban1015vmd</v>
          </cell>
          <cell r="C806" t="str">
            <v>Cây hoa Ban vượt mật độ</v>
          </cell>
          <cell r="D806" t="str">
            <v>10cm ≤ đk gốc &lt; 15cm</v>
          </cell>
          <cell r="E806">
            <v>2</v>
          </cell>
          <cell r="F806" t="str">
            <v>cây</v>
          </cell>
          <cell r="G806">
            <v>280000</v>
          </cell>
          <cell r="H806">
            <v>0.5</v>
          </cell>
          <cell r="J806" t="str">
            <v>ĐG 30.12.2022</v>
          </cell>
        </row>
        <row r="807">
          <cell r="B807" t="str">
            <v>Ban1520vmd</v>
          </cell>
          <cell r="C807" t="str">
            <v>Cây hoa Ban vượt mật độ</v>
          </cell>
          <cell r="D807" t="str">
            <v>15cm ≤ đk gốc &lt; 20cm</v>
          </cell>
          <cell r="E807">
            <v>2.5</v>
          </cell>
          <cell r="F807" t="str">
            <v>cây</v>
          </cell>
          <cell r="G807">
            <v>400000</v>
          </cell>
          <cell r="H807">
            <v>0.5</v>
          </cell>
          <cell r="J807" t="str">
            <v>ĐG 30.12.2022</v>
          </cell>
        </row>
        <row r="808">
          <cell r="B808" t="str">
            <v>Ban20+vmd</v>
          </cell>
          <cell r="C808" t="str">
            <v>Cây hoa Ban vượt mật độ</v>
          </cell>
          <cell r="D808" t="str">
            <v>đk gốc từ 20cm trở lên</v>
          </cell>
          <cell r="E808">
            <v>3</v>
          </cell>
          <cell r="F808" t="str">
            <v>cây</v>
          </cell>
          <cell r="G808">
            <v>520000</v>
          </cell>
          <cell r="H808">
            <v>0.5</v>
          </cell>
          <cell r="J808" t="str">
            <v>ĐG 30.12.2022</v>
          </cell>
        </row>
        <row r="809">
          <cell r="C809" t="str">
            <v>Cây Đa</v>
          </cell>
        </row>
        <row r="810">
          <cell r="B810" t="str">
            <v>Đa05</v>
          </cell>
          <cell r="C810" t="str">
            <v>Cây Đa</v>
          </cell>
          <cell r="D810" t="str">
            <v>đk gốc &lt; 5cm</v>
          </cell>
          <cell r="E810">
            <v>1</v>
          </cell>
          <cell r="F810" t="str">
            <v>cây</v>
          </cell>
          <cell r="G810">
            <v>80000</v>
          </cell>
          <cell r="H810">
            <v>1</v>
          </cell>
          <cell r="J810" t="str">
            <v>ĐG 30.12.2022</v>
          </cell>
        </row>
        <row r="811">
          <cell r="B811" t="str">
            <v>Đa57</v>
          </cell>
          <cell r="C811" t="str">
            <v>Cây Đa</v>
          </cell>
          <cell r="D811" t="str">
            <v>5cm ≤ đk gốc &lt; 7cm</v>
          </cell>
          <cell r="E811">
            <v>1</v>
          </cell>
          <cell r="F811" t="str">
            <v>cây</v>
          </cell>
          <cell r="G811">
            <v>100000</v>
          </cell>
          <cell r="H811">
            <v>1</v>
          </cell>
          <cell r="J811" t="str">
            <v>ĐG 30.12.2022</v>
          </cell>
        </row>
        <row r="812">
          <cell r="B812" t="str">
            <v>Đa710</v>
          </cell>
          <cell r="C812" t="str">
            <v>Cây Đa</v>
          </cell>
          <cell r="D812" t="str">
            <v>7cm ≤ đk gốc &lt; 10cm</v>
          </cell>
          <cell r="E812">
            <v>1.5</v>
          </cell>
          <cell r="F812" t="str">
            <v>cây</v>
          </cell>
          <cell r="G812">
            <v>160000</v>
          </cell>
          <cell r="H812">
            <v>1</v>
          </cell>
          <cell r="J812" t="str">
            <v>ĐG 30.12.2022</v>
          </cell>
        </row>
        <row r="813">
          <cell r="B813" t="str">
            <v>Đa1015</v>
          </cell>
          <cell r="C813" t="str">
            <v>Cây Đa</v>
          </cell>
          <cell r="D813" t="str">
            <v>10cm ≤ đk gốc &lt; 15cm</v>
          </cell>
          <cell r="E813">
            <v>2</v>
          </cell>
          <cell r="F813" t="str">
            <v>cây</v>
          </cell>
          <cell r="G813">
            <v>280000</v>
          </cell>
          <cell r="H813">
            <v>1</v>
          </cell>
          <cell r="J813" t="str">
            <v>ĐG 30.12.2022</v>
          </cell>
        </row>
        <row r="814">
          <cell r="B814" t="str">
            <v>Đa1520</v>
          </cell>
          <cell r="C814" t="str">
            <v>Cây Đa</v>
          </cell>
          <cell r="D814" t="str">
            <v>15cm ≤ đk gốc &lt; 20cm</v>
          </cell>
          <cell r="E814">
            <v>2.5</v>
          </cell>
          <cell r="F814" t="str">
            <v>cây</v>
          </cell>
          <cell r="G814">
            <v>400000</v>
          </cell>
          <cell r="H814">
            <v>1</v>
          </cell>
          <cell r="J814" t="str">
            <v>ĐG 30.12.2022</v>
          </cell>
        </row>
        <row r="815">
          <cell r="B815" t="str">
            <v>Đa20+</v>
          </cell>
          <cell r="C815" t="str">
            <v>Cây Đa</v>
          </cell>
          <cell r="D815" t="str">
            <v>đk gốc từ 20cm trở lên</v>
          </cell>
          <cell r="E815">
            <v>3</v>
          </cell>
          <cell r="F815" t="str">
            <v>cây</v>
          </cell>
          <cell r="G815">
            <v>520000</v>
          </cell>
          <cell r="H815">
            <v>1</v>
          </cell>
          <cell r="J815" t="str">
            <v>ĐG 30.12.2022</v>
          </cell>
        </row>
        <row r="816">
          <cell r="B816" t="str">
            <v>Đa05vmd</v>
          </cell>
          <cell r="C816" t="str">
            <v>Cây Đa vượt mật độ</v>
          </cell>
          <cell r="D816" t="str">
            <v>đk gốc &lt; 5cm</v>
          </cell>
          <cell r="E816">
            <v>1</v>
          </cell>
          <cell r="F816" t="str">
            <v>cây</v>
          </cell>
          <cell r="G816">
            <v>80000</v>
          </cell>
          <cell r="H816">
            <v>0.5</v>
          </cell>
          <cell r="J816" t="str">
            <v>ĐG 30.12.2022</v>
          </cell>
        </row>
        <row r="817">
          <cell r="B817" t="str">
            <v>Đa57vmd</v>
          </cell>
          <cell r="C817" t="str">
            <v>Cây Đa vượt mật độ</v>
          </cell>
          <cell r="D817" t="str">
            <v>5cm ≤ đk gốc &lt; 7cm</v>
          </cell>
          <cell r="E817">
            <v>1</v>
          </cell>
          <cell r="F817" t="str">
            <v>cây</v>
          </cell>
          <cell r="G817">
            <v>100000</v>
          </cell>
          <cell r="H817">
            <v>0.5</v>
          </cell>
          <cell r="J817" t="str">
            <v>ĐG 30.12.2022</v>
          </cell>
        </row>
        <row r="818">
          <cell r="B818" t="str">
            <v>Đa710vmd</v>
          </cell>
          <cell r="C818" t="str">
            <v>Cây Đa vượt mật độ</v>
          </cell>
          <cell r="D818" t="str">
            <v>7cm ≤ đk gốc &lt; 10cm</v>
          </cell>
          <cell r="E818">
            <v>1.5</v>
          </cell>
          <cell r="F818" t="str">
            <v>cây</v>
          </cell>
          <cell r="G818">
            <v>160000</v>
          </cell>
          <cell r="H818">
            <v>0.5</v>
          </cell>
          <cell r="J818" t="str">
            <v>ĐG 30.12.2022</v>
          </cell>
        </row>
        <row r="819">
          <cell r="B819" t="str">
            <v>Đa1015vmd</v>
          </cell>
          <cell r="C819" t="str">
            <v>Cây Đa vượt mật độ</v>
          </cell>
          <cell r="D819" t="str">
            <v>10cm ≤ đk gốc &lt; 15cm</v>
          </cell>
          <cell r="E819">
            <v>2</v>
          </cell>
          <cell r="F819" t="str">
            <v>cây</v>
          </cell>
          <cell r="G819">
            <v>280000</v>
          </cell>
          <cell r="H819">
            <v>0.5</v>
          </cell>
          <cell r="J819" t="str">
            <v>ĐG 30.12.2022</v>
          </cell>
        </row>
        <row r="820">
          <cell r="B820" t="str">
            <v>Đa1520vmd</v>
          </cell>
          <cell r="C820" t="str">
            <v>Cây Đa vượt mật độ</v>
          </cell>
          <cell r="D820" t="str">
            <v>15cm ≤ đk gốc &lt; 20cm</v>
          </cell>
          <cell r="E820">
            <v>2.5</v>
          </cell>
          <cell r="F820" t="str">
            <v>cây</v>
          </cell>
          <cell r="G820">
            <v>400000</v>
          </cell>
          <cell r="H820">
            <v>0.5</v>
          </cell>
          <cell r="J820" t="str">
            <v>ĐG 30.12.2022</v>
          </cell>
        </row>
        <row r="821">
          <cell r="B821" t="str">
            <v>Đa20+vmd</v>
          </cell>
          <cell r="C821" t="str">
            <v>Cây Đa vượt mật độ</v>
          </cell>
          <cell r="D821" t="str">
            <v>đk gốc từ 20cm trở lên</v>
          </cell>
          <cell r="E821">
            <v>3</v>
          </cell>
          <cell r="F821" t="str">
            <v>cây</v>
          </cell>
          <cell r="G821">
            <v>520000</v>
          </cell>
          <cell r="H821">
            <v>0.5</v>
          </cell>
          <cell r="J821" t="str">
            <v>ĐG 30.12.2022</v>
          </cell>
        </row>
        <row r="822">
          <cell r="C822" t="str">
            <v>Cây Ngọc lan</v>
          </cell>
        </row>
        <row r="823">
          <cell r="B823" t="str">
            <v>Ngọc lan05</v>
          </cell>
          <cell r="C823" t="str">
            <v>Cây hoa Ngọc lan</v>
          </cell>
          <cell r="D823" t="str">
            <v>đk gốc &lt; 5cm</v>
          </cell>
          <cell r="E823">
            <v>1</v>
          </cell>
          <cell r="F823" t="str">
            <v>cây</v>
          </cell>
          <cell r="G823">
            <v>80000</v>
          </cell>
          <cell r="H823">
            <v>1</v>
          </cell>
          <cell r="J823" t="str">
            <v>ĐG 30.12.2022</v>
          </cell>
        </row>
        <row r="824">
          <cell r="B824" t="str">
            <v>Ngọc lan57</v>
          </cell>
          <cell r="C824" t="str">
            <v>Cây hoa Ngọc lan</v>
          </cell>
          <cell r="D824" t="str">
            <v>5cm ≤ đk gốc &lt; 7cm</v>
          </cell>
          <cell r="E824">
            <v>1</v>
          </cell>
          <cell r="F824" t="str">
            <v>cây</v>
          </cell>
          <cell r="G824">
            <v>100000</v>
          </cell>
          <cell r="H824">
            <v>1</v>
          </cell>
          <cell r="J824" t="str">
            <v>ĐG 30.12.2022</v>
          </cell>
        </row>
        <row r="825">
          <cell r="B825" t="str">
            <v>Ngọc lan710</v>
          </cell>
          <cell r="C825" t="str">
            <v>Cây hoa Ngọc lan</v>
          </cell>
          <cell r="D825" t="str">
            <v>7cm ≤ đk gốc &lt; 10cm</v>
          </cell>
          <cell r="E825">
            <v>1.5</v>
          </cell>
          <cell r="F825" t="str">
            <v>cây</v>
          </cell>
          <cell r="G825">
            <v>160000</v>
          </cell>
          <cell r="H825">
            <v>1</v>
          </cell>
          <cell r="J825" t="str">
            <v>ĐG 30.12.2022</v>
          </cell>
        </row>
        <row r="826">
          <cell r="B826" t="str">
            <v>Ngọc lan1015</v>
          </cell>
          <cell r="C826" t="str">
            <v>Cây hoa Ngọc lan</v>
          </cell>
          <cell r="D826" t="str">
            <v>10cm ≤ đk gốc &lt; 15cm</v>
          </cell>
          <cell r="E826">
            <v>2</v>
          </cell>
          <cell r="F826" t="str">
            <v>cây</v>
          </cell>
          <cell r="G826">
            <v>280000</v>
          </cell>
          <cell r="H826">
            <v>1</v>
          </cell>
          <cell r="J826" t="str">
            <v>ĐG 30.12.2022</v>
          </cell>
        </row>
        <row r="827">
          <cell r="B827" t="str">
            <v>Ngọc lan1520</v>
          </cell>
          <cell r="C827" t="str">
            <v>Cây hoa Ngọc lan</v>
          </cell>
          <cell r="D827" t="str">
            <v>15cm ≤ đk gốc &lt; 20cm</v>
          </cell>
          <cell r="E827">
            <v>2.5</v>
          </cell>
          <cell r="F827" t="str">
            <v>cây</v>
          </cell>
          <cell r="G827">
            <v>400000</v>
          </cell>
          <cell r="H827">
            <v>1</v>
          </cell>
          <cell r="J827" t="str">
            <v>ĐG 30.12.2022</v>
          </cell>
        </row>
        <row r="828">
          <cell r="B828" t="str">
            <v>Ngọc lan20+</v>
          </cell>
          <cell r="C828" t="str">
            <v>Cây hoa Ngọc lan</v>
          </cell>
          <cell r="D828" t="str">
            <v>đk gốc từ 20cm trở lên</v>
          </cell>
          <cell r="E828">
            <v>3</v>
          </cell>
          <cell r="F828" t="str">
            <v>cây</v>
          </cell>
          <cell r="G828">
            <v>520000</v>
          </cell>
          <cell r="H828">
            <v>1</v>
          </cell>
          <cell r="J828" t="str">
            <v>ĐG 30.12.2022</v>
          </cell>
        </row>
        <row r="829">
          <cell r="B829" t="str">
            <v>Ngọc lan05vmd</v>
          </cell>
          <cell r="C829" t="str">
            <v>Cây hoa Ngọc lan vượt mật độ</v>
          </cell>
          <cell r="D829" t="str">
            <v>đk gốc &lt; 5cm</v>
          </cell>
          <cell r="E829">
            <v>1</v>
          </cell>
          <cell r="F829" t="str">
            <v>cây</v>
          </cell>
          <cell r="G829">
            <v>80000</v>
          </cell>
          <cell r="H829">
            <v>0.5</v>
          </cell>
          <cell r="J829" t="str">
            <v>ĐG 30.12.2022</v>
          </cell>
        </row>
        <row r="830">
          <cell r="B830" t="str">
            <v>Ngọc lan57vmd</v>
          </cell>
          <cell r="C830" t="str">
            <v>Cây hoa Ngọc lan vượt mật độ</v>
          </cell>
          <cell r="D830" t="str">
            <v>5cm ≤ đk gốc &lt; 7cm</v>
          </cell>
          <cell r="E830">
            <v>1</v>
          </cell>
          <cell r="F830" t="str">
            <v>cây</v>
          </cell>
          <cell r="G830">
            <v>100000</v>
          </cell>
          <cell r="H830">
            <v>0.5</v>
          </cell>
          <cell r="J830" t="str">
            <v>ĐG 30.12.2022</v>
          </cell>
        </row>
        <row r="831">
          <cell r="B831" t="str">
            <v>Ngọc lan710vmd</v>
          </cell>
          <cell r="C831" t="str">
            <v>Cây hoa Ngọc lan vượt mật độ</v>
          </cell>
          <cell r="D831" t="str">
            <v>7cm ≤ đk gốc &lt; 10cm</v>
          </cell>
          <cell r="E831">
            <v>1.5</v>
          </cell>
          <cell r="F831" t="str">
            <v>cây</v>
          </cell>
          <cell r="G831">
            <v>160000</v>
          </cell>
          <cell r="H831">
            <v>0.5</v>
          </cell>
          <cell r="J831" t="str">
            <v>ĐG 30.12.2022</v>
          </cell>
        </row>
        <row r="832">
          <cell r="B832" t="str">
            <v>Ngọc lan1015vmd</v>
          </cell>
          <cell r="C832" t="str">
            <v>Cây hoa Ngọc lan vượt mật độ</v>
          </cell>
          <cell r="D832" t="str">
            <v>10cm ≤ đk gốc &lt; 15cm</v>
          </cell>
          <cell r="E832">
            <v>2</v>
          </cell>
          <cell r="F832" t="str">
            <v>cây</v>
          </cell>
          <cell r="G832">
            <v>280000</v>
          </cell>
          <cell r="H832">
            <v>0.5</v>
          </cell>
          <cell r="J832" t="str">
            <v>ĐG 30.12.2022</v>
          </cell>
        </row>
        <row r="833">
          <cell r="B833" t="str">
            <v>Ngọc lan1520vmd</v>
          </cell>
          <cell r="C833" t="str">
            <v>Cây hoa Ngọc lan vượt mật độ</v>
          </cell>
          <cell r="D833" t="str">
            <v>15cm ≤ đk gốc &lt; 20cm</v>
          </cell>
          <cell r="E833">
            <v>2.5</v>
          </cell>
          <cell r="F833" t="str">
            <v>cây</v>
          </cell>
          <cell r="G833">
            <v>400000</v>
          </cell>
          <cell r="H833">
            <v>0.5</v>
          </cell>
          <cell r="J833" t="str">
            <v>ĐG 30.12.2022</v>
          </cell>
        </row>
        <row r="834">
          <cell r="B834" t="str">
            <v>Ngọc lan20+vmd</v>
          </cell>
          <cell r="C834" t="str">
            <v>Cây hoa Ngọc lan vượt mật độ</v>
          </cell>
          <cell r="D834" t="str">
            <v>đk gốc từ 20cm trở lên</v>
          </cell>
          <cell r="E834">
            <v>3</v>
          </cell>
          <cell r="F834" t="str">
            <v>cây</v>
          </cell>
          <cell r="G834">
            <v>520000</v>
          </cell>
          <cell r="H834">
            <v>0.5</v>
          </cell>
          <cell r="J834" t="str">
            <v>ĐG 30.12.2022</v>
          </cell>
        </row>
        <row r="835">
          <cell r="C835" t="str">
            <v>Cây Tường vi</v>
          </cell>
        </row>
        <row r="836">
          <cell r="B836" t="str">
            <v>Tườngvi01</v>
          </cell>
          <cell r="C836" t="str">
            <v>Cây tường vi</v>
          </cell>
          <cell r="D836" t="str">
            <v>cây giống</v>
          </cell>
          <cell r="F836" t="str">
            <v>m2</v>
          </cell>
          <cell r="G836">
            <v>33000</v>
          </cell>
          <cell r="H836">
            <v>1</v>
          </cell>
          <cell r="J836" t="str">
            <v>ĐG 30.12.2022</v>
          </cell>
        </row>
        <row r="837">
          <cell r="B837" t="str">
            <v>Tườngvi05</v>
          </cell>
          <cell r="C837" t="str">
            <v>Cây tường vi</v>
          </cell>
          <cell r="D837" t="str">
            <v>đk gốc &lt; 5cm</v>
          </cell>
          <cell r="E837">
            <v>4</v>
          </cell>
          <cell r="F837" t="str">
            <v>cây</v>
          </cell>
          <cell r="G837">
            <v>33000</v>
          </cell>
          <cell r="H837">
            <v>1</v>
          </cell>
          <cell r="J837" t="str">
            <v>ĐG 30.12.2022</v>
          </cell>
        </row>
        <row r="838">
          <cell r="B838" t="str">
            <v>Tườngvi510</v>
          </cell>
          <cell r="C838" t="str">
            <v>Cây tường vi</v>
          </cell>
          <cell r="D838" t="str">
            <v>5cm ≤ đk gốc ≤ 10cm</v>
          </cell>
          <cell r="E838">
            <v>4</v>
          </cell>
          <cell r="F838" t="str">
            <v>cây</v>
          </cell>
          <cell r="G838">
            <v>55000</v>
          </cell>
          <cell r="H838">
            <v>1</v>
          </cell>
          <cell r="J838" t="str">
            <v>ĐG 30.12.2022</v>
          </cell>
        </row>
        <row r="839">
          <cell r="B839" t="str">
            <v>Tườngvi1113</v>
          </cell>
          <cell r="C839" t="str">
            <v>Cây tường vi</v>
          </cell>
          <cell r="D839" t="str">
            <v>11cm ≤ đk gốc &lt; 13cm</v>
          </cell>
          <cell r="E839">
            <v>5</v>
          </cell>
          <cell r="F839" t="str">
            <v>cây</v>
          </cell>
          <cell r="G839">
            <v>80000</v>
          </cell>
          <cell r="H839">
            <v>1</v>
          </cell>
          <cell r="J839" t="str">
            <v>ĐG 30.12.2022</v>
          </cell>
        </row>
        <row r="840">
          <cell r="B840" t="str">
            <v>Tườngvi1320</v>
          </cell>
          <cell r="C840" t="str">
            <v>Cây tường vi</v>
          </cell>
          <cell r="D840" t="str">
            <v>13cm ≤ đk gốc &lt; 20cm</v>
          </cell>
          <cell r="E840">
            <v>5</v>
          </cell>
          <cell r="F840" t="str">
            <v>cây</v>
          </cell>
          <cell r="G840">
            <v>100000</v>
          </cell>
          <cell r="H840">
            <v>1</v>
          </cell>
          <cell r="J840" t="str">
            <v>ĐG 30.12.2022</v>
          </cell>
        </row>
        <row r="841">
          <cell r="B841" t="str">
            <v>Tườngvi2040</v>
          </cell>
          <cell r="C841" t="str">
            <v>Cây tường vi</v>
          </cell>
          <cell r="D841" t="str">
            <v>20cm ≤ đk gốc &lt; 40cm</v>
          </cell>
          <cell r="E841">
            <v>6.6666666666666696</v>
          </cell>
          <cell r="F841" t="str">
            <v>cây</v>
          </cell>
          <cell r="G841">
            <v>200000</v>
          </cell>
          <cell r="H841">
            <v>1</v>
          </cell>
          <cell r="J841" t="str">
            <v>ĐG 30.12.2022</v>
          </cell>
        </row>
        <row r="842">
          <cell r="B842" t="str">
            <v>Tườngvi40+</v>
          </cell>
          <cell r="C842" t="str">
            <v>Cây tường vi</v>
          </cell>
          <cell r="D842" t="str">
            <v>đk gốc từ trên 40cm</v>
          </cell>
          <cell r="E842">
            <v>6.6666666666666696</v>
          </cell>
          <cell r="F842" t="str">
            <v>cây</v>
          </cell>
          <cell r="G842">
            <v>220000</v>
          </cell>
          <cell r="H842">
            <v>1</v>
          </cell>
          <cell r="J842" t="str">
            <v>ĐG 30.12.2022</v>
          </cell>
        </row>
        <row r="843">
          <cell r="B843" t="str">
            <v>Tườngvi01vmd</v>
          </cell>
          <cell r="C843" t="str">
            <v>Cây tường vi vượt mật độ</v>
          </cell>
          <cell r="D843" t="str">
            <v>cây giống</v>
          </cell>
          <cell r="F843" t="str">
            <v>m2</v>
          </cell>
          <cell r="G843">
            <v>33000</v>
          </cell>
          <cell r="H843">
            <v>0.5</v>
          </cell>
          <cell r="J843" t="str">
            <v>ĐG 30.12.2022</v>
          </cell>
        </row>
        <row r="844">
          <cell r="B844" t="str">
            <v>Tườngvi05vmd</v>
          </cell>
          <cell r="C844" t="str">
            <v>Cây tường vi vượt mật độ</v>
          </cell>
          <cell r="D844" t="str">
            <v>đk gốc &lt; 5cm</v>
          </cell>
          <cell r="E844">
            <v>4</v>
          </cell>
          <cell r="F844" t="str">
            <v>cây</v>
          </cell>
          <cell r="G844">
            <v>33000</v>
          </cell>
          <cell r="H844">
            <v>0.5</v>
          </cell>
          <cell r="J844" t="str">
            <v>ĐG 30.12.2022</v>
          </cell>
        </row>
        <row r="845">
          <cell r="B845" t="str">
            <v>Tườngvi510vmd</v>
          </cell>
          <cell r="C845" t="str">
            <v>Cây tường vi vượt mật độ</v>
          </cell>
          <cell r="D845" t="str">
            <v>5cm ≤ đk gốc ≤ 10cm</v>
          </cell>
          <cell r="E845">
            <v>4</v>
          </cell>
          <cell r="F845" t="str">
            <v>cây</v>
          </cell>
          <cell r="G845">
            <v>55000</v>
          </cell>
          <cell r="H845">
            <v>0.5</v>
          </cell>
          <cell r="J845" t="str">
            <v>ĐG 30.12.2022</v>
          </cell>
        </row>
        <row r="846">
          <cell r="B846" t="str">
            <v>Tườngvi1113vmd</v>
          </cell>
          <cell r="C846" t="str">
            <v>Cây tường vi vượt mật độ</v>
          </cell>
          <cell r="D846" t="str">
            <v>11cm ≤ đk gốc &lt; 13cm</v>
          </cell>
          <cell r="E846">
            <v>5</v>
          </cell>
          <cell r="F846" t="str">
            <v>cây</v>
          </cell>
          <cell r="G846">
            <v>80000</v>
          </cell>
          <cell r="H846">
            <v>0.5</v>
          </cell>
          <cell r="J846" t="str">
            <v>ĐG 30.12.2022</v>
          </cell>
        </row>
        <row r="847">
          <cell r="B847" t="str">
            <v>Tườngvi1320vmd</v>
          </cell>
          <cell r="C847" t="str">
            <v>Cây tường vi vượt mật độ</v>
          </cell>
          <cell r="D847" t="str">
            <v>13cm ≤ đk gốc &lt; 20cm</v>
          </cell>
          <cell r="E847">
            <v>5</v>
          </cell>
          <cell r="F847" t="str">
            <v>cây</v>
          </cell>
          <cell r="G847">
            <v>100000</v>
          </cell>
          <cell r="H847">
            <v>0.5</v>
          </cell>
          <cell r="J847" t="str">
            <v>ĐG 30.12.2022</v>
          </cell>
        </row>
        <row r="848">
          <cell r="B848" t="str">
            <v>Tườngvi2040vmd</v>
          </cell>
          <cell r="C848" t="str">
            <v>Cây tường vi vượt mật độ</v>
          </cell>
          <cell r="D848" t="str">
            <v>20cm ≤ đk gốc &lt; 40cm</v>
          </cell>
          <cell r="E848">
            <v>6.6666666666666696</v>
          </cell>
          <cell r="F848" t="str">
            <v>cây</v>
          </cell>
          <cell r="G848">
            <v>200000</v>
          </cell>
          <cell r="H848">
            <v>0.5</v>
          </cell>
          <cell r="J848" t="str">
            <v>ĐG 30.12.2022</v>
          </cell>
        </row>
        <row r="849">
          <cell r="B849" t="str">
            <v>Tườngvi40+vmd</v>
          </cell>
          <cell r="C849" t="str">
            <v>Cây tường vi vượt mật độ</v>
          </cell>
          <cell r="D849" t="str">
            <v>đk gốc từ trên 40cm</v>
          </cell>
          <cell r="E849">
            <v>6.6666666666666696</v>
          </cell>
          <cell r="F849" t="str">
            <v>cây</v>
          </cell>
          <cell r="G849">
            <v>220000</v>
          </cell>
          <cell r="H849">
            <v>0.5</v>
          </cell>
          <cell r="J849" t="str">
            <v>ĐG 30.12.2022</v>
          </cell>
        </row>
        <row r="850">
          <cell r="B850" t="str">
            <v>Tườngvi05#</v>
          </cell>
          <cell r="C850" t="str">
            <v>Cây tường vi</v>
          </cell>
          <cell r="D850" t="str">
            <v>đk gốc &lt; 5cm</v>
          </cell>
          <cell r="E850">
            <v>4</v>
          </cell>
          <cell r="F850" t="str">
            <v>cây</v>
          </cell>
          <cell r="G850">
            <v>33000</v>
          </cell>
          <cell r="H850">
            <v>0.3</v>
          </cell>
          <cell r="J850" t="str">
            <v>ĐG 30.12.2022</v>
          </cell>
        </row>
        <row r="851">
          <cell r="C851" t="str">
            <v>Cây Lựu</v>
          </cell>
        </row>
        <row r="852">
          <cell r="B852" t="str">
            <v>Tườngvi01</v>
          </cell>
          <cell r="C852" t="str">
            <v>Cây Lựu</v>
          </cell>
          <cell r="D852" t="str">
            <v>cây giống</v>
          </cell>
          <cell r="F852" t="str">
            <v>m2</v>
          </cell>
          <cell r="G852">
            <v>33000</v>
          </cell>
          <cell r="H852">
            <v>1</v>
          </cell>
          <cell r="J852" t="str">
            <v>ĐG 30.12.2022</v>
          </cell>
        </row>
        <row r="853">
          <cell r="B853" t="str">
            <v>Tườngvi05</v>
          </cell>
          <cell r="C853" t="str">
            <v>Cây Lựu</v>
          </cell>
          <cell r="D853" t="str">
            <v>đk gốc &lt; 5cm</v>
          </cell>
          <cell r="E853">
            <v>4</v>
          </cell>
          <cell r="F853" t="str">
            <v>cây</v>
          </cell>
          <cell r="G853">
            <v>33000</v>
          </cell>
          <cell r="H853">
            <v>1</v>
          </cell>
          <cell r="J853" t="str">
            <v>ĐG 30.12.2022</v>
          </cell>
        </row>
        <row r="854">
          <cell r="B854" t="str">
            <v>Tườngvi510</v>
          </cell>
          <cell r="C854" t="str">
            <v>Cây Lựu</v>
          </cell>
          <cell r="D854" t="str">
            <v>5cm ≤ đk gốc ≤ 10cm</v>
          </cell>
          <cell r="E854">
            <v>4</v>
          </cell>
          <cell r="F854" t="str">
            <v>cây</v>
          </cell>
          <cell r="G854">
            <v>55000</v>
          </cell>
          <cell r="H854">
            <v>1</v>
          </cell>
          <cell r="J854" t="str">
            <v>ĐG 30.12.2022</v>
          </cell>
        </row>
        <row r="855">
          <cell r="B855" t="str">
            <v>Tườngvi1113</v>
          </cell>
          <cell r="C855" t="str">
            <v>Cây Lựu</v>
          </cell>
          <cell r="D855" t="str">
            <v>11cm ≤ đk gốc &lt; 13cm</v>
          </cell>
          <cell r="E855">
            <v>5</v>
          </cell>
          <cell r="F855" t="str">
            <v>cây</v>
          </cell>
          <cell r="G855">
            <v>80000</v>
          </cell>
          <cell r="H855">
            <v>1</v>
          </cell>
          <cell r="J855" t="str">
            <v>ĐG 30.12.2022</v>
          </cell>
        </row>
        <row r="856">
          <cell r="B856" t="str">
            <v>Tườngvi1320</v>
          </cell>
          <cell r="C856" t="str">
            <v>Cây Lựu</v>
          </cell>
          <cell r="D856" t="str">
            <v>13cm ≤ đk gốc &lt; 20cm</v>
          </cell>
          <cell r="E856">
            <v>5</v>
          </cell>
          <cell r="F856" t="str">
            <v>cây</v>
          </cell>
          <cell r="G856">
            <v>100000</v>
          </cell>
          <cell r="H856">
            <v>1</v>
          </cell>
          <cell r="J856" t="str">
            <v>ĐG 30.12.2022</v>
          </cell>
        </row>
        <row r="857">
          <cell r="B857" t="str">
            <v>Tườngvi2040</v>
          </cell>
          <cell r="C857" t="str">
            <v>Cây Lựu</v>
          </cell>
          <cell r="D857" t="str">
            <v>20cm ≤ đk gốc &lt; 40cm</v>
          </cell>
          <cell r="E857">
            <v>6.6666666666666696</v>
          </cell>
          <cell r="F857" t="str">
            <v>cây</v>
          </cell>
          <cell r="G857">
            <v>200000</v>
          </cell>
          <cell r="H857">
            <v>1</v>
          </cell>
          <cell r="J857" t="str">
            <v>ĐG 30.12.2022</v>
          </cell>
        </row>
        <row r="858">
          <cell r="B858" t="str">
            <v>Tườngvi40+</v>
          </cell>
          <cell r="C858" t="str">
            <v>Cây Lựu</v>
          </cell>
          <cell r="D858" t="str">
            <v>đk gốc từ trên 40cm</v>
          </cell>
          <cell r="E858">
            <v>6.6666666666666696</v>
          </cell>
          <cell r="F858" t="str">
            <v>cây</v>
          </cell>
          <cell r="G858">
            <v>220000</v>
          </cell>
          <cell r="H858">
            <v>1</v>
          </cell>
          <cell r="J858" t="str">
            <v>ĐG 30.12.2022</v>
          </cell>
        </row>
        <row r="859">
          <cell r="B859" t="str">
            <v>Tườngvi01vmd</v>
          </cell>
          <cell r="C859" t="str">
            <v>Cây Lựu vượt mật độ</v>
          </cell>
          <cell r="D859" t="str">
            <v>cây giống</v>
          </cell>
          <cell r="F859" t="str">
            <v>m2</v>
          </cell>
          <cell r="G859">
            <v>33000</v>
          </cell>
          <cell r="H859">
            <v>0.5</v>
          </cell>
          <cell r="J859" t="str">
            <v>ĐG 30.12.2022</v>
          </cell>
        </row>
        <row r="860">
          <cell r="B860" t="str">
            <v>Tườngvi05vmd</v>
          </cell>
          <cell r="C860" t="str">
            <v>Cây Lựu vượt mật độ</v>
          </cell>
          <cell r="D860" t="str">
            <v>đk gốc &lt; 5cm</v>
          </cell>
          <cell r="E860">
            <v>4</v>
          </cell>
          <cell r="F860" t="str">
            <v>cây</v>
          </cell>
          <cell r="G860">
            <v>33000</v>
          </cell>
          <cell r="H860">
            <v>0.5</v>
          </cell>
          <cell r="J860" t="str">
            <v>ĐG 30.12.2022</v>
          </cell>
        </row>
        <row r="861">
          <cell r="B861" t="str">
            <v>Tườngvi510vmd</v>
          </cell>
          <cell r="C861" t="str">
            <v>Cây Lựu vượt mật độ</v>
          </cell>
          <cell r="D861" t="str">
            <v>5cm ≤ đk gốc ≤ 10cm</v>
          </cell>
          <cell r="E861">
            <v>4</v>
          </cell>
          <cell r="F861" t="str">
            <v>cây</v>
          </cell>
          <cell r="G861">
            <v>55000</v>
          </cell>
          <cell r="H861">
            <v>0.5</v>
          </cell>
          <cell r="J861" t="str">
            <v>ĐG 30.12.2022</v>
          </cell>
        </row>
        <row r="862">
          <cell r="B862" t="str">
            <v>Tườngvi1113vmd</v>
          </cell>
          <cell r="C862" t="str">
            <v>Cây Lựu vượt mật độ</v>
          </cell>
          <cell r="D862" t="str">
            <v>11cm ≤ đk gốc &lt; 13cm</v>
          </cell>
          <cell r="E862">
            <v>5</v>
          </cell>
          <cell r="F862" t="str">
            <v>cây</v>
          </cell>
          <cell r="G862">
            <v>80000</v>
          </cell>
          <cell r="H862">
            <v>0.5</v>
          </cell>
          <cell r="J862" t="str">
            <v>ĐG 30.12.2022</v>
          </cell>
        </row>
        <row r="863">
          <cell r="B863" t="str">
            <v>Tườngvi1320vmd</v>
          </cell>
          <cell r="C863" t="str">
            <v>Cây Lựu vượt mật độ</v>
          </cell>
          <cell r="D863" t="str">
            <v>13cm ≤ đk gốc &lt; 20cm</v>
          </cell>
          <cell r="E863">
            <v>5</v>
          </cell>
          <cell r="F863" t="str">
            <v>cây</v>
          </cell>
          <cell r="G863">
            <v>100000</v>
          </cell>
          <cell r="H863">
            <v>0.5</v>
          </cell>
          <cell r="J863" t="str">
            <v>ĐG 30.12.2022</v>
          </cell>
        </row>
        <row r="864">
          <cell r="B864" t="str">
            <v>Tườngvi2040vmd</v>
          </cell>
          <cell r="C864" t="str">
            <v>Cây Lựu vượt mật độ</v>
          </cell>
          <cell r="D864" t="str">
            <v>20cm ≤ đk gốc &lt; 40cm</v>
          </cell>
          <cell r="E864">
            <v>6.6666666666666696</v>
          </cell>
          <cell r="F864" t="str">
            <v>cây</v>
          </cell>
          <cell r="G864">
            <v>200000</v>
          </cell>
          <cell r="H864">
            <v>0.5</v>
          </cell>
          <cell r="J864" t="str">
            <v>ĐG 30.12.2022</v>
          </cell>
        </row>
        <row r="865">
          <cell r="B865" t="str">
            <v>Tườngvi40+vmd</v>
          </cell>
          <cell r="C865" t="str">
            <v>Cây Lựu vượt mật độ</v>
          </cell>
          <cell r="D865" t="str">
            <v>đk gốc từ trên 40cm</v>
          </cell>
          <cell r="E865">
            <v>6.6666666666666696</v>
          </cell>
          <cell r="F865" t="str">
            <v>cây</v>
          </cell>
          <cell r="G865">
            <v>220000</v>
          </cell>
          <cell r="H865">
            <v>0.5</v>
          </cell>
          <cell r="J865" t="str">
            <v>ĐG 30.12.2022</v>
          </cell>
        </row>
        <row r="866">
          <cell r="B866" t="str">
            <v>Tườngvi05#</v>
          </cell>
          <cell r="C866" t="str">
            <v>Cây Lựu</v>
          </cell>
          <cell r="D866" t="str">
            <v>đk gốc &lt; 5cm</v>
          </cell>
          <cell r="E866">
            <v>4</v>
          </cell>
          <cell r="F866" t="str">
            <v>cây</v>
          </cell>
          <cell r="G866">
            <v>33000</v>
          </cell>
          <cell r="H866">
            <v>0.3</v>
          </cell>
          <cell r="J866" t="str">
            <v>ĐG 30.12.2022</v>
          </cell>
        </row>
        <row r="867">
          <cell r="C867" t="str">
            <v>Cây Muồng</v>
          </cell>
        </row>
        <row r="868">
          <cell r="B868" t="str">
            <v>Muồng05</v>
          </cell>
          <cell r="C868" t="str">
            <v>Cây Muồng</v>
          </cell>
          <cell r="D868" t="str">
            <v>đk gốc &lt; 5cm</v>
          </cell>
          <cell r="E868">
            <v>1</v>
          </cell>
          <cell r="F868" t="str">
            <v>cây</v>
          </cell>
          <cell r="G868">
            <v>80000</v>
          </cell>
          <cell r="H868">
            <v>1</v>
          </cell>
          <cell r="J868" t="str">
            <v>ĐG 30.12.2022</v>
          </cell>
        </row>
        <row r="869">
          <cell r="B869" t="str">
            <v>Muồng57</v>
          </cell>
          <cell r="C869" t="str">
            <v>Cây Muồng</v>
          </cell>
          <cell r="D869" t="str">
            <v>5cm ≤ đk gốc &lt; 7cm</v>
          </cell>
          <cell r="E869">
            <v>1</v>
          </cell>
          <cell r="F869" t="str">
            <v>cây</v>
          </cell>
          <cell r="G869">
            <v>100000</v>
          </cell>
          <cell r="H869">
            <v>1</v>
          </cell>
          <cell r="J869" t="str">
            <v>ĐG 30.12.2022</v>
          </cell>
        </row>
        <row r="870">
          <cell r="B870" t="str">
            <v>Muồng710</v>
          </cell>
          <cell r="C870" t="str">
            <v>Cây Muồng</v>
          </cell>
          <cell r="D870" t="str">
            <v>7cm ≤ đk gốc &lt; 10cm</v>
          </cell>
          <cell r="E870">
            <v>1.5</v>
          </cell>
          <cell r="F870" t="str">
            <v>cây</v>
          </cell>
          <cell r="G870">
            <v>160000</v>
          </cell>
          <cell r="H870">
            <v>1</v>
          </cell>
          <cell r="J870" t="str">
            <v>ĐG 30.12.2022</v>
          </cell>
        </row>
        <row r="871">
          <cell r="B871" t="str">
            <v>Muồng1015</v>
          </cell>
          <cell r="C871" t="str">
            <v>Cây Muồng</v>
          </cell>
          <cell r="D871" t="str">
            <v>10cm ≤ đk gốc &lt; 15cm</v>
          </cell>
          <cell r="E871">
            <v>2</v>
          </cell>
          <cell r="F871" t="str">
            <v>cây</v>
          </cell>
          <cell r="G871">
            <v>280000</v>
          </cell>
          <cell r="H871">
            <v>1</v>
          </cell>
          <cell r="J871" t="str">
            <v>ĐG 30.12.2022</v>
          </cell>
        </row>
        <row r="872">
          <cell r="B872" t="str">
            <v>Muồng1520</v>
          </cell>
          <cell r="C872" t="str">
            <v>Cây Muồng</v>
          </cell>
          <cell r="D872" t="str">
            <v>15cm ≤ đk gốc &lt; 20cm</v>
          </cell>
          <cell r="E872">
            <v>2.5</v>
          </cell>
          <cell r="F872" t="str">
            <v>cây</v>
          </cell>
          <cell r="G872">
            <v>400000</v>
          </cell>
          <cell r="H872">
            <v>1</v>
          </cell>
          <cell r="J872" t="str">
            <v>ĐG 30.12.2022</v>
          </cell>
        </row>
        <row r="873">
          <cell r="B873" t="str">
            <v>Muồng20+</v>
          </cell>
          <cell r="C873" t="str">
            <v>Cây Muồng</v>
          </cell>
          <cell r="D873" t="str">
            <v>đk gốc từ 20cm trở lên</v>
          </cell>
          <cell r="E873">
            <v>3</v>
          </cell>
          <cell r="F873" t="str">
            <v>cây</v>
          </cell>
          <cell r="G873">
            <v>520000</v>
          </cell>
          <cell r="H873">
            <v>1</v>
          </cell>
          <cell r="J873" t="str">
            <v>ĐG 30.12.2022</v>
          </cell>
        </row>
        <row r="874">
          <cell r="B874" t="str">
            <v>Muồng05vmd</v>
          </cell>
          <cell r="C874" t="str">
            <v>Cây Muồng vượt mật độ</v>
          </cell>
          <cell r="D874" t="str">
            <v>đk gốc &lt; 5cm</v>
          </cell>
          <cell r="E874">
            <v>1</v>
          </cell>
          <cell r="F874" t="str">
            <v>cây</v>
          </cell>
          <cell r="G874">
            <v>80000</v>
          </cell>
          <cell r="H874">
            <v>0.5</v>
          </cell>
          <cell r="J874" t="str">
            <v>ĐG 30.12.2022</v>
          </cell>
        </row>
        <row r="875">
          <cell r="B875" t="str">
            <v>Muồng57vmd</v>
          </cell>
          <cell r="C875" t="str">
            <v>Cây Muồng vượt mật độ</v>
          </cell>
          <cell r="D875" t="str">
            <v>5cm ≤ đk gốc &lt; 7cm</v>
          </cell>
          <cell r="E875">
            <v>1</v>
          </cell>
          <cell r="F875" t="str">
            <v>cây</v>
          </cell>
          <cell r="G875">
            <v>100000</v>
          </cell>
          <cell r="H875">
            <v>0.5</v>
          </cell>
          <cell r="J875" t="str">
            <v>ĐG 30.12.2022</v>
          </cell>
        </row>
        <row r="876">
          <cell r="B876" t="str">
            <v>Muồng710vmd</v>
          </cell>
          <cell r="C876" t="str">
            <v>Cây Muồng vượt mật độ</v>
          </cell>
          <cell r="D876" t="str">
            <v>7cm ≤ đk gốc &lt; 10cm</v>
          </cell>
          <cell r="E876">
            <v>1.5</v>
          </cell>
          <cell r="F876" t="str">
            <v>cây</v>
          </cell>
          <cell r="G876">
            <v>160000</v>
          </cell>
          <cell r="H876">
            <v>0.5</v>
          </cell>
          <cell r="J876" t="str">
            <v>ĐG 30.12.2022</v>
          </cell>
        </row>
        <row r="877">
          <cell r="B877" t="str">
            <v>Muồng1015vmd</v>
          </cell>
          <cell r="C877" t="str">
            <v>Cây Muồng vượt mật độ</v>
          </cell>
          <cell r="D877" t="str">
            <v>10cm ≤ đk gốc &lt; 15cm</v>
          </cell>
          <cell r="E877">
            <v>2</v>
          </cell>
          <cell r="F877" t="str">
            <v>cây</v>
          </cell>
          <cell r="G877">
            <v>280000</v>
          </cell>
          <cell r="H877">
            <v>0.5</v>
          </cell>
          <cell r="J877" t="str">
            <v>ĐG 30.12.2022</v>
          </cell>
        </row>
        <row r="878">
          <cell r="B878" t="str">
            <v>Muồng1520vmd</v>
          </cell>
          <cell r="C878" t="str">
            <v>Cây Muồng vượt mật độ</v>
          </cell>
          <cell r="D878" t="str">
            <v>15cm ≤ đk gốc &lt; 20cm</v>
          </cell>
          <cell r="E878">
            <v>2.5</v>
          </cell>
          <cell r="F878" t="str">
            <v>cây</v>
          </cell>
          <cell r="G878">
            <v>400000</v>
          </cell>
          <cell r="H878">
            <v>0.5</v>
          </cell>
          <cell r="J878" t="str">
            <v>ĐG 30.12.2022</v>
          </cell>
        </row>
        <row r="879">
          <cell r="B879" t="str">
            <v>Muồng20+vmd</v>
          </cell>
          <cell r="C879" t="str">
            <v>Cây Muồng vượt mật độ</v>
          </cell>
          <cell r="D879" t="str">
            <v>đk gốc từ 20cm trở lên</v>
          </cell>
          <cell r="E879">
            <v>3</v>
          </cell>
          <cell r="F879" t="str">
            <v>cây</v>
          </cell>
          <cell r="G879">
            <v>520000</v>
          </cell>
          <cell r="H879">
            <v>0.5</v>
          </cell>
          <cell r="J879" t="str">
            <v>ĐG 30.12.2022</v>
          </cell>
        </row>
        <row r="880">
          <cell r="C880" t="str">
            <v>Cây Muồng hoàng yến</v>
          </cell>
        </row>
        <row r="881">
          <cell r="B881" t="str">
            <v>MuồngHY01</v>
          </cell>
          <cell r="C881" t="str">
            <v>Cây Muồng hoàng yến</v>
          </cell>
          <cell r="D881" t="str">
            <v>cây giống</v>
          </cell>
          <cell r="F881" t="str">
            <v>m2</v>
          </cell>
          <cell r="G881">
            <v>36000</v>
          </cell>
          <cell r="H881">
            <v>1</v>
          </cell>
        </row>
        <row r="882">
          <cell r="B882" t="str">
            <v>MuồngHY05</v>
          </cell>
          <cell r="C882" t="str">
            <v>Cây Muồng hoàng yến</v>
          </cell>
          <cell r="D882" t="str">
            <v>đk gốc &lt; 5cm</v>
          </cell>
          <cell r="E882">
            <v>4</v>
          </cell>
          <cell r="F882" t="str">
            <v>cây</v>
          </cell>
          <cell r="G882">
            <v>60000</v>
          </cell>
          <cell r="H882">
            <v>1</v>
          </cell>
        </row>
        <row r="883">
          <cell r="B883" t="str">
            <v>MuồngHY510</v>
          </cell>
          <cell r="C883" t="str">
            <v>Cây Muồng hoàng yến</v>
          </cell>
          <cell r="D883" t="str">
            <v>5cm ≤ đk gốc ≤ 10cm</v>
          </cell>
          <cell r="E883">
            <v>4</v>
          </cell>
          <cell r="F883" t="str">
            <v>cây</v>
          </cell>
          <cell r="G883">
            <v>90000</v>
          </cell>
          <cell r="H883">
            <v>1</v>
          </cell>
        </row>
        <row r="884">
          <cell r="B884" t="str">
            <v>MuồngHY1013</v>
          </cell>
          <cell r="C884" t="str">
            <v>Cây Muồng hoàng yến</v>
          </cell>
          <cell r="D884" t="str">
            <v>10cm &lt; đk gốc ≤ 13cm</v>
          </cell>
          <cell r="E884">
            <v>5</v>
          </cell>
          <cell r="F884" t="str">
            <v>cây</v>
          </cell>
          <cell r="G884">
            <v>120000</v>
          </cell>
          <cell r="H884">
            <v>1</v>
          </cell>
        </row>
        <row r="885">
          <cell r="B885" t="str">
            <v>MuồngHY1320</v>
          </cell>
          <cell r="C885" t="str">
            <v>Cây Muồng hoàng yến</v>
          </cell>
          <cell r="D885" t="str">
            <v>13cm &lt; đk gốc ≤ 20cm</v>
          </cell>
          <cell r="E885">
            <v>5</v>
          </cell>
          <cell r="F885" t="str">
            <v>cây</v>
          </cell>
          <cell r="G885">
            <v>150000</v>
          </cell>
          <cell r="H885">
            <v>1</v>
          </cell>
        </row>
        <row r="886">
          <cell r="B886" t="str">
            <v>MuồngHY2050</v>
          </cell>
          <cell r="C886" t="str">
            <v>Cây Muồng hoàng yến</v>
          </cell>
          <cell r="D886" t="str">
            <v>20cm &lt; đk gốc ≤ 50cm</v>
          </cell>
          <cell r="E886">
            <v>6.6666666666666696</v>
          </cell>
          <cell r="F886" t="str">
            <v>cây</v>
          </cell>
          <cell r="G886">
            <v>180000</v>
          </cell>
          <cell r="H886">
            <v>1</v>
          </cell>
        </row>
        <row r="887">
          <cell r="B887" t="str">
            <v>MuồngHY50+</v>
          </cell>
          <cell r="C887" t="str">
            <v>Cây Muồng hoàng yến</v>
          </cell>
          <cell r="D887" t="str">
            <v>đk gốc từ trên 50cm</v>
          </cell>
          <cell r="E887">
            <v>6.6666666666666696</v>
          </cell>
          <cell r="F887" t="str">
            <v>cây</v>
          </cell>
          <cell r="G887">
            <v>225000</v>
          </cell>
          <cell r="H887">
            <v>1</v>
          </cell>
        </row>
        <row r="888">
          <cell r="C888" t="str">
            <v>Cây Phượng vĩ</v>
          </cell>
        </row>
        <row r="889">
          <cell r="B889" t="str">
            <v>Phuong01</v>
          </cell>
          <cell r="C889" t="str">
            <v>Cây phượng vĩ</v>
          </cell>
          <cell r="D889" t="str">
            <v>cây giống</v>
          </cell>
          <cell r="F889" t="str">
            <v>m2</v>
          </cell>
          <cell r="G889">
            <v>36000</v>
          </cell>
          <cell r="H889">
            <v>1</v>
          </cell>
          <cell r="J889" t="str">
            <v>ĐG 30.12.2022</v>
          </cell>
        </row>
        <row r="890">
          <cell r="B890" t="str">
            <v>Phuong05</v>
          </cell>
          <cell r="C890" t="str">
            <v>Cây phượng vĩ</v>
          </cell>
          <cell r="D890" t="str">
            <v>đk gốc &lt; 5cm</v>
          </cell>
          <cell r="E890">
            <v>4</v>
          </cell>
          <cell r="F890" t="str">
            <v>cây</v>
          </cell>
          <cell r="G890">
            <v>36000</v>
          </cell>
          <cell r="H890">
            <v>1</v>
          </cell>
          <cell r="J890" t="str">
            <v>ĐG 30.12.2022</v>
          </cell>
        </row>
        <row r="891">
          <cell r="B891" t="str">
            <v>Phuong510</v>
          </cell>
          <cell r="C891" t="str">
            <v>Cây phượng vĩ</v>
          </cell>
          <cell r="D891" t="str">
            <v>5cm ≤ đk gốc ≤ 10cm</v>
          </cell>
          <cell r="E891">
            <v>4</v>
          </cell>
          <cell r="F891" t="str">
            <v>cây</v>
          </cell>
          <cell r="G891">
            <v>60000</v>
          </cell>
          <cell r="H891">
            <v>1</v>
          </cell>
          <cell r="J891" t="str">
            <v>ĐG 30.12.2022</v>
          </cell>
        </row>
        <row r="892">
          <cell r="B892" t="str">
            <v>Phuong1113</v>
          </cell>
          <cell r="C892" t="str">
            <v>Cây phượng vĩ</v>
          </cell>
          <cell r="D892" t="str">
            <v>11cm ≤ đk gốc &lt; 13cm</v>
          </cell>
          <cell r="E892">
            <v>5</v>
          </cell>
          <cell r="F892" t="str">
            <v>cây</v>
          </cell>
          <cell r="G892">
            <v>85000</v>
          </cell>
          <cell r="H892">
            <v>1</v>
          </cell>
          <cell r="J892" t="str">
            <v>ĐG 30.12.2022</v>
          </cell>
        </row>
        <row r="893">
          <cell r="B893" t="str">
            <v>Phuong1320</v>
          </cell>
          <cell r="C893" t="str">
            <v>Cây phượng vĩ</v>
          </cell>
          <cell r="D893" t="str">
            <v>13cm ≤ đk gốc &lt; 20cm</v>
          </cell>
          <cell r="E893">
            <v>5</v>
          </cell>
          <cell r="F893" t="str">
            <v>cây</v>
          </cell>
          <cell r="G893">
            <v>110000</v>
          </cell>
          <cell r="H893">
            <v>1</v>
          </cell>
          <cell r="J893" t="str">
            <v>ĐG 30.12.2022</v>
          </cell>
        </row>
        <row r="894">
          <cell r="B894" t="str">
            <v>Phuong2040</v>
          </cell>
          <cell r="C894" t="str">
            <v>Cây phượng vĩ</v>
          </cell>
          <cell r="D894" t="str">
            <v>20cm ≤ đk gốc &lt; 40cm</v>
          </cell>
          <cell r="E894">
            <v>6.6666666666666696</v>
          </cell>
          <cell r="F894" t="str">
            <v>cây</v>
          </cell>
          <cell r="G894">
            <v>150000</v>
          </cell>
          <cell r="H894">
            <v>1</v>
          </cell>
          <cell r="J894" t="str">
            <v>ĐG 30.12.2022</v>
          </cell>
        </row>
        <row r="895">
          <cell r="B895" t="str">
            <v>Phuong40+</v>
          </cell>
          <cell r="C895" t="str">
            <v>Cây phượng vĩ</v>
          </cell>
          <cell r="D895" t="str">
            <v>đk gốc từ trên 40cm</v>
          </cell>
          <cell r="E895">
            <v>6.6666666666666696</v>
          </cell>
          <cell r="F895" t="str">
            <v>cây</v>
          </cell>
          <cell r="G895">
            <v>220000</v>
          </cell>
          <cell r="H895">
            <v>1</v>
          </cell>
          <cell r="J895" t="str">
            <v>ĐG 30.12.2022</v>
          </cell>
        </row>
        <row r="896">
          <cell r="B896" t="str">
            <v>Phuong01vmd</v>
          </cell>
          <cell r="C896" t="str">
            <v>Cây phượng vĩ vượt mật độ</v>
          </cell>
          <cell r="D896" t="str">
            <v>cây giống</v>
          </cell>
          <cell r="F896" t="str">
            <v>m2</v>
          </cell>
          <cell r="G896">
            <v>36000</v>
          </cell>
          <cell r="H896">
            <v>0.5</v>
          </cell>
          <cell r="J896" t="str">
            <v>ĐG 30.12.2022</v>
          </cell>
        </row>
        <row r="897">
          <cell r="B897" t="str">
            <v>Phuong05vmd</v>
          </cell>
          <cell r="C897" t="str">
            <v>Cây phượng vĩ vượt mật độ</v>
          </cell>
          <cell r="D897" t="str">
            <v>đk gốc &lt; 5cm</v>
          </cell>
          <cell r="E897">
            <v>4</v>
          </cell>
          <cell r="F897" t="str">
            <v>cây</v>
          </cell>
          <cell r="G897">
            <v>36000</v>
          </cell>
          <cell r="H897">
            <v>0.5</v>
          </cell>
          <cell r="J897" t="str">
            <v>ĐG 30.12.2022</v>
          </cell>
        </row>
        <row r="898">
          <cell r="B898" t="str">
            <v>Phuong510vmd</v>
          </cell>
          <cell r="C898" t="str">
            <v>Cây phượng vĩ vượt mật độ</v>
          </cell>
          <cell r="D898" t="str">
            <v>5cm ≤ đk gốc ≤ 10cm</v>
          </cell>
          <cell r="E898">
            <v>4</v>
          </cell>
          <cell r="F898" t="str">
            <v>cây</v>
          </cell>
          <cell r="G898">
            <v>60000</v>
          </cell>
          <cell r="H898">
            <v>0.5</v>
          </cell>
          <cell r="J898" t="str">
            <v>ĐG 30.12.2022</v>
          </cell>
        </row>
        <row r="899">
          <cell r="B899" t="str">
            <v>Phuong1113vmd</v>
          </cell>
          <cell r="C899" t="str">
            <v>Cây phượng vĩ vượt mật độ</v>
          </cell>
          <cell r="D899" t="str">
            <v>11cm ≤ đk gốc &lt; 13cm</v>
          </cell>
          <cell r="E899">
            <v>5</v>
          </cell>
          <cell r="F899" t="str">
            <v>cây</v>
          </cell>
          <cell r="G899">
            <v>85000</v>
          </cell>
          <cell r="H899">
            <v>0.5</v>
          </cell>
          <cell r="J899" t="str">
            <v>ĐG 30.12.2022</v>
          </cell>
        </row>
        <row r="900">
          <cell r="B900" t="str">
            <v>Phuong1320vmd</v>
          </cell>
          <cell r="C900" t="str">
            <v>Cây phượng vĩ vượt mật độ</v>
          </cell>
          <cell r="D900" t="str">
            <v>13cm ≤ đk gốc &lt; 20cm</v>
          </cell>
          <cell r="E900">
            <v>5</v>
          </cell>
          <cell r="F900" t="str">
            <v>cây</v>
          </cell>
          <cell r="G900">
            <v>110000</v>
          </cell>
          <cell r="H900">
            <v>0.5</v>
          </cell>
          <cell r="J900" t="str">
            <v>ĐG 30.12.2022</v>
          </cell>
        </row>
        <row r="901">
          <cell r="B901" t="str">
            <v>Phuong2040vmd</v>
          </cell>
          <cell r="C901" t="str">
            <v>Cây phượng vĩ vượt mật độ</v>
          </cell>
          <cell r="D901" t="str">
            <v>20cm ≤ đk gốc &lt; 40cm</v>
          </cell>
          <cell r="E901">
            <v>6.6666666666666696</v>
          </cell>
          <cell r="F901" t="str">
            <v>cây</v>
          </cell>
          <cell r="G901">
            <v>150000</v>
          </cell>
          <cell r="H901">
            <v>0.5</v>
          </cell>
          <cell r="J901" t="str">
            <v>ĐG 30.12.2022</v>
          </cell>
        </row>
        <row r="902">
          <cell r="B902" t="str">
            <v>Phuong40+vmd</v>
          </cell>
          <cell r="C902" t="str">
            <v>Cây phượng vĩ vượt mật độ</v>
          </cell>
          <cell r="D902" t="str">
            <v>đk gốc từ trên 40cm</v>
          </cell>
          <cell r="E902">
            <v>6.6666666666666696</v>
          </cell>
          <cell r="F902" t="str">
            <v>cây</v>
          </cell>
          <cell r="G902">
            <v>220000</v>
          </cell>
          <cell r="H902">
            <v>0.5</v>
          </cell>
          <cell r="J902" t="str">
            <v>ĐG 30.12.2022</v>
          </cell>
        </row>
        <row r="903">
          <cell r="C903" t="str">
            <v>Cây hoa sữa</v>
          </cell>
        </row>
        <row r="904">
          <cell r="B904" t="str">
            <v>Hoasua01</v>
          </cell>
          <cell r="C904" t="str">
            <v>Cây hoa sữa</v>
          </cell>
          <cell r="D904" t="str">
            <v>cây giống</v>
          </cell>
          <cell r="F904" t="str">
            <v>m2</v>
          </cell>
          <cell r="G904">
            <v>36000</v>
          </cell>
          <cell r="H904">
            <v>1</v>
          </cell>
          <cell r="J904" t="str">
            <v>ĐG 30.12.2022</v>
          </cell>
        </row>
        <row r="905">
          <cell r="B905" t="str">
            <v>Hoasua05</v>
          </cell>
          <cell r="C905" t="str">
            <v>Cây hoa sữa</v>
          </cell>
          <cell r="D905" t="str">
            <v>đk gốc &lt; 5cm</v>
          </cell>
          <cell r="E905">
            <v>4</v>
          </cell>
          <cell r="F905" t="str">
            <v>cây</v>
          </cell>
          <cell r="G905">
            <v>36000</v>
          </cell>
          <cell r="H905">
            <v>1</v>
          </cell>
          <cell r="J905" t="str">
            <v>ĐG 30.12.2022</v>
          </cell>
        </row>
        <row r="906">
          <cell r="B906" t="str">
            <v>Hoasua510</v>
          </cell>
          <cell r="C906" t="str">
            <v>Cây hoa sữa</v>
          </cell>
          <cell r="D906" t="str">
            <v>5cm ≤ đk gốc ≤ 10cm</v>
          </cell>
          <cell r="E906">
            <v>4</v>
          </cell>
          <cell r="F906" t="str">
            <v>cây</v>
          </cell>
          <cell r="G906">
            <v>60000</v>
          </cell>
          <cell r="H906">
            <v>1</v>
          </cell>
          <cell r="J906" t="str">
            <v>ĐG 30.12.2022</v>
          </cell>
        </row>
        <row r="907">
          <cell r="B907" t="str">
            <v>Hoasua1013</v>
          </cell>
          <cell r="C907" t="str">
            <v>Cây hoa sữa</v>
          </cell>
          <cell r="D907" t="str">
            <v>10cm &lt; đk gốc ≤ 13cm</v>
          </cell>
          <cell r="E907">
            <v>5</v>
          </cell>
          <cell r="F907" t="str">
            <v>cây</v>
          </cell>
          <cell r="G907">
            <v>85000</v>
          </cell>
          <cell r="H907">
            <v>1</v>
          </cell>
          <cell r="J907" t="str">
            <v>ĐG 30.12.2022</v>
          </cell>
        </row>
        <row r="908">
          <cell r="B908" t="str">
            <v>Hoasua1320</v>
          </cell>
          <cell r="C908" t="str">
            <v>Cây hoa sữa</v>
          </cell>
          <cell r="D908" t="str">
            <v>13cm &lt; đk gốc ≤ 20cm</v>
          </cell>
          <cell r="E908">
            <v>5</v>
          </cell>
          <cell r="F908" t="str">
            <v>cây</v>
          </cell>
          <cell r="G908">
            <v>110000</v>
          </cell>
          <cell r="H908">
            <v>1</v>
          </cell>
          <cell r="J908" t="str">
            <v>ĐG 30.12.2022</v>
          </cell>
        </row>
        <row r="909">
          <cell r="B909" t="str">
            <v>Hoasua2040</v>
          </cell>
          <cell r="C909" t="str">
            <v>Cây hoa sữa</v>
          </cell>
          <cell r="D909" t="str">
            <v>20cm &lt; đk gốc ≤ 40cm</v>
          </cell>
          <cell r="E909">
            <v>6.6666666666666696</v>
          </cell>
          <cell r="F909" t="str">
            <v>cây</v>
          </cell>
          <cell r="G909">
            <v>150000</v>
          </cell>
          <cell r="H909">
            <v>1</v>
          </cell>
          <cell r="J909" t="str">
            <v>ĐG 30.12.2022</v>
          </cell>
        </row>
        <row r="910">
          <cell r="B910" t="str">
            <v>Hoasua40+</v>
          </cell>
          <cell r="C910" t="str">
            <v>Cây hoa sữa</v>
          </cell>
          <cell r="D910" t="str">
            <v>đk gốc từ trên 40cm</v>
          </cell>
          <cell r="E910">
            <v>6.6666666666666696</v>
          </cell>
          <cell r="F910" t="str">
            <v>cây</v>
          </cell>
          <cell r="G910">
            <v>220000</v>
          </cell>
          <cell r="H910">
            <v>1</v>
          </cell>
          <cell r="J910" t="str">
            <v>ĐG 30.12.2022</v>
          </cell>
        </row>
        <row r="911">
          <cell r="B911" t="str">
            <v>Hoasua01vmd</v>
          </cell>
          <cell r="C911" t="str">
            <v>Cây hoa sữa vượt mật độ</v>
          </cell>
          <cell r="D911" t="str">
            <v>cây giống</v>
          </cell>
          <cell r="F911" t="str">
            <v>m2</v>
          </cell>
          <cell r="G911">
            <v>36000</v>
          </cell>
          <cell r="H911">
            <v>0.5</v>
          </cell>
          <cell r="J911" t="str">
            <v>ĐG 30.12.2022</v>
          </cell>
        </row>
        <row r="912">
          <cell r="B912" t="str">
            <v>Hoasua05vmd</v>
          </cell>
          <cell r="C912" t="str">
            <v>Cây hoa sữa vượt mật độ</v>
          </cell>
          <cell r="D912" t="str">
            <v>đk gốc &lt; 5cm</v>
          </cell>
          <cell r="E912">
            <v>4</v>
          </cell>
          <cell r="F912" t="str">
            <v>cây</v>
          </cell>
          <cell r="G912">
            <v>36000</v>
          </cell>
          <cell r="H912">
            <v>0.5</v>
          </cell>
          <cell r="J912" t="str">
            <v>ĐG 30.12.2022</v>
          </cell>
        </row>
        <row r="913">
          <cell r="B913" t="str">
            <v>Hoasua510vmd</v>
          </cell>
          <cell r="C913" t="str">
            <v>Cây hoa sữa vượt mật độ</v>
          </cell>
          <cell r="D913" t="str">
            <v>5cm ≤ đk gốc ≤ 10cm</v>
          </cell>
          <cell r="E913">
            <v>4</v>
          </cell>
          <cell r="F913" t="str">
            <v>cây</v>
          </cell>
          <cell r="G913">
            <v>60000</v>
          </cell>
          <cell r="H913">
            <v>0.5</v>
          </cell>
          <cell r="J913" t="str">
            <v>ĐG 30.12.2022</v>
          </cell>
        </row>
        <row r="914">
          <cell r="B914" t="str">
            <v>Hoasua1013vmd</v>
          </cell>
          <cell r="C914" t="str">
            <v>Cây hoa sữa vượt mật độ</v>
          </cell>
          <cell r="D914" t="str">
            <v>10cm &lt; đk gốc ≤ 13cm</v>
          </cell>
          <cell r="E914">
            <v>5</v>
          </cell>
          <cell r="F914" t="str">
            <v>cây</v>
          </cell>
          <cell r="G914">
            <v>85000</v>
          </cell>
          <cell r="H914">
            <v>0.5</v>
          </cell>
          <cell r="J914" t="str">
            <v>ĐG 30.12.2022</v>
          </cell>
        </row>
        <row r="915">
          <cell r="B915" t="str">
            <v>Hoasua1320vmd</v>
          </cell>
          <cell r="C915" t="str">
            <v>Cây hoa sữa vượt mật độ</v>
          </cell>
          <cell r="D915" t="str">
            <v>13cm &lt; đk gốc ≤ 20cm</v>
          </cell>
          <cell r="E915">
            <v>5</v>
          </cell>
          <cell r="F915" t="str">
            <v>cây</v>
          </cell>
          <cell r="G915">
            <v>110000</v>
          </cell>
          <cell r="H915">
            <v>0.5</v>
          </cell>
          <cell r="J915" t="str">
            <v>ĐG 30.12.2022</v>
          </cell>
        </row>
        <row r="916">
          <cell r="B916" t="str">
            <v>Hoasua2040vmd</v>
          </cell>
          <cell r="C916" t="str">
            <v>Cây hoa sữa vượt mật độ</v>
          </cell>
          <cell r="D916" t="str">
            <v>20cm &lt; đk gốc ≤ 40cm</v>
          </cell>
          <cell r="E916">
            <v>6.6666666666666696</v>
          </cell>
          <cell r="F916" t="str">
            <v>cây</v>
          </cell>
          <cell r="G916">
            <v>150000</v>
          </cell>
          <cell r="H916">
            <v>0.5</v>
          </cell>
          <cell r="J916" t="str">
            <v>ĐG 30.12.2022</v>
          </cell>
        </row>
        <row r="917">
          <cell r="B917" t="str">
            <v>Hoasua40+vmd</v>
          </cell>
          <cell r="C917" t="str">
            <v>Cây hoa sữa vượt mật độ</v>
          </cell>
          <cell r="D917" t="str">
            <v>đk gốc từ trên 40cm</v>
          </cell>
          <cell r="E917">
            <v>6.6666666666666696</v>
          </cell>
          <cell r="F917" t="str">
            <v>cây</v>
          </cell>
          <cell r="G917">
            <v>220000</v>
          </cell>
          <cell r="H917">
            <v>0.5</v>
          </cell>
          <cell r="J917" t="str">
            <v>ĐG 30.12.2022</v>
          </cell>
        </row>
        <row r="918">
          <cell r="C918" t="str">
            <v>Cây Bàng</v>
          </cell>
        </row>
        <row r="919">
          <cell r="B919" t="str">
            <v>Bang01</v>
          </cell>
          <cell r="C919" t="str">
            <v>Cây bàng</v>
          </cell>
          <cell r="D919" t="str">
            <v>cây giống</v>
          </cell>
          <cell r="F919" t="str">
            <v>m2</v>
          </cell>
          <cell r="G919">
            <v>36000</v>
          </cell>
          <cell r="H919">
            <v>1</v>
          </cell>
          <cell r="J919" t="str">
            <v>ĐG 30.12.2022</v>
          </cell>
        </row>
        <row r="920">
          <cell r="B920" t="str">
            <v>Bang05</v>
          </cell>
          <cell r="C920" t="str">
            <v>Cây bàng</v>
          </cell>
          <cell r="D920" t="str">
            <v>đk gốc &lt; 5cm</v>
          </cell>
          <cell r="E920">
            <v>4</v>
          </cell>
          <cell r="F920" t="str">
            <v>cây</v>
          </cell>
          <cell r="G920">
            <v>36000</v>
          </cell>
          <cell r="H920">
            <v>1</v>
          </cell>
          <cell r="J920" t="str">
            <v>ĐG 30.12.2022</v>
          </cell>
        </row>
        <row r="921">
          <cell r="B921" t="str">
            <v>Bang510</v>
          </cell>
          <cell r="C921" t="str">
            <v>Cây bàng</v>
          </cell>
          <cell r="D921" t="str">
            <v>5cm ≤ đk gốc ≤ 10cm</v>
          </cell>
          <cell r="E921">
            <v>4</v>
          </cell>
          <cell r="F921" t="str">
            <v>cây</v>
          </cell>
          <cell r="G921">
            <v>60000</v>
          </cell>
          <cell r="H921">
            <v>1</v>
          </cell>
          <cell r="J921" t="str">
            <v>ĐG 30.12.2022</v>
          </cell>
        </row>
        <row r="922">
          <cell r="B922" t="str">
            <v>Bang1013</v>
          </cell>
          <cell r="C922" t="str">
            <v>Cây bàng</v>
          </cell>
          <cell r="D922" t="str">
            <v>10cm &lt; đk gốc ≤ 13cm</v>
          </cell>
          <cell r="E922">
            <v>5</v>
          </cell>
          <cell r="F922" t="str">
            <v>cây</v>
          </cell>
          <cell r="G922">
            <v>85000</v>
          </cell>
          <cell r="H922">
            <v>1</v>
          </cell>
          <cell r="J922" t="str">
            <v>ĐG 30.12.2022</v>
          </cell>
        </row>
        <row r="923">
          <cell r="B923" t="str">
            <v>Bang1320</v>
          </cell>
          <cell r="C923" t="str">
            <v>Cây bàng</v>
          </cell>
          <cell r="D923" t="str">
            <v>13cm &lt; đk gốc ≤ 20cm</v>
          </cell>
          <cell r="E923">
            <v>5</v>
          </cell>
          <cell r="F923" t="str">
            <v>cây</v>
          </cell>
          <cell r="G923">
            <v>110000</v>
          </cell>
          <cell r="H923">
            <v>1</v>
          </cell>
          <cell r="J923" t="str">
            <v>ĐG 30.12.2022</v>
          </cell>
        </row>
        <row r="924">
          <cell r="B924" t="str">
            <v>Bang2040</v>
          </cell>
          <cell r="C924" t="str">
            <v>Cây bàng</v>
          </cell>
          <cell r="D924" t="str">
            <v>20cm &lt; đk gốc ≤ 40cm</v>
          </cell>
          <cell r="E924">
            <v>6.6666666666666696</v>
          </cell>
          <cell r="F924" t="str">
            <v>cây</v>
          </cell>
          <cell r="G924">
            <v>150000</v>
          </cell>
          <cell r="H924">
            <v>1</v>
          </cell>
          <cell r="J924" t="str">
            <v>ĐG 30.12.2022</v>
          </cell>
        </row>
        <row r="925">
          <cell r="B925" t="str">
            <v>Bang40+</v>
          </cell>
          <cell r="C925" t="str">
            <v>Cây bàng</v>
          </cell>
          <cell r="D925" t="str">
            <v>đk gốc từ trên 40cm</v>
          </cell>
          <cell r="E925">
            <v>6.6666666666666696</v>
          </cell>
          <cell r="F925" t="str">
            <v>cây</v>
          </cell>
          <cell r="G925">
            <v>220000</v>
          </cell>
          <cell r="H925">
            <v>1</v>
          </cell>
          <cell r="J925" t="str">
            <v>ĐG 30.12.2022</v>
          </cell>
        </row>
        <row r="926">
          <cell r="B926" t="str">
            <v>Bang01vmd</v>
          </cell>
          <cell r="C926" t="str">
            <v>Cây bàng vượt mật độ</v>
          </cell>
          <cell r="D926" t="str">
            <v>cây giống</v>
          </cell>
          <cell r="F926" t="str">
            <v>m2</v>
          </cell>
          <cell r="G926">
            <v>36000</v>
          </cell>
          <cell r="H926">
            <v>0.5</v>
          </cell>
          <cell r="J926" t="str">
            <v>ĐG 30.12.2022</v>
          </cell>
        </row>
        <row r="927">
          <cell r="B927" t="str">
            <v>Bang05vmd</v>
          </cell>
          <cell r="C927" t="str">
            <v>Cây bàng vượt mật độ</v>
          </cell>
          <cell r="D927" t="str">
            <v>đk gốc &lt; 5cm</v>
          </cell>
          <cell r="E927">
            <v>4</v>
          </cell>
          <cell r="F927" t="str">
            <v>cây</v>
          </cell>
          <cell r="G927">
            <v>36000</v>
          </cell>
          <cell r="H927">
            <v>0.5</v>
          </cell>
          <cell r="J927" t="str">
            <v>ĐG 30.12.2022</v>
          </cell>
        </row>
        <row r="928">
          <cell r="B928" t="str">
            <v>Bang510vmd</v>
          </cell>
          <cell r="C928" t="str">
            <v>Cây bàng vượt mật độ</v>
          </cell>
          <cell r="D928" t="str">
            <v>5cm ≤ đk gốc ≤ 10cm</v>
          </cell>
          <cell r="E928">
            <v>4</v>
          </cell>
          <cell r="F928" t="str">
            <v>cây</v>
          </cell>
          <cell r="G928">
            <v>60000</v>
          </cell>
          <cell r="H928">
            <v>0.5</v>
          </cell>
          <cell r="J928" t="str">
            <v>ĐG 30.12.2022</v>
          </cell>
        </row>
        <row r="929">
          <cell r="B929" t="str">
            <v>Bang1013vmd</v>
          </cell>
          <cell r="C929" t="str">
            <v>Cây bàng vượt mật độ</v>
          </cell>
          <cell r="D929" t="str">
            <v>10cm &lt; đk gốc ≤ 13cm</v>
          </cell>
          <cell r="E929">
            <v>5</v>
          </cell>
          <cell r="F929" t="str">
            <v>cây</v>
          </cell>
          <cell r="G929">
            <v>85000</v>
          </cell>
          <cell r="H929">
            <v>0.5</v>
          </cell>
          <cell r="J929" t="str">
            <v>ĐG 30.12.2022</v>
          </cell>
        </row>
        <row r="930">
          <cell r="B930" t="str">
            <v>Bang1320vmd</v>
          </cell>
          <cell r="C930" t="str">
            <v>Cây bàng vượt mật độ</v>
          </cell>
          <cell r="D930" t="str">
            <v>13cm &lt; đk gốc ≤ 20cm</v>
          </cell>
          <cell r="E930">
            <v>5</v>
          </cell>
          <cell r="F930" t="str">
            <v>cây</v>
          </cell>
          <cell r="G930">
            <v>110000</v>
          </cell>
          <cell r="H930">
            <v>0.5</v>
          </cell>
          <cell r="J930" t="str">
            <v>ĐG 30.12.2022</v>
          </cell>
        </row>
        <row r="931">
          <cell r="B931" t="str">
            <v>Bang2040vmd</v>
          </cell>
          <cell r="C931" t="str">
            <v>Cây bàng vượt mật độ</v>
          </cell>
          <cell r="D931" t="str">
            <v>20cm &lt; đk gốc ≤ 40cm</v>
          </cell>
          <cell r="E931">
            <v>6.6666666666666696</v>
          </cell>
          <cell r="F931" t="str">
            <v>cây</v>
          </cell>
          <cell r="G931">
            <v>150000</v>
          </cell>
          <cell r="H931">
            <v>0.5</v>
          </cell>
          <cell r="J931" t="str">
            <v>ĐG 30.12.2022</v>
          </cell>
        </row>
        <row r="932">
          <cell r="B932" t="str">
            <v>Bang40+vmd</v>
          </cell>
          <cell r="C932" t="str">
            <v>Cây bàng vượt mật độ</v>
          </cell>
          <cell r="D932" t="str">
            <v>đk gốc từ trên 40cm</v>
          </cell>
          <cell r="E932">
            <v>6.6666666666666696</v>
          </cell>
          <cell r="F932" t="str">
            <v>cây</v>
          </cell>
          <cell r="G932">
            <v>220000</v>
          </cell>
          <cell r="H932">
            <v>0.5</v>
          </cell>
          <cell r="J932" t="str">
            <v>ĐG 30.12.2022</v>
          </cell>
        </row>
        <row r="933">
          <cell r="C933" t="str">
            <v>Cây sao đen</v>
          </cell>
        </row>
        <row r="934">
          <cell r="B934" t="str">
            <v>Saoden01</v>
          </cell>
          <cell r="C934" t="str">
            <v>Sao đen</v>
          </cell>
          <cell r="D934" t="str">
            <v>cây giống</v>
          </cell>
          <cell r="F934" t="str">
            <v>cây</v>
          </cell>
          <cell r="G934">
            <v>36000</v>
          </cell>
          <cell r="H934">
            <v>1</v>
          </cell>
        </row>
        <row r="935">
          <cell r="B935" t="str">
            <v>Saoden5-</v>
          </cell>
          <cell r="C935" t="str">
            <v>Sao đen</v>
          </cell>
          <cell r="D935" t="str">
            <v>đk gốc &lt; 5cm</v>
          </cell>
          <cell r="E935">
            <v>40</v>
          </cell>
          <cell r="F935" t="str">
            <v>cây</v>
          </cell>
          <cell r="G935">
            <v>60000</v>
          </cell>
          <cell r="H935">
            <v>1</v>
          </cell>
        </row>
        <row r="936">
          <cell r="B936" t="str">
            <v>Saoden510</v>
          </cell>
          <cell r="C936" t="str">
            <v>Sao đen</v>
          </cell>
          <cell r="D936" t="str">
            <v>5cm ≤ đk gốc ≤ 10cm</v>
          </cell>
          <cell r="E936">
            <v>40</v>
          </cell>
          <cell r="F936" t="str">
            <v>cây</v>
          </cell>
          <cell r="G936">
            <v>90000</v>
          </cell>
          <cell r="H936">
            <v>1</v>
          </cell>
        </row>
        <row r="937">
          <cell r="B937" t="str">
            <v>Saoden1013</v>
          </cell>
          <cell r="C937" t="str">
            <v>Sao đen</v>
          </cell>
          <cell r="D937" t="str">
            <v>10cm &lt; đk gốc ≤ 13cm</v>
          </cell>
          <cell r="E937">
            <v>5</v>
          </cell>
          <cell r="F937" t="str">
            <v>cây</v>
          </cell>
          <cell r="G937">
            <v>120000</v>
          </cell>
          <cell r="H937">
            <v>1</v>
          </cell>
        </row>
        <row r="938">
          <cell r="B938" t="str">
            <v>Saoden1320</v>
          </cell>
          <cell r="C938" t="str">
            <v>Sao đen</v>
          </cell>
          <cell r="D938" t="str">
            <v>13cm &lt; đk gốc ≤ 20cm</v>
          </cell>
          <cell r="E938">
            <v>5</v>
          </cell>
          <cell r="F938" t="str">
            <v>cây</v>
          </cell>
          <cell r="G938">
            <v>150000</v>
          </cell>
          <cell r="H938">
            <v>1</v>
          </cell>
        </row>
        <row r="939">
          <cell r="B939" t="str">
            <v>Saoden2050</v>
          </cell>
          <cell r="C939" t="str">
            <v>Sao đen</v>
          </cell>
          <cell r="D939" t="str">
            <v>20cm &lt; đk gốc ≤ 50cm</v>
          </cell>
          <cell r="E939">
            <v>6.6666666666666696</v>
          </cell>
          <cell r="F939" t="str">
            <v>cây</v>
          </cell>
          <cell r="G939">
            <v>180000</v>
          </cell>
          <cell r="H939">
            <v>1</v>
          </cell>
        </row>
        <row r="940">
          <cell r="B940" t="str">
            <v>Saoden50+</v>
          </cell>
          <cell r="C940" t="str">
            <v>Sao đen</v>
          </cell>
          <cell r="D940" t="str">
            <v>đk gốc từ trên 50cm</v>
          </cell>
          <cell r="E940">
            <v>6.6666666666666696</v>
          </cell>
          <cell r="F940" t="str">
            <v>cây</v>
          </cell>
          <cell r="G940">
            <v>225000</v>
          </cell>
          <cell r="H940">
            <v>1</v>
          </cell>
        </row>
        <row r="941">
          <cell r="B941" t="str">
            <v>Saoden1320vmd</v>
          </cell>
          <cell r="C941" t="str">
            <v>Sao đen vượt mật độ</v>
          </cell>
          <cell r="D941" t="str">
            <v>13cm &lt; đk gốc ≤ 20cm</v>
          </cell>
          <cell r="E941">
            <v>5</v>
          </cell>
          <cell r="F941" t="str">
            <v>cây</v>
          </cell>
          <cell r="G941">
            <v>150000</v>
          </cell>
          <cell r="H941">
            <v>0.5</v>
          </cell>
        </row>
        <row r="942">
          <cell r="C942" t="str">
            <v>Cây Long não</v>
          </cell>
        </row>
        <row r="943">
          <cell r="B943" t="str">
            <v>Longnao01</v>
          </cell>
          <cell r="C943" t="str">
            <v>Long não</v>
          </cell>
          <cell r="D943" t="str">
            <v>cây giống</v>
          </cell>
          <cell r="F943" t="str">
            <v>cây</v>
          </cell>
          <cell r="G943">
            <v>36000</v>
          </cell>
          <cell r="H943">
            <v>1</v>
          </cell>
        </row>
        <row r="944">
          <cell r="B944" t="str">
            <v>Longnao5-</v>
          </cell>
          <cell r="C944" t="str">
            <v>Long não</v>
          </cell>
          <cell r="D944" t="str">
            <v>đk gốc &lt; 5cm</v>
          </cell>
          <cell r="E944">
            <v>4</v>
          </cell>
          <cell r="F944" t="str">
            <v>cây</v>
          </cell>
          <cell r="G944">
            <v>60000</v>
          </cell>
          <cell r="H944">
            <v>1</v>
          </cell>
        </row>
        <row r="945">
          <cell r="B945" t="str">
            <v>Longnao510</v>
          </cell>
          <cell r="C945" t="str">
            <v>Long não</v>
          </cell>
          <cell r="D945" t="str">
            <v>5cm ≤ đk gốc ≤ 10cm</v>
          </cell>
          <cell r="E945">
            <v>4</v>
          </cell>
          <cell r="F945" t="str">
            <v>cây</v>
          </cell>
          <cell r="G945">
            <v>90000</v>
          </cell>
          <cell r="H945">
            <v>1</v>
          </cell>
        </row>
        <row r="946">
          <cell r="B946" t="str">
            <v>Longnao1013</v>
          </cell>
          <cell r="C946" t="str">
            <v>Long não</v>
          </cell>
          <cell r="D946" t="str">
            <v>10cm &lt; đk gốc ≤ 13cm</v>
          </cell>
          <cell r="E946">
            <v>5</v>
          </cell>
          <cell r="F946" t="str">
            <v>cây</v>
          </cell>
          <cell r="G946">
            <v>120000</v>
          </cell>
          <cell r="H946">
            <v>1</v>
          </cell>
        </row>
        <row r="947">
          <cell r="B947" t="str">
            <v>Longnao1320</v>
          </cell>
          <cell r="C947" t="str">
            <v>Long não</v>
          </cell>
          <cell r="D947" t="str">
            <v>13cm &lt; đk gốc ≤ 20cm</v>
          </cell>
          <cell r="E947">
            <v>5</v>
          </cell>
          <cell r="F947" t="str">
            <v>cây</v>
          </cell>
          <cell r="G947">
            <v>150000</v>
          </cell>
          <cell r="H947">
            <v>1</v>
          </cell>
        </row>
        <row r="948">
          <cell r="B948" t="str">
            <v>Longnao2050</v>
          </cell>
          <cell r="C948" t="str">
            <v>Long não</v>
          </cell>
          <cell r="D948" t="str">
            <v>20cm &lt; đk gốc ≤ 50cm</v>
          </cell>
          <cell r="E948">
            <v>6.6666666666666696</v>
          </cell>
          <cell r="F948" t="str">
            <v>cây</v>
          </cell>
          <cell r="G948">
            <v>180000</v>
          </cell>
          <cell r="H948">
            <v>1</v>
          </cell>
        </row>
        <row r="949">
          <cell r="B949" t="str">
            <v>Longnao50+</v>
          </cell>
          <cell r="C949" t="str">
            <v>Long não</v>
          </cell>
          <cell r="D949" t="str">
            <v>đk gốc từ trên 50cm</v>
          </cell>
          <cell r="E949">
            <v>6.6666666666666696</v>
          </cell>
          <cell r="F949" t="str">
            <v>cây</v>
          </cell>
          <cell r="G949">
            <v>225000</v>
          </cell>
          <cell r="H949">
            <v>1</v>
          </cell>
        </row>
        <row r="950">
          <cell r="B950" t="str">
            <v>Longnao01vmd</v>
          </cell>
          <cell r="C950" t="str">
            <v>Long não vượt mật độ</v>
          </cell>
          <cell r="D950" t="str">
            <v>cây giống</v>
          </cell>
          <cell r="F950" t="str">
            <v>cây</v>
          </cell>
          <cell r="G950">
            <v>36000</v>
          </cell>
          <cell r="H950">
            <v>0.5</v>
          </cell>
        </row>
        <row r="951">
          <cell r="B951" t="str">
            <v>Longnao5-vmd</v>
          </cell>
          <cell r="C951" t="str">
            <v>Long não vượt mật độ</v>
          </cell>
          <cell r="D951" t="str">
            <v>đk gốc &lt; 5cm</v>
          </cell>
          <cell r="E951">
            <v>4</v>
          </cell>
          <cell r="F951" t="str">
            <v>cây</v>
          </cell>
          <cell r="G951">
            <v>60000</v>
          </cell>
          <cell r="H951">
            <v>0.5</v>
          </cell>
        </row>
        <row r="952">
          <cell r="B952" t="str">
            <v>Longnao510vmd</v>
          </cell>
          <cell r="C952" t="str">
            <v>Long não vượt mật độ</v>
          </cell>
          <cell r="D952" t="str">
            <v>5cm ≤ đk gốc ≤ 10cm</v>
          </cell>
          <cell r="E952">
            <v>4</v>
          </cell>
          <cell r="F952" t="str">
            <v>cây</v>
          </cell>
          <cell r="G952">
            <v>90000</v>
          </cell>
          <cell r="H952">
            <v>0.5</v>
          </cell>
        </row>
        <row r="953">
          <cell r="B953" t="str">
            <v>Longnao1013vmd</v>
          </cell>
          <cell r="C953" t="str">
            <v>Long não vượt mật độ</v>
          </cell>
          <cell r="D953" t="str">
            <v>10cm &lt; đk gốc ≤ 13cm</v>
          </cell>
          <cell r="E953">
            <v>5</v>
          </cell>
          <cell r="F953" t="str">
            <v>cây</v>
          </cell>
          <cell r="G953">
            <v>120000</v>
          </cell>
          <cell r="H953">
            <v>0.5</v>
          </cell>
        </row>
        <row r="954">
          <cell r="B954" t="str">
            <v>Longnao1320vmd</v>
          </cell>
          <cell r="C954" t="str">
            <v>Long não vượt mật độ</v>
          </cell>
          <cell r="D954" t="str">
            <v>13cm &lt; đk gốc ≤ 20cm</v>
          </cell>
          <cell r="E954">
            <v>5</v>
          </cell>
          <cell r="F954" t="str">
            <v>cây</v>
          </cell>
          <cell r="G954">
            <v>150000</v>
          </cell>
          <cell r="H954">
            <v>0.5</v>
          </cell>
        </row>
        <row r="955">
          <cell r="B955" t="str">
            <v>Longnao2050vmd</v>
          </cell>
          <cell r="C955" t="str">
            <v>Long não vượt mật độ</v>
          </cell>
          <cell r="D955" t="str">
            <v>20cm &lt; đk gốc ≤ 50cm</v>
          </cell>
          <cell r="E955">
            <v>6.6666666666666696</v>
          </cell>
          <cell r="F955" t="str">
            <v>cây</v>
          </cell>
          <cell r="G955">
            <v>180000</v>
          </cell>
          <cell r="H955">
            <v>0.5</v>
          </cell>
        </row>
        <row r="956">
          <cell r="B956" t="str">
            <v>Longnao50+vmd</v>
          </cell>
          <cell r="C956" t="str">
            <v>Long não vượt mật độ</v>
          </cell>
          <cell r="D956" t="str">
            <v>đk gốc từ trên 50cm</v>
          </cell>
          <cell r="E956">
            <v>6.6666666666666696</v>
          </cell>
          <cell r="F956" t="str">
            <v>cây</v>
          </cell>
          <cell r="G956">
            <v>225000</v>
          </cell>
          <cell r="H956">
            <v>0.5</v>
          </cell>
        </row>
        <row r="957">
          <cell r="C957" t="str">
            <v>Các loại cây xen canh</v>
          </cell>
        </row>
        <row r="958">
          <cell r="B958" t="str">
            <v>CL.Rau</v>
          </cell>
          <cell r="C958" t="str">
            <v>Rau trồng toàn diện tích</v>
          </cell>
          <cell r="F958" t="str">
            <v>m2</v>
          </cell>
          <cell r="G958">
            <v>10000</v>
          </cell>
          <cell r="H958">
            <v>1</v>
          </cell>
        </row>
        <row r="959">
          <cell r="B959" t="str">
            <v>XC.Rau</v>
          </cell>
          <cell r="C959" t="str">
            <v>Rau xen canh</v>
          </cell>
          <cell r="F959" t="str">
            <v>m2</v>
          </cell>
          <cell r="G959">
            <v>5000</v>
          </cell>
          <cell r="H959">
            <v>1</v>
          </cell>
        </row>
        <row r="960">
          <cell r="B960" t="str">
            <v>XC.Đỗ</v>
          </cell>
          <cell r="C960" t="str">
            <v>Đỗ xen canh</v>
          </cell>
          <cell r="F960" t="str">
            <v>m2</v>
          </cell>
          <cell r="G960">
            <v>5000</v>
          </cell>
          <cell r="H960">
            <v>1</v>
          </cell>
        </row>
        <row r="961">
          <cell r="B961" t="str">
            <v>XC.BC</v>
          </cell>
          <cell r="C961" t="str">
            <v>Bắp cải xen canh</v>
          </cell>
          <cell r="F961" t="str">
            <v>m2</v>
          </cell>
          <cell r="G961">
            <v>5000</v>
          </cell>
          <cell r="H961">
            <v>1</v>
          </cell>
        </row>
        <row r="962">
          <cell r="B962" t="str">
            <v>XC.CT</v>
          </cell>
          <cell r="C962" t="str">
            <v>Cải thảo xen canh</v>
          </cell>
          <cell r="F962" t="str">
            <v>m2</v>
          </cell>
          <cell r="G962">
            <v>5000</v>
          </cell>
          <cell r="H962">
            <v>1</v>
          </cell>
        </row>
        <row r="963">
          <cell r="B963" t="str">
            <v>XC.RN</v>
          </cell>
          <cell r="C963" t="str">
            <v>Rau ngót xen canh</v>
          </cell>
          <cell r="F963" t="str">
            <v>m2</v>
          </cell>
          <cell r="G963">
            <v>5000</v>
          </cell>
          <cell r="H963">
            <v>1</v>
          </cell>
        </row>
        <row r="964">
          <cell r="B964" t="str">
            <v>XC.RM</v>
          </cell>
          <cell r="C964" t="str">
            <v>Rau muống xen canh</v>
          </cell>
          <cell r="F964" t="str">
            <v>m2</v>
          </cell>
          <cell r="G964">
            <v>5000</v>
          </cell>
          <cell r="H964">
            <v>1</v>
          </cell>
        </row>
        <row r="965">
          <cell r="B965" t="str">
            <v>XC.RC</v>
          </cell>
          <cell r="C965" t="str">
            <v>Rau cải xen canh</v>
          </cell>
          <cell r="F965" t="str">
            <v>m2</v>
          </cell>
          <cell r="G965">
            <v>5000</v>
          </cell>
          <cell r="H965">
            <v>1</v>
          </cell>
        </row>
        <row r="966">
          <cell r="B966" t="str">
            <v>XC.RB</v>
          </cell>
          <cell r="C966" t="str">
            <v>Rau bí xen canh</v>
          </cell>
          <cell r="F966" t="str">
            <v>m2</v>
          </cell>
          <cell r="G966">
            <v>5000</v>
          </cell>
          <cell r="H966">
            <v>1</v>
          </cell>
        </row>
        <row r="967">
          <cell r="B967" t="str">
            <v>XC.LR</v>
          </cell>
          <cell r="C967" t="str">
            <v>Lá rong xen canh</v>
          </cell>
          <cell r="F967" t="str">
            <v>m2</v>
          </cell>
          <cell r="G967">
            <v>5000</v>
          </cell>
          <cell r="H967">
            <v>1</v>
          </cell>
        </row>
        <row r="968">
          <cell r="B968" t="str">
            <v>XC.RL</v>
          </cell>
          <cell r="C968" t="str">
            <v>Rau lang xen canh</v>
          </cell>
          <cell r="F968" t="str">
            <v>m2</v>
          </cell>
          <cell r="G968">
            <v>5000</v>
          </cell>
          <cell r="H968">
            <v>1</v>
          </cell>
        </row>
        <row r="969">
          <cell r="B969" t="str">
            <v>XC.DM</v>
          </cell>
          <cell r="C969" t="str">
            <v>Dọc mùng  xen canh</v>
          </cell>
          <cell r="F969" t="str">
            <v>m2</v>
          </cell>
          <cell r="G969">
            <v>5000</v>
          </cell>
          <cell r="H969">
            <v>1</v>
          </cell>
        </row>
        <row r="970">
          <cell r="B970" t="str">
            <v>XC.Cà</v>
          </cell>
          <cell r="C970" t="str">
            <v>Cà xen canh</v>
          </cell>
          <cell r="F970" t="str">
            <v>m2</v>
          </cell>
          <cell r="G970">
            <v>5000</v>
          </cell>
          <cell r="H970">
            <v>1</v>
          </cell>
        </row>
        <row r="971">
          <cell r="B971" t="str">
            <v>XC.Ớt</v>
          </cell>
          <cell r="C971" t="str">
            <v>Ớt xen canh</v>
          </cell>
          <cell r="F971" t="str">
            <v>m2</v>
          </cell>
          <cell r="G971">
            <v>5000</v>
          </cell>
          <cell r="H971">
            <v>1</v>
          </cell>
        </row>
        <row r="972">
          <cell r="B972" t="str">
            <v>XC.Gừng</v>
          </cell>
          <cell r="C972" t="str">
            <v>Gừng xen canh</v>
          </cell>
          <cell r="F972" t="str">
            <v>m2</v>
          </cell>
          <cell r="G972">
            <v>5000</v>
          </cell>
          <cell r="H972">
            <v>1</v>
          </cell>
        </row>
        <row r="973">
          <cell r="B973" t="str">
            <v>XC.NC</v>
          </cell>
          <cell r="C973" t="str">
            <v>Ngải cứu xen canh</v>
          </cell>
          <cell r="F973" t="str">
            <v>m2</v>
          </cell>
          <cell r="G973">
            <v>5000</v>
          </cell>
          <cell r="H973">
            <v>1</v>
          </cell>
        </row>
        <row r="974">
          <cell r="B974" t="str">
            <v>XC.CC</v>
          </cell>
          <cell r="C974" t="str">
            <v>Cải cúc xen canh</v>
          </cell>
          <cell r="F974" t="str">
            <v>m2</v>
          </cell>
          <cell r="G974">
            <v>5000</v>
          </cell>
          <cell r="H974">
            <v>1</v>
          </cell>
        </row>
        <row r="975">
          <cell r="B975" t="str">
            <v>XC.KS</v>
          </cell>
          <cell r="C975" t="str">
            <v>Khoai sọ xen canh</v>
          </cell>
          <cell r="F975" t="str">
            <v>m2</v>
          </cell>
          <cell r="G975">
            <v>5000</v>
          </cell>
          <cell r="H975">
            <v>1</v>
          </cell>
        </row>
        <row r="976">
          <cell r="B976" t="str">
            <v>XC.KM</v>
          </cell>
          <cell r="C976" t="str">
            <v>Khoai môn xen canh</v>
          </cell>
          <cell r="F976" t="str">
            <v>m2</v>
          </cell>
          <cell r="G976">
            <v>5000</v>
          </cell>
          <cell r="H976">
            <v>1</v>
          </cell>
        </row>
        <row r="977">
          <cell r="B977" t="str">
            <v>XC.Xả</v>
          </cell>
          <cell r="C977" t="str">
            <v>Xả xen canh</v>
          </cell>
          <cell r="F977" t="str">
            <v>m2</v>
          </cell>
          <cell r="G977">
            <v>5000</v>
          </cell>
          <cell r="H977">
            <v>1</v>
          </cell>
        </row>
        <row r="978">
          <cell r="B978" t="str">
            <v>XC.Ngô</v>
          </cell>
          <cell r="C978" t="str">
            <v>Ngô xen canh</v>
          </cell>
          <cell r="F978" t="str">
            <v>m2</v>
          </cell>
          <cell r="G978">
            <v>5000</v>
          </cell>
          <cell r="H978">
            <v>1</v>
          </cell>
        </row>
        <row r="979">
          <cell r="B979" t="str">
            <v>XC.Địa liền</v>
          </cell>
          <cell r="C979" t="str">
            <v>Địa liền xen canh</v>
          </cell>
          <cell r="F979" t="str">
            <v>m2</v>
          </cell>
          <cell r="G979">
            <v>5000</v>
          </cell>
          <cell r="H979">
            <v>1</v>
          </cell>
        </row>
        <row r="980">
          <cell r="B980" t="str">
            <v>XC.Đơn</v>
          </cell>
          <cell r="C980" t="str">
            <v>Mẫu đơn xen canh</v>
          </cell>
          <cell r="F980" t="str">
            <v>m2</v>
          </cell>
          <cell r="G980">
            <v>5000</v>
          </cell>
          <cell r="H980">
            <v>1</v>
          </cell>
        </row>
        <row r="981">
          <cell r="B981" t="str">
            <v>XC.Thienly</v>
          </cell>
          <cell r="C981" t="str">
            <v>Hoa thiên lý xen canh</v>
          </cell>
          <cell r="F981" t="str">
            <v>m2</v>
          </cell>
          <cell r="G981">
            <v>5000</v>
          </cell>
          <cell r="H981">
            <v>1</v>
          </cell>
        </row>
        <row r="982">
          <cell r="B982" t="str">
            <v>XC.Cỏ voi</v>
          </cell>
          <cell r="C982" t="str">
            <v>Cỏ voi xen canh</v>
          </cell>
          <cell r="F982" t="str">
            <v>m2</v>
          </cell>
          <cell r="G982">
            <v>5000</v>
          </cell>
          <cell r="H982">
            <v>1</v>
          </cell>
        </row>
        <row r="983">
          <cell r="B983" t="str">
            <v>Giàn.Gốc</v>
          </cell>
          <cell r="C983" t="str">
            <v>Gấc có giàn</v>
          </cell>
          <cell r="F983" t="str">
            <v>m2</v>
          </cell>
          <cell r="G983">
            <v>20000</v>
          </cell>
          <cell r="H983">
            <v>1</v>
          </cell>
        </row>
        <row r="984">
          <cell r="B984" t="str">
            <v>Giàn.Đỗ</v>
          </cell>
          <cell r="C984" t="str">
            <v>Đỗ có giàn</v>
          </cell>
          <cell r="F984" t="str">
            <v>m2</v>
          </cell>
          <cell r="G984">
            <v>20000</v>
          </cell>
          <cell r="H984">
            <v>1</v>
          </cell>
        </row>
        <row r="985">
          <cell r="B985" t="str">
            <v>Giàn.Mướp</v>
          </cell>
          <cell r="C985" t="str">
            <v>Mướp có giàn</v>
          </cell>
          <cell r="F985" t="str">
            <v>m2</v>
          </cell>
          <cell r="G985">
            <v>20000</v>
          </cell>
          <cell r="H985">
            <v>1</v>
          </cell>
        </row>
        <row r="986">
          <cell r="B986" t="str">
            <v>Giàn.Cà tím</v>
          </cell>
          <cell r="C986" t="str">
            <v>Cà tím có giàn</v>
          </cell>
          <cell r="F986" t="str">
            <v>m2</v>
          </cell>
          <cell r="G986">
            <v>20000</v>
          </cell>
          <cell r="H986">
            <v>1</v>
          </cell>
        </row>
        <row r="987">
          <cell r="C987" t="str">
            <v>CÁC CÂY CHƯA CÓ ĐƠN GIÁ</v>
          </cell>
        </row>
        <row r="988">
          <cell r="C988" t="str">
            <v>Cây tre</v>
          </cell>
        </row>
        <row r="989">
          <cell r="B989" t="str">
            <v>Tre25</v>
          </cell>
          <cell r="C989" t="str">
            <v>Cây tre</v>
          </cell>
          <cell r="D989" t="str">
            <v>2cm ≤ đk gốc &lt; 5cm</v>
          </cell>
          <cell r="F989" t="str">
            <v>cây</v>
          </cell>
          <cell r="G989">
            <v>30000</v>
          </cell>
          <cell r="H989">
            <v>1</v>
          </cell>
        </row>
        <row r="990">
          <cell r="B990" t="str">
            <v>Tre59</v>
          </cell>
          <cell r="C990" t="str">
            <v>Cây tre</v>
          </cell>
          <cell r="D990" t="str">
            <v>5cm ≤ đk gốc &lt; 9cm</v>
          </cell>
          <cell r="F990" t="str">
            <v>cây</v>
          </cell>
          <cell r="G990">
            <v>50000</v>
          </cell>
          <cell r="H990">
            <v>1</v>
          </cell>
        </row>
        <row r="991">
          <cell r="B991" t="str">
            <v>Tre913</v>
          </cell>
          <cell r="C991" t="str">
            <v>Cây tre</v>
          </cell>
          <cell r="D991" t="str">
            <v>9cm ≤ đk gốc &lt; 13cm</v>
          </cell>
          <cell r="F991" t="str">
            <v>cây</v>
          </cell>
          <cell r="G991">
            <v>60000</v>
          </cell>
          <cell r="H991">
            <v>1</v>
          </cell>
        </row>
        <row r="992">
          <cell r="B992" t="str">
            <v>Tre13+</v>
          </cell>
          <cell r="C992" t="str">
            <v>Cây tre</v>
          </cell>
          <cell r="D992" t="str">
            <v>đk gốc từ 13cm trở lên</v>
          </cell>
          <cell r="F992" t="str">
            <v>cây</v>
          </cell>
          <cell r="G992">
            <v>10000</v>
          </cell>
          <cell r="H992">
            <v>1</v>
          </cell>
        </row>
        <row r="993">
          <cell r="C993" t="str">
            <v>Cây tre ngà</v>
          </cell>
        </row>
        <row r="994">
          <cell r="B994" t="str">
            <v>Trenga25</v>
          </cell>
          <cell r="C994" t="str">
            <v>Cây tre ngà</v>
          </cell>
          <cell r="D994" t="str">
            <v>2cm ≤ đk gốc &lt; 5cm</v>
          </cell>
          <cell r="F994" t="str">
            <v>cây</v>
          </cell>
          <cell r="G994">
            <v>30000</v>
          </cell>
          <cell r="H994">
            <v>1</v>
          </cell>
        </row>
        <row r="995">
          <cell r="B995" t="str">
            <v>Trenga59</v>
          </cell>
          <cell r="C995" t="str">
            <v>Cây tre ngà</v>
          </cell>
          <cell r="D995" t="str">
            <v>5cm ≤ đk gốc &lt; 10cm</v>
          </cell>
          <cell r="F995" t="str">
            <v>cây</v>
          </cell>
          <cell r="G995">
            <v>50000</v>
          </cell>
          <cell r="H995">
            <v>1</v>
          </cell>
        </row>
        <row r="996">
          <cell r="B996" t="str">
            <v>Trenga913</v>
          </cell>
          <cell r="C996" t="str">
            <v>Cây tre ngà</v>
          </cell>
          <cell r="D996" t="str">
            <v>đk gốc từ 10cm trở lên</v>
          </cell>
          <cell r="F996" t="str">
            <v>cây</v>
          </cell>
          <cell r="G996">
            <v>60000</v>
          </cell>
          <cell r="H996">
            <v>1</v>
          </cell>
        </row>
        <row r="997">
          <cell r="B997" t="str">
            <v>Trenga13+</v>
          </cell>
          <cell r="C997" t="str">
            <v>Cây tre ngà</v>
          </cell>
          <cell r="D997" t="str">
            <v>đk gốc từ 10cm trở lên</v>
          </cell>
          <cell r="F997" t="str">
            <v>cây</v>
          </cell>
          <cell r="G997">
            <v>90000</v>
          </cell>
          <cell r="H997">
            <v>1</v>
          </cell>
        </row>
        <row r="998">
          <cell r="C998" t="str">
            <v>Cây khác</v>
          </cell>
        </row>
        <row r="999">
          <cell r="B999" t="str">
            <v>Caycanh</v>
          </cell>
          <cell r="C999" t="str">
            <v>Cây cảnh</v>
          </cell>
          <cell r="F999" t="str">
            <v>m2</v>
          </cell>
          <cell r="G999">
            <v>40000</v>
          </cell>
          <cell r="H999">
            <v>1</v>
          </cell>
          <cell r="J999" t="str">
            <v>Đơn giá dự thảo</v>
          </cell>
        </row>
        <row r="1000">
          <cell r="B1000" t="str">
            <v>Caycanhvmd</v>
          </cell>
          <cell r="C1000" t="str">
            <v>Cây cảnh vượt mật độ</v>
          </cell>
          <cell r="F1000" t="str">
            <v>m2</v>
          </cell>
          <cell r="G1000">
            <v>40000</v>
          </cell>
          <cell r="H1000">
            <v>0.5</v>
          </cell>
          <cell r="J1000" t="str">
            <v>Đơn giá dự thảo</v>
          </cell>
        </row>
        <row r="1001">
          <cell r="B1001" t="str">
            <v>Hoahồng</v>
          </cell>
          <cell r="C1001" t="str">
            <v>Hoa hồng</v>
          </cell>
          <cell r="F1001" t="str">
            <v>m2</v>
          </cell>
          <cell r="G1001">
            <v>40000</v>
          </cell>
          <cell r="H1001">
            <v>1</v>
          </cell>
          <cell r="J1001" t="str">
            <v>Đơn giá dự thảo</v>
          </cell>
        </row>
        <row r="1002">
          <cell r="B1002" t="str">
            <v>Hoahồng2-</v>
          </cell>
          <cell r="C1002" t="str">
            <v>Hoa hồng</v>
          </cell>
          <cell r="D1002" t="str">
            <v>đk gốc &lt; 2cm</v>
          </cell>
          <cell r="F1002" t="str">
            <v>m2</v>
          </cell>
          <cell r="G1002">
            <v>40000</v>
          </cell>
          <cell r="H1002">
            <v>1</v>
          </cell>
          <cell r="J1002" t="str">
            <v>Quy tính diện tích còn lại</v>
          </cell>
        </row>
        <row r="1003">
          <cell r="B1003" t="str">
            <v>Hoahồng23</v>
          </cell>
          <cell r="C1003" t="str">
            <v>Hoa hồng</v>
          </cell>
          <cell r="D1003" t="str">
            <v>2cm ≤ đk gốc ≤ 3cm</v>
          </cell>
          <cell r="F1003" t="str">
            <v>m2</v>
          </cell>
          <cell r="G1003">
            <v>40000</v>
          </cell>
          <cell r="H1003">
            <v>1</v>
          </cell>
          <cell r="J1003" t="str">
            <v>Quy tính diện tích còn lại</v>
          </cell>
        </row>
        <row r="1004">
          <cell r="B1004" t="str">
            <v>Hoahong.C40</v>
          </cell>
          <cell r="C1004" t="str">
            <v>Hoa hồng trồng trên chậu</v>
          </cell>
          <cell r="D1004" t="str">
            <v>Chậu đk 40cm</v>
          </cell>
          <cell r="F1004" t="str">
            <v>Chậu</v>
          </cell>
          <cell r="G1004">
            <v>40000</v>
          </cell>
          <cell r="H1004">
            <v>1</v>
          </cell>
          <cell r="J1004" t="str">
            <v>Đơn giá dự thảo</v>
          </cell>
        </row>
        <row r="1005">
          <cell r="B1005" t="str">
            <v>Hoagiay01</v>
          </cell>
          <cell r="C1005" t="str">
            <v>Hoa giấy</v>
          </cell>
          <cell r="F1005" t="str">
            <v>m2</v>
          </cell>
          <cell r="G1005">
            <v>40000</v>
          </cell>
          <cell r="H1005">
            <v>1</v>
          </cell>
          <cell r="J1005" t="str">
            <v>Đơn giá dự thảo</v>
          </cell>
        </row>
        <row r="1006">
          <cell r="B1006" t="str">
            <v>Hoagiay27</v>
          </cell>
          <cell r="C1006" t="str">
            <v>Hoa giấy</v>
          </cell>
          <cell r="D1006" t="str">
            <v>2cm ≤ đk gốc &lt; 7cm</v>
          </cell>
          <cell r="F1006" t="str">
            <v>m2</v>
          </cell>
          <cell r="G1006">
            <v>40000</v>
          </cell>
          <cell r="H1006">
            <v>1</v>
          </cell>
          <cell r="J1006" t="str">
            <v>Quy tính diện tích còn lại</v>
          </cell>
        </row>
        <row r="1007">
          <cell r="B1007" t="str">
            <v>Hoagiay712</v>
          </cell>
          <cell r="C1007" t="str">
            <v>Hoa giấy</v>
          </cell>
          <cell r="D1007" t="str">
            <v>7cm ≤ đk gốc &lt; 12cm</v>
          </cell>
          <cell r="F1007" t="str">
            <v>m2</v>
          </cell>
          <cell r="G1007">
            <v>40000</v>
          </cell>
          <cell r="H1007">
            <v>1</v>
          </cell>
          <cell r="J1007" t="str">
            <v>Quy tính diện tích còn lại</v>
          </cell>
        </row>
        <row r="1008">
          <cell r="B1008" t="str">
            <v>Hoacuc01</v>
          </cell>
          <cell r="C1008" t="str">
            <v>Hoa cúc</v>
          </cell>
          <cell r="F1008" t="str">
            <v>m2</v>
          </cell>
          <cell r="G1008">
            <v>40000</v>
          </cell>
          <cell r="H1008">
            <v>1</v>
          </cell>
          <cell r="J1008" t="str">
            <v>Đơn giá dự thảo</v>
          </cell>
        </row>
        <row r="1009">
          <cell r="B1009" t="str">
            <v>Hoacuc01vmd</v>
          </cell>
          <cell r="C1009" t="str">
            <v>Hoa cúc vượt mật độ</v>
          </cell>
          <cell r="F1009" t="str">
            <v>m2</v>
          </cell>
          <cell r="G1009">
            <v>40000</v>
          </cell>
          <cell r="H1009">
            <v>0.5</v>
          </cell>
          <cell r="J1009" t="str">
            <v>Đơn giá dự thảo</v>
          </cell>
        </row>
        <row r="1010">
          <cell r="B1010" t="str">
            <v>Bachthienhuong</v>
          </cell>
          <cell r="C1010" t="str">
            <v>Bạch thiên hương</v>
          </cell>
          <cell r="F1010" t="str">
            <v>m2</v>
          </cell>
          <cell r="G1010">
            <v>40000</v>
          </cell>
          <cell r="H1010">
            <v>1</v>
          </cell>
          <cell r="J1010" t="str">
            <v>Đơn giá dự thảo</v>
          </cell>
        </row>
        <row r="1011">
          <cell r="B1011" t="str">
            <v>Bachthienhuong02</v>
          </cell>
          <cell r="C1011" t="str">
            <v>Bạch thiên hương</v>
          </cell>
          <cell r="D1011" t="str">
            <v>đk gốc 2cm</v>
          </cell>
          <cell r="F1011" t="str">
            <v>m2</v>
          </cell>
          <cell r="G1011">
            <v>40000</v>
          </cell>
          <cell r="H1011">
            <v>1</v>
          </cell>
          <cell r="J1011" t="str">
            <v>Quy tính diện tích còn lại</v>
          </cell>
        </row>
        <row r="1012">
          <cell r="B1012" t="str">
            <v>Ngusac</v>
          </cell>
          <cell r="C1012" t="str">
            <v>Cây ngũ sắc (thuốc nam)</v>
          </cell>
          <cell r="F1012" t="str">
            <v>m2</v>
          </cell>
          <cell r="G1012">
            <v>40000</v>
          </cell>
          <cell r="H1012">
            <v>1</v>
          </cell>
          <cell r="J1012" t="str">
            <v>Đơn giá dự thảo</v>
          </cell>
        </row>
        <row r="1013">
          <cell r="B1013" t="str">
            <v>Chùmngây08</v>
          </cell>
          <cell r="C1013" t="str">
            <v>Cây chùm ngây</v>
          </cell>
          <cell r="D1013" t="str">
            <v>đk gốc 8cm</v>
          </cell>
          <cell r="F1013" t="str">
            <v>m2</v>
          </cell>
          <cell r="G1013">
            <v>40000</v>
          </cell>
          <cell r="H1013">
            <v>1</v>
          </cell>
          <cell r="J1013" t="str">
            <v>Quy tính diện tích còn lại</v>
          </cell>
        </row>
        <row r="1014">
          <cell r="B1014" t="str">
            <v>Chùmngây20+vmd</v>
          </cell>
          <cell r="C1014" t="str">
            <v>Cây chùm ngây vượt mật độ</v>
          </cell>
          <cell r="D1014" t="str">
            <v>đk gốc &gt; 20cm</v>
          </cell>
          <cell r="F1014" t="str">
            <v>m2</v>
          </cell>
          <cell r="G1014">
            <v>40000</v>
          </cell>
          <cell r="H1014">
            <v>1</v>
          </cell>
          <cell r="J1014" t="str">
            <v>Quy tính diện tích còn lại</v>
          </cell>
        </row>
        <row r="1015">
          <cell r="B1015" t="str">
            <v>Đơn35</v>
          </cell>
          <cell r="C1015" t="str">
            <v>Cây mẫu đơn</v>
          </cell>
          <cell r="D1015" t="str">
            <v>3cm ≤ đk gốc ≤ 5cm</v>
          </cell>
          <cell r="F1015" t="str">
            <v>m2</v>
          </cell>
          <cell r="G1015">
            <v>40000</v>
          </cell>
          <cell r="H1015">
            <v>1</v>
          </cell>
          <cell r="J1015" t="str">
            <v>Quy tính diện tích còn lại</v>
          </cell>
        </row>
        <row r="1016">
          <cell r="B1016" t="str">
            <v>Đơn02</v>
          </cell>
          <cell r="C1016" t="str">
            <v>Cây mẫu đơn</v>
          </cell>
          <cell r="D1016" t="str">
            <v>đk gốc 2cm</v>
          </cell>
          <cell r="F1016" t="str">
            <v>m2</v>
          </cell>
          <cell r="G1016">
            <v>40000</v>
          </cell>
          <cell r="H1016">
            <v>1</v>
          </cell>
          <cell r="J1016" t="str">
            <v>Quy tính diện tích còn lại</v>
          </cell>
        </row>
        <row r="1017">
          <cell r="B1017" t="str">
            <v>Đơn02vmd</v>
          </cell>
          <cell r="C1017" t="str">
            <v>Cây mẫu đơn vượt mật độ</v>
          </cell>
          <cell r="D1017" t="str">
            <v>đk gốc 2cm</v>
          </cell>
          <cell r="F1017" t="str">
            <v>m2</v>
          </cell>
          <cell r="G1017">
            <v>40000</v>
          </cell>
          <cell r="H1017">
            <v>0.5</v>
          </cell>
          <cell r="J1017" t="str">
            <v>Quy tính diện tích còn lại</v>
          </cell>
        </row>
        <row r="1018">
          <cell r="B1018" t="str">
            <v>Đơn01</v>
          </cell>
          <cell r="C1018" t="str">
            <v>Cây mẫu đơn</v>
          </cell>
          <cell r="D1018" t="str">
            <v>cây giống</v>
          </cell>
          <cell r="F1018" t="str">
            <v>m2</v>
          </cell>
          <cell r="G1018">
            <v>40000</v>
          </cell>
          <cell r="H1018">
            <v>1</v>
          </cell>
          <cell r="J1018" t="str">
            <v>Đơn giá dự thảo</v>
          </cell>
        </row>
        <row r="1019">
          <cell r="B1019" t="str">
            <v>Nhài01</v>
          </cell>
          <cell r="C1019" t="str">
            <v>Cây nhài</v>
          </cell>
          <cell r="D1019" t="str">
            <v>cây giống</v>
          </cell>
          <cell r="F1019" t="str">
            <v>m2</v>
          </cell>
          <cell r="G1019">
            <v>40000</v>
          </cell>
          <cell r="H1019">
            <v>1</v>
          </cell>
          <cell r="J1019" t="str">
            <v>Đơn giá dự thảo</v>
          </cell>
        </row>
        <row r="1020">
          <cell r="B1020" t="str">
            <v>Nhài02</v>
          </cell>
          <cell r="C1020" t="str">
            <v>Cây nhài</v>
          </cell>
          <cell r="D1020" t="str">
            <v>đk gốc 2cm</v>
          </cell>
          <cell r="F1020" t="str">
            <v>m2</v>
          </cell>
          <cell r="G1020">
            <v>40000</v>
          </cell>
          <cell r="H1020">
            <v>1</v>
          </cell>
          <cell r="J1020" t="str">
            <v>Quy tính diện tích còn lại</v>
          </cell>
        </row>
        <row r="1021">
          <cell r="B1021" t="str">
            <v>Dambut</v>
          </cell>
          <cell r="C1021" t="str">
            <v>Dâm bụt</v>
          </cell>
          <cell r="F1021" t="str">
            <v>m2</v>
          </cell>
          <cell r="G1021">
            <v>40000</v>
          </cell>
          <cell r="H1021">
            <v>1</v>
          </cell>
          <cell r="J1021" t="str">
            <v>Đơn giá dự thảo</v>
          </cell>
        </row>
        <row r="1022">
          <cell r="B1022" t="str">
            <v>Dambut25</v>
          </cell>
          <cell r="C1022" t="str">
            <v>Dâm bụt</v>
          </cell>
          <cell r="D1022" t="str">
            <v>2cm ≤ đk gốc ≤ 5cm</v>
          </cell>
          <cell r="F1022" t="str">
            <v>m2</v>
          </cell>
          <cell r="G1022">
            <v>40000</v>
          </cell>
          <cell r="H1022">
            <v>1</v>
          </cell>
          <cell r="J1022" t="str">
            <v>Quy tính diện tích còn lại</v>
          </cell>
        </row>
        <row r="1023">
          <cell r="B1023" t="str">
            <v>Dambut79</v>
          </cell>
          <cell r="C1023" t="str">
            <v>Dâm bụt</v>
          </cell>
          <cell r="D1023" t="str">
            <v>7cm ≤ đk gốc ≤ 9cm</v>
          </cell>
          <cell r="F1023" t="str">
            <v>m2</v>
          </cell>
          <cell r="G1023">
            <v>40000</v>
          </cell>
          <cell r="H1023">
            <v>1</v>
          </cell>
          <cell r="J1023" t="str">
            <v>Quy tính diện tích còn lại</v>
          </cell>
        </row>
        <row r="1024">
          <cell r="B1024" t="str">
            <v>Dambut25#</v>
          </cell>
          <cell r="C1024" t="str">
            <v>Dâm bụt trồng trên đất GTTL</v>
          </cell>
          <cell r="D1024" t="str">
            <v>2cm ≤ đk gốc ≤ 5cm</v>
          </cell>
          <cell r="F1024" t="str">
            <v>m2</v>
          </cell>
          <cell r="G1024">
            <v>40000</v>
          </cell>
          <cell r="H1024">
            <v>1</v>
          </cell>
          <cell r="J1024" t="str">
            <v>Quy tính diện tích còn lại</v>
          </cell>
        </row>
        <row r="1025">
          <cell r="B1025" t="str">
            <v>Thuocduoc01</v>
          </cell>
          <cell r="C1025" t="str">
            <v>Thược dược</v>
          </cell>
          <cell r="F1025" t="str">
            <v>m2</v>
          </cell>
          <cell r="G1025">
            <v>40000</v>
          </cell>
          <cell r="H1025">
            <v>1</v>
          </cell>
        </row>
        <row r="1026">
          <cell r="B1026" t="str">
            <v>Bách712</v>
          </cell>
          <cell r="C1026" t="str">
            <v>Bách tán</v>
          </cell>
          <cell r="D1026" t="str">
            <v>7cm ≤ đk gốc &lt; 12cm</v>
          </cell>
          <cell r="E1026">
            <v>1</v>
          </cell>
          <cell r="F1026" t="str">
            <v>cây</v>
          </cell>
          <cell r="G1026">
            <v>120000</v>
          </cell>
          <cell r="H1026">
            <v>1</v>
          </cell>
        </row>
        <row r="1027">
          <cell r="B1027" t="str">
            <v>Ngugiabi5-</v>
          </cell>
          <cell r="C1027" t="str">
            <v>Ngũ gia bì</v>
          </cell>
          <cell r="D1027" t="str">
            <v>đk gốc &lt; 5cm</v>
          </cell>
          <cell r="F1027" t="str">
            <v>m2</v>
          </cell>
          <cell r="G1027">
            <v>40000</v>
          </cell>
          <cell r="H1027">
            <v>1</v>
          </cell>
          <cell r="J1027" t="str">
            <v>Quy tính diện tích còn lại</v>
          </cell>
        </row>
        <row r="1028">
          <cell r="B1028" t="str">
            <v>Ngugiabi57</v>
          </cell>
          <cell r="C1028" t="str">
            <v>Ngũ gia bì</v>
          </cell>
          <cell r="D1028" t="str">
            <v>5cm ≤ đk gốc &lt; 7cm</v>
          </cell>
          <cell r="F1028" t="str">
            <v>m2</v>
          </cell>
          <cell r="G1028">
            <v>40000</v>
          </cell>
          <cell r="H1028">
            <v>1</v>
          </cell>
          <cell r="J1028" t="str">
            <v>Quy tính diện tích còn lại</v>
          </cell>
        </row>
        <row r="1029">
          <cell r="B1029" t="str">
            <v>Ngugiabi57#</v>
          </cell>
          <cell r="C1029" t="str">
            <v>Ngũ gia bì trồng trên đất GTTL</v>
          </cell>
          <cell r="D1029" t="str">
            <v>5cm ≤ đk gốc &lt; 7cm</v>
          </cell>
          <cell r="F1029" t="str">
            <v>cây</v>
          </cell>
          <cell r="H1029">
            <v>0.3</v>
          </cell>
        </row>
        <row r="1030">
          <cell r="B1030" t="str">
            <v>Ngugiabi712</v>
          </cell>
          <cell r="C1030" t="str">
            <v>Ngũ gia bì</v>
          </cell>
          <cell r="D1030" t="str">
            <v>7cm ≤ đk gốc &lt; 12cm</v>
          </cell>
          <cell r="F1030" t="str">
            <v>m2</v>
          </cell>
          <cell r="G1030">
            <v>40000</v>
          </cell>
          <cell r="H1030">
            <v>1</v>
          </cell>
          <cell r="J1030" t="str">
            <v>Quy tính diện tích còn lại</v>
          </cell>
        </row>
        <row r="1031">
          <cell r="B1031" t="str">
            <v>Dongrieng</v>
          </cell>
          <cell r="C1031" t="str">
            <v>Dong riềng</v>
          </cell>
          <cell r="F1031" t="str">
            <v>m2</v>
          </cell>
          <cell r="G1031">
            <v>40000</v>
          </cell>
          <cell r="H1031">
            <v>1</v>
          </cell>
          <cell r="J1031" t="str">
            <v>Quy tính diện tích còn lại</v>
          </cell>
        </row>
        <row r="1032">
          <cell r="B1032" t="str">
            <v>Huyetdu01</v>
          </cell>
          <cell r="C1032" t="str">
            <v>Huyết dụ</v>
          </cell>
          <cell r="F1032" t="str">
            <v>m2</v>
          </cell>
          <cell r="G1032">
            <v>40000</v>
          </cell>
          <cell r="H1032">
            <v>1</v>
          </cell>
        </row>
        <row r="1033">
          <cell r="B1033" t="str">
            <v>Huyetdu02</v>
          </cell>
          <cell r="C1033" t="str">
            <v>Huyết dụ</v>
          </cell>
          <cell r="D1033" t="str">
            <v>đk gốc 2cm</v>
          </cell>
          <cell r="F1033" t="str">
            <v>m2</v>
          </cell>
          <cell r="G1033">
            <v>40000</v>
          </cell>
          <cell r="H1033">
            <v>1</v>
          </cell>
          <cell r="J1033" t="str">
            <v>Quy tính diện tích còn lại</v>
          </cell>
        </row>
        <row r="1034">
          <cell r="B1034" t="str">
            <v>Kimgiao15</v>
          </cell>
          <cell r="C1034" t="str">
            <v>Kim giao</v>
          </cell>
          <cell r="D1034" t="str">
            <v>đk gốc 15cm</v>
          </cell>
          <cell r="F1034" t="str">
            <v>m2</v>
          </cell>
          <cell r="G1034">
            <v>40000</v>
          </cell>
          <cell r="H1034">
            <v>1</v>
          </cell>
          <cell r="J1034" t="str">
            <v>Quy tính diện tích còn lại</v>
          </cell>
        </row>
        <row r="1035">
          <cell r="B1035" t="str">
            <v>Kimgiao10</v>
          </cell>
          <cell r="C1035" t="str">
            <v>Kim giao</v>
          </cell>
          <cell r="D1035" t="str">
            <v>đk gốc 10cm</v>
          </cell>
          <cell r="F1035" t="str">
            <v>m2</v>
          </cell>
          <cell r="G1035">
            <v>40000</v>
          </cell>
          <cell r="H1035">
            <v>1</v>
          </cell>
          <cell r="J1035" t="str">
            <v>Quy tính diện tích còn lại</v>
          </cell>
        </row>
        <row r="1036">
          <cell r="B1036" t="str">
            <v>Longnao712</v>
          </cell>
          <cell r="C1036" t="str">
            <v>Long não</v>
          </cell>
          <cell r="D1036" t="str">
            <v>7cm ≤ đk gốc &lt; 12cm</v>
          </cell>
          <cell r="E1036">
            <v>5</v>
          </cell>
          <cell r="F1036" t="str">
            <v>cây</v>
          </cell>
          <cell r="G1036">
            <v>120000</v>
          </cell>
          <cell r="H1036">
            <v>1</v>
          </cell>
          <cell r="J1036" t="str">
            <v>Áp giá cây Dạ hương</v>
          </cell>
        </row>
        <row r="1037">
          <cell r="B1037" t="str">
            <v>Ngocbut27</v>
          </cell>
          <cell r="C1037" t="str">
            <v>Cây Ngọc bút</v>
          </cell>
          <cell r="D1037" t="str">
            <v>2cm ≤ đk gốc ≤ 7cm</v>
          </cell>
          <cell r="F1037" t="str">
            <v>m2</v>
          </cell>
          <cell r="G1037">
            <v>40000</v>
          </cell>
          <cell r="H1037">
            <v>1</v>
          </cell>
          <cell r="J1037" t="str">
            <v>Quy tính diện tích còn lại</v>
          </cell>
        </row>
        <row r="1038">
          <cell r="B1038" t="str">
            <v>Daotruc712</v>
          </cell>
          <cell r="C1038" t="str">
            <v>Đào trúc</v>
          </cell>
          <cell r="D1038" t="str">
            <v>7cm ≤ đk gốc &lt; 12cm</v>
          </cell>
          <cell r="F1038" t="str">
            <v>m2</v>
          </cell>
          <cell r="G1038">
            <v>40000</v>
          </cell>
          <cell r="H1038">
            <v>1</v>
          </cell>
          <cell r="J1038" t="str">
            <v>Quy tính diện tích còn lại</v>
          </cell>
        </row>
        <row r="1039">
          <cell r="B1039" t="str">
            <v>Trungca15</v>
          </cell>
          <cell r="C1039" t="str">
            <v>Cây trứng cá</v>
          </cell>
          <cell r="D1039" t="str">
            <v>đk gốc 15cm</v>
          </cell>
          <cell r="F1039" t="str">
            <v>m2</v>
          </cell>
          <cell r="G1039">
            <v>40000</v>
          </cell>
          <cell r="H1039">
            <v>1</v>
          </cell>
          <cell r="J1039" t="str">
            <v>Quy tính diện tích còn lại</v>
          </cell>
        </row>
        <row r="1040">
          <cell r="B1040" t="str">
            <v>Trangnguyen</v>
          </cell>
          <cell r="C1040" t="str">
            <v>Cây trạng nguyên</v>
          </cell>
          <cell r="F1040" t="str">
            <v>m2</v>
          </cell>
          <cell r="G1040">
            <v>40000</v>
          </cell>
          <cell r="H1040">
            <v>1</v>
          </cell>
          <cell r="J1040" t="str">
            <v>Quy tính diện tích còn lại</v>
          </cell>
        </row>
        <row r="1041">
          <cell r="B1041" t="str">
            <v>Trangnguyen01</v>
          </cell>
          <cell r="C1041" t="str">
            <v>Cây trạng nguyên</v>
          </cell>
          <cell r="D1041" t="str">
            <v>đk gốc 1cm</v>
          </cell>
          <cell r="F1041" t="str">
            <v>m2</v>
          </cell>
          <cell r="G1041">
            <v>40000</v>
          </cell>
          <cell r="H1041">
            <v>1</v>
          </cell>
          <cell r="J1041" t="str">
            <v>Quy tính diện tích còn lại</v>
          </cell>
        </row>
        <row r="1042">
          <cell r="B1042" t="str">
            <v>Chay12</v>
          </cell>
          <cell r="C1042" t="str">
            <v>Cây chay</v>
          </cell>
          <cell r="D1042" t="str">
            <v>1cm ≤ đk gốc ≤ 2cm</v>
          </cell>
          <cell r="F1042" t="str">
            <v>m2</v>
          </cell>
          <cell r="G1042">
            <v>40000</v>
          </cell>
          <cell r="H1042">
            <v>1</v>
          </cell>
          <cell r="J1042" t="str">
            <v>Quy tính diện tích còn lại</v>
          </cell>
        </row>
        <row r="1043">
          <cell r="B1043" t="str">
            <v>Chala20</v>
          </cell>
          <cell r="C1043" t="str">
            <v>Cây chà là</v>
          </cell>
          <cell r="D1043" t="str">
            <v>đk gốc 20cm</v>
          </cell>
          <cell r="F1043" t="str">
            <v>m2</v>
          </cell>
          <cell r="G1043">
            <v>40000</v>
          </cell>
          <cell r="H1043">
            <v>1</v>
          </cell>
          <cell r="J1043" t="str">
            <v>Quy tính diện tích còn lại</v>
          </cell>
        </row>
        <row r="1044">
          <cell r="B1044" t="str">
            <v>Bachduong01</v>
          </cell>
          <cell r="C1044" t="str">
            <v>Bạch dương</v>
          </cell>
          <cell r="F1044" t="str">
            <v>m2</v>
          </cell>
          <cell r="G1044">
            <v>40000</v>
          </cell>
          <cell r="H1044">
            <v>1</v>
          </cell>
        </row>
        <row r="1045">
          <cell r="B1045" t="str">
            <v>Thietmoclan25</v>
          </cell>
          <cell r="C1045" t="str">
            <v>Thiết mộc lan</v>
          </cell>
          <cell r="D1045" t="str">
            <v>2cm ≤ đk gốc ≤ 5cm</v>
          </cell>
          <cell r="F1045" t="str">
            <v>m2</v>
          </cell>
          <cell r="G1045">
            <v>40000</v>
          </cell>
          <cell r="H1045">
            <v>1</v>
          </cell>
          <cell r="J1045" t="str">
            <v>Quy tính diện tích còn lại</v>
          </cell>
        </row>
        <row r="1046">
          <cell r="B1046" t="str">
            <v>Trà02mt</v>
          </cell>
          <cell r="C1046" t="str">
            <v>Cây trà mới trồng</v>
          </cell>
          <cell r="D1046" t="str">
            <v>đk gốc 2cm</v>
          </cell>
          <cell r="F1046" t="str">
            <v>m2</v>
          </cell>
          <cell r="H1046">
            <v>1</v>
          </cell>
          <cell r="J1046" t="str">
            <v>Quy tính diện tích còn lại</v>
          </cell>
        </row>
        <row r="1047">
          <cell r="B1047" t="str">
            <v>HRN</v>
          </cell>
          <cell r="C1047" t="str">
            <v>Hàng rào nứa</v>
          </cell>
          <cell r="F1047" t="str">
            <v>m2</v>
          </cell>
          <cell r="G1047">
            <v>3000</v>
          </cell>
          <cell r="H1047">
            <v>1</v>
          </cell>
        </row>
        <row r="1048">
          <cell r="B1048" t="str">
            <v>MN.NTTS</v>
          </cell>
          <cell r="C1048" t="str">
            <v>Mặt nước nuôi trồng thủy sản</v>
          </cell>
          <cell r="F1048" t="str">
            <v>m2</v>
          </cell>
          <cell r="G1048">
            <v>10000</v>
          </cell>
          <cell r="H1048">
            <v>1</v>
          </cell>
        </row>
        <row r="1049">
          <cell r="C1049" t="str">
            <v>Cây trồng bịch</v>
          </cell>
        </row>
        <row r="1050">
          <cell r="B1050" t="str">
            <v>Cuc.B20</v>
          </cell>
          <cell r="C1050" t="str">
            <v>Hoa cúc</v>
          </cell>
          <cell r="D1050" t="str">
            <v>Bịch đk 20cm</v>
          </cell>
          <cell r="F1050" t="str">
            <v>bịch</v>
          </cell>
          <cell r="G1050">
            <v>40000</v>
          </cell>
          <cell r="H1050">
            <v>1</v>
          </cell>
          <cell r="J1050" t="str">
            <v>Quy tính diện tích còn lại</v>
          </cell>
        </row>
        <row r="1051">
          <cell r="B1051" t="str">
            <v>Thuocduoc.B15</v>
          </cell>
          <cell r="C1051" t="str">
            <v>Thược dược</v>
          </cell>
          <cell r="D1051" t="str">
            <v>Bịch đk 15cm</v>
          </cell>
          <cell r="F1051" t="str">
            <v>bịch</v>
          </cell>
          <cell r="G1051">
            <v>40000</v>
          </cell>
          <cell r="H1051">
            <v>1</v>
          </cell>
          <cell r="J1051" t="str">
            <v>Quy tính diện tích còn lại</v>
          </cell>
        </row>
        <row r="1052">
          <cell r="C1052" t="str">
            <v>Cây trồng trên chậu</v>
          </cell>
        </row>
        <row r="1053">
          <cell r="B1053" t="str">
            <v>Hoahong.C30</v>
          </cell>
          <cell r="C1053" t="str">
            <v>Hoa hồng trồng trên chậu</v>
          </cell>
          <cell r="D1053" t="str">
            <v>Chậu đk 30cm</v>
          </cell>
          <cell r="F1053" t="str">
            <v>Chậu</v>
          </cell>
          <cell r="G1053">
            <v>40000</v>
          </cell>
          <cell r="H1053">
            <v>1</v>
          </cell>
          <cell r="J1053" t="str">
            <v>Quy tính diện tích còn lại</v>
          </cell>
        </row>
        <row r="1054">
          <cell r="B1054" t="str">
            <v>Hoahong.C25</v>
          </cell>
          <cell r="C1054" t="str">
            <v>Hoa hồng trồng trên chậu</v>
          </cell>
          <cell r="D1054" t="str">
            <v>Chậu đk 25cm</v>
          </cell>
          <cell r="F1054" t="str">
            <v>Chậu</v>
          </cell>
          <cell r="G1054">
            <v>40000</v>
          </cell>
          <cell r="H1054">
            <v>1</v>
          </cell>
          <cell r="J1054" t="str">
            <v>Quy tính diện tích còn lại</v>
          </cell>
        </row>
        <row r="1055">
          <cell r="B1055" t="str">
            <v>Hoahong.C20</v>
          </cell>
          <cell r="C1055" t="str">
            <v>Hoa hồng trồng trên chậu</v>
          </cell>
          <cell r="D1055" t="str">
            <v>Chậu đk 20cm</v>
          </cell>
          <cell r="F1055" t="str">
            <v>Chậu</v>
          </cell>
          <cell r="G1055">
            <v>40000</v>
          </cell>
          <cell r="H1055">
            <v>1</v>
          </cell>
          <cell r="J1055" t="str">
            <v>Quy tính diện tích còn lại</v>
          </cell>
        </row>
        <row r="1056">
          <cell r="B1056" t="str">
            <v>Hoahồngvmd</v>
          </cell>
          <cell r="C1056" t="str">
            <v>Hoa hồng vượt mật độ</v>
          </cell>
          <cell r="F1056" t="str">
            <v>m2</v>
          </cell>
          <cell r="G1056">
            <v>40000</v>
          </cell>
          <cell r="H1056">
            <v>0.5</v>
          </cell>
          <cell r="J1056" t="str">
            <v>Quy tính diện tích còn lại</v>
          </cell>
        </row>
        <row r="1057">
          <cell r="B1057" t="str">
            <v>Hoagiay.C50</v>
          </cell>
          <cell r="C1057" t="str">
            <v>Hoa giấy trồng trên chậu</v>
          </cell>
          <cell r="D1057" t="str">
            <v>Chậu đk 50cm</v>
          </cell>
          <cell r="F1057" t="str">
            <v>Chậu</v>
          </cell>
          <cell r="G1057">
            <v>40000</v>
          </cell>
          <cell r="H1057">
            <v>1</v>
          </cell>
          <cell r="J1057" t="str">
            <v>Quy tính diện tích còn lại</v>
          </cell>
        </row>
        <row r="1058">
          <cell r="B1058" t="str">
            <v>Hoagiay.C30</v>
          </cell>
          <cell r="C1058" t="str">
            <v>Hoa giấy trồng trên chậu</v>
          </cell>
          <cell r="D1058" t="str">
            <v>Chậu đk 30cm</v>
          </cell>
          <cell r="F1058" t="str">
            <v>Chậu</v>
          </cell>
          <cell r="G1058">
            <v>40000</v>
          </cell>
          <cell r="H1058">
            <v>1</v>
          </cell>
          <cell r="J1058" t="str">
            <v>Quy tính diện tích còn lại</v>
          </cell>
        </row>
        <row r="1059">
          <cell r="B1059" t="str">
            <v>Hoagiay.C20</v>
          </cell>
          <cell r="C1059" t="str">
            <v>Hoa giấy trồng trên chậu</v>
          </cell>
          <cell r="D1059" t="str">
            <v>Chậu đk 20cm</v>
          </cell>
          <cell r="F1059" t="str">
            <v>Chậu</v>
          </cell>
          <cell r="G1059">
            <v>40000</v>
          </cell>
          <cell r="H1059">
            <v>1</v>
          </cell>
          <cell r="J1059" t="str">
            <v>Quy tính diện tích còn lại</v>
          </cell>
        </row>
        <row r="1060">
          <cell r="B1060" t="str">
            <v>Đơn.C30</v>
          </cell>
          <cell r="C1060" t="str">
            <v>Mẫu đơn trồng trên chậu</v>
          </cell>
          <cell r="D1060" t="str">
            <v>Chậu đk 30cm</v>
          </cell>
          <cell r="F1060" t="str">
            <v>Chậu</v>
          </cell>
          <cell r="G1060">
            <v>40000</v>
          </cell>
          <cell r="H1060">
            <v>1</v>
          </cell>
          <cell r="J1060" t="str">
            <v>Quy tính diện tích còn lại</v>
          </cell>
        </row>
        <row r="1061">
          <cell r="B1061" t="str">
            <v>Lựu.C30</v>
          </cell>
          <cell r="C1061" t="str">
            <v>Lựu trồng trên chậu</v>
          </cell>
          <cell r="D1061" t="str">
            <v>Chậu đk 30cm</v>
          </cell>
          <cell r="F1061" t="str">
            <v>Chậu</v>
          </cell>
          <cell r="G1061">
            <v>40000</v>
          </cell>
          <cell r="H1061">
            <v>1</v>
          </cell>
          <cell r="J1061" t="str">
            <v>Quy tính diện tích còn lại</v>
          </cell>
        </row>
        <row r="1062">
          <cell r="B1062" t="str">
            <v>Thuocduoc.C20</v>
          </cell>
          <cell r="C1062" t="str">
            <v>Thược dược trồng trên chậu</v>
          </cell>
          <cell r="D1062" t="str">
            <v>Chậu đk 20cm</v>
          </cell>
          <cell r="F1062" t="str">
            <v>Chậu</v>
          </cell>
          <cell r="G1062">
            <v>40000</v>
          </cell>
          <cell r="H1062">
            <v>1</v>
          </cell>
          <cell r="J1062" t="str">
            <v>Quy tính diện tích còn lại</v>
          </cell>
        </row>
        <row r="1063">
          <cell r="B1063" t="str">
            <v>Nguyetque.C50</v>
          </cell>
          <cell r="C1063" t="str">
            <v>Nguyệt quế trồng trên chậu</v>
          </cell>
          <cell r="D1063" t="str">
            <v>Chậu đk 50cm</v>
          </cell>
          <cell r="F1063" t="str">
            <v>Chậu</v>
          </cell>
          <cell r="G1063">
            <v>40000</v>
          </cell>
          <cell r="H1063">
            <v>1</v>
          </cell>
          <cell r="J1063" t="str">
            <v>Quy tính diện tích còn lại</v>
          </cell>
        </row>
        <row r="1064">
          <cell r="B1064" t="str">
            <v>Nhai.C50</v>
          </cell>
          <cell r="C1064" t="str">
            <v>Nhài trồng trên chậu</v>
          </cell>
          <cell r="D1064" t="str">
            <v>Chậu đk 50cm</v>
          </cell>
          <cell r="F1064" t="str">
            <v>Chậu</v>
          </cell>
          <cell r="G1064">
            <v>40000</v>
          </cell>
          <cell r="H1064">
            <v>1</v>
          </cell>
          <cell r="J1064" t="str">
            <v>Quy tính diện tích còn lại</v>
          </cell>
        </row>
        <row r="1065">
          <cell r="B1065" t="str">
            <v>Moc.C50</v>
          </cell>
          <cell r="C1065" t="str">
            <v>Mộc trồng trên chậu</v>
          </cell>
          <cell r="D1065" t="str">
            <v>Chậu đk 50cm</v>
          </cell>
          <cell r="F1065" t="str">
            <v>Chậu</v>
          </cell>
          <cell r="G1065">
            <v>40000</v>
          </cell>
          <cell r="H1065">
            <v>1</v>
          </cell>
          <cell r="J1065" t="str">
            <v>Quy tính diện tích còn lại</v>
          </cell>
        </row>
        <row r="1066">
          <cell r="B1066" t="str">
            <v>Trauba.C20</v>
          </cell>
          <cell r="C1066" t="str">
            <v>Trầu bà trồng trên chậu</v>
          </cell>
          <cell r="D1066" t="str">
            <v>Chậu đk 20cm</v>
          </cell>
          <cell r="F1066" t="str">
            <v>Chậu</v>
          </cell>
          <cell r="G1066">
            <v>40000</v>
          </cell>
          <cell r="H1066">
            <v>1</v>
          </cell>
          <cell r="J1066" t="str">
            <v>Quy tính diện tích còn lại</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
      <sheetName val="Ds"/>
      <sheetName val="BB họp GĐ"/>
      <sheetName val="DL. VKT"/>
      <sheetName val="DL. Cây"/>
      <sheetName val="Sheet1"/>
    </sheetNames>
    <sheetDataSet>
      <sheetData sheetId="0" refreshError="1"/>
      <sheetData sheetId="1" refreshError="1"/>
      <sheetData sheetId="2" refreshError="1"/>
      <sheetData sheetId="3"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cell r="D3">
            <v>0</v>
          </cell>
          <cell r="E3">
            <v>0</v>
          </cell>
          <cell r="F3">
            <v>0</v>
          </cell>
          <cell r="G3">
            <v>0</v>
          </cell>
          <cell r="H3">
            <v>0</v>
          </cell>
        </row>
        <row r="4">
          <cell r="B4">
            <v>0</v>
          </cell>
          <cell r="C4" t="str">
            <v>Chiều cao trung bình 1 tầng ≥ 4,5m cứ tăng 0,1m cộng thêm 46.000 đồng/m2</v>
          </cell>
          <cell r="D4">
            <v>0</v>
          </cell>
          <cell r="E4">
            <v>0</v>
          </cell>
          <cell r="F4">
            <v>0</v>
          </cell>
          <cell r="G4">
            <v>0</v>
          </cell>
          <cell r="H4">
            <v>0</v>
          </cell>
        </row>
        <row r="5">
          <cell r="B5" t="str">
            <v>Nha1t(4,4-4,5)-BTCT</v>
          </cell>
          <cell r="C5" t="str">
            <v xml:space="preserve">Nhà 1 tầng, tường chịu lực xây gạch 220, mái BTCT, chiều cao  từ 4,4m ≤ h &lt; 4,5m </v>
          </cell>
          <cell r="D5">
            <v>0</v>
          </cell>
          <cell r="E5" t="str">
            <v>m2</v>
          </cell>
          <cell r="F5">
            <v>4530900</v>
          </cell>
          <cell r="G5">
            <v>25</v>
          </cell>
          <cell r="H5">
            <v>0.8</v>
          </cell>
        </row>
        <row r="6">
          <cell r="B6" t="str">
            <v>Nha1t(4,3-4,4)-BTCT</v>
          </cell>
          <cell r="C6" t="str">
            <v xml:space="preserve">Nhà 1 tầng, tường chịu lực xây gạch 220, mái BTCT, chiều cao  từ 4,3m ≤ h &lt; 4,4m </v>
          </cell>
          <cell r="D6">
            <v>0.79999971389770508</v>
          </cell>
          <cell r="E6" t="str">
            <v>m2</v>
          </cell>
          <cell r="F6">
            <v>4480300</v>
          </cell>
          <cell r="G6">
            <v>25</v>
          </cell>
          <cell r="H6">
            <v>0.8</v>
          </cell>
        </row>
        <row r="7">
          <cell r="B7" t="str">
            <v>Nha1t(4,2-4,3)-BTCT</v>
          </cell>
          <cell r="C7" t="str">
            <v xml:space="preserve">Nhà 1 tầng, tường chịu lực xây gạch 220, mái BTCT, chiều cao  từ 4,2m ≤ h &lt; 4,3m </v>
          </cell>
          <cell r="D7">
            <v>0.79999971389770508</v>
          </cell>
          <cell r="E7" t="str">
            <v>m2</v>
          </cell>
          <cell r="F7">
            <v>4429700</v>
          </cell>
          <cell r="G7">
            <v>25</v>
          </cell>
          <cell r="H7">
            <v>0.8</v>
          </cell>
        </row>
        <row r="8">
          <cell r="B8" t="str">
            <v>Nha1t(4,1-4,2)-BTCT</v>
          </cell>
          <cell r="C8" t="str">
            <v xml:space="preserve">Nhà 1 tầng, tường chịu lực xây gạch 220, mái BTCT, chiều cao  từ 4,1m ≤ h &lt; 4,2m </v>
          </cell>
          <cell r="D8">
            <v>0.79999971389770508</v>
          </cell>
          <cell r="E8" t="str">
            <v>m2</v>
          </cell>
          <cell r="F8">
            <v>4379100</v>
          </cell>
          <cell r="G8">
            <v>25</v>
          </cell>
          <cell r="H8">
            <v>0.8</v>
          </cell>
        </row>
        <row r="9">
          <cell r="B9" t="str">
            <v>Nha1t(4,0-4,1)-BTCT</v>
          </cell>
          <cell r="C9" t="str">
            <v xml:space="preserve">Nhà 1 tầng, tường chịu lực xây gạch 220, mái BTCT, chiều cao  từ 4,0m ≤ h &lt; 4,1m </v>
          </cell>
          <cell r="D9">
            <v>0.79999971389770508</v>
          </cell>
          <cell r="E9" t="str">
            <v>m2</v>
          </cell>
          <cell r="F9">
            <v>4328500</v>
          </cell>
          <cell r="G9">
            <v>25</v>
          </cell>
          <cell r="H9">
            <v>0.8</v>
          </cell>
        </row>
        <row r="10">
          <cell r="B10" t="str">
            <v>Nha1t(3,9-4,0)-BTCT</v>
          </cell>
          <cell r="C10" t="str">
            <v xml:space="preserve">Nhà 1 tầng, tường chịu lực xây gạch 220, mái BTCT, chiều cao  từ 3,9m ≤ h &lt; 4,0m </v>
          </cell>
          <cell r="D10">
            <v>0.79999971389770508</v>
          </cell>
          <cell r="E10" t="str">
            <v>m2</v>
          </cell>
          <cell r="F10">
            <v>4277900</v>
          </cell>
          <cell r="G10">
            <v>25</v>
          </cell>
          <cell r="H10">
            <v>0.8</v>
          </cell>
        </row>
        <row r="11">
          <cell r="B11" t="str">
            <v>Nha1t(3,8-3,9)-BTCT</v>
          </cell>
          <cell r="C11" t="str">
            <v xml:space="preserve">Nhà 1 tầng, tường chịu lực xây gạch 220, mái BTCT, chiều cao  từ 3,8m ≤ h &lt; 3,9m </v>
          </cell>
          <cell r="D11">
            <v>0.79999971389770508</v>
          </cell>
          <cell r="E11" t="str">
            <v>m2</v>
          </cell>
          <cell r="F11">
            <v>4227300</v>
          </cell>
          <cell r="G11">
            <v>25</v>
          </cell>
          <cell r="H11">
            <v>0.8</v>
          </cell>
        </row>
        <row r="12">
          <cell r="B12" t="str">
            <v>Nha1t(3,7-3,8)-BTCT</v>
          </cell>
          <cell r="C12" t="str">
            <v xml:space="preserve">Nhà 1 tầng, tường chịu lực xây gạch 220, mái BTCT, chiều cao  từ 3,7m ≤ h &lt; 3,8m </v>
          </cell>
          <cell r="D12">
            <v>0.79999971389770508</v>
          </cell>
          <cell r="E12" t="str">
            <v>m2</v>
          </cell>
          <cell r="F12">
            <v>4176700.0000000005</v>
          </cell>
          <cell r="G12">
            <v>25</v>
          </cell>
          <cell r="H12">
            <v>0.8</v>
          </cell>
        </row>
        <row r="13">
          <cell r="B13" t="str">
            <v>Nha1t(3,6-3,7)-BTCT</v>
          </cell>
          <cell r="C13" t="str">
            <v xml:space="preserve">Nhà 1 tầng, tường chịu lực xây gạch 220, mái BTCT, chiều cao  từ 3,6m ≤ h &lt; 3,7m </v>
          </cell>
          <cell r="D13">
            <v>0.79999971389770508</v>
          </cell>
          <cell r="E13" t="str">
            <v>m2</v>
          </cell>
          <cell r="F13">
            <v>4126100.0000000005</v>
          </cell>
          <cell r="G13">
            <v>25</v>
          </cell>
          <cell r="H13">
            <v>0.8</v>
          </cell>
        </row>
        <row r="14">
          <cell r="B14" t="str">
            <v>Nha1t(3,5-3,6)-BTCT</v>
          </cell>
          <cell r="C14" t="str">
            <v xml:space="preserve">Nhà 1 tầng, tường chịu lực xây gạch 220, mái BTCT, chiều cao  từ 3,5m ≤ h &lt; 3,6m </v>
          </cell>
          <cell r="D14">
            <v>0.79999971389770508</v>
          </cell>
          <cell r="E14" t="str">
            <v>m2</v>
          </cell>
          <cell r="F14">
            <v>4075500.0000000005</v>
          </cell>
          <cell r="G14">
            <v>25</v>
          </cell>
          <cell r="H14">
            <v>0.8</v>
          </cell>
        </row>
        <row r="15">
          <cell r="B15" t="str">
            <v>Nha1t(3,4-3,5)-BTCT</v>
          </cell>
          <cell r="C15" t="str">
            <v xml:space="preserve">Nhà 1 tầng, tường chịu lực xây gạch 220, mái BTCT, chiều cao  từ 3,4m ≤ h &lt; 3,5m </v>
          </cell>
          <cell r="D15">
            <v>0.79999971389770508</v>
          </cell>
          <cell r="E15" t="str">
            <v>m2</v>
          </cell>
          <cell r="F15">
            <v>4024900.0000000005</v>
          </cell>
          <cell r="G15">
            <v>25</v>
          </cell>
          <cell r="H15">
            <v>0.8</v>
          </cell>
        </row>
        <row r="16">
          <cell r="B16" t="str">
            <v>Nha1t(3,3-3,4)-BTCT</v>
          </cell>
          <cell r="C16" t="str">
            <v xml:space="preserve">Nhà 1 tầng, tường chịu lực xây gạch 220, mái BTCT, chiều cao  từ 3,3m ≤ h &lt; 3,4m </v>
          </cell>
          <cell r="D16">
            <v>0.79999971389770508</v>
          </cell>
          <cell r="E16" t="str">
            <v>m2</v>
          </cell>
          <cell r="F16">
            <v>3974300.0000000005</v>
          </cell>
          <cell r="G16">
            <v>25</v>
          </cell>
          <cell r="H16">
            <v>0.8</v>
          </cell>
        </row>
        <row r="17">
          <cell r="B17" t="str">
            <v>Nha1t(3,2-3,3)-BTCT</v>
          </cell>
          <cell r="C17" t="str">
            <v xml:space="preserve">Nhà 1 tầng, tường chịu lực xây gạch 220, mái BTCT, chiều cao  từ 3,2m ≤ h &lt; 3,3m </v>
          </cell>
          <cell r="D17">
            <v>0.79999971389770508</v>
          </cell>
          <cell r="E17" t="str">
            <v>m2</v>
          </cell>
          <cell r="F17">
            <v>3923700.0000000005</v>
          </cell>
          <cell r="G17">
            <v>25</v>
          </cell>
          <cell r="H17">
            <v>0.8</v>
          </cell>
        </row>
        <row r="18">
          <cell r="B18" t="str">
            <v>Nha1t(3,1-3,2)-BTCT</v>
          </cell>
          <cell r="C18" t="str">
            <v xml:space="preserve">Nhà 1 tầng, tường chịu lực xây gạch 220, mái BTCT, chiều cao  từ 3,1m ≤ h &lt; 3,2m </v>
          </cell>
          <cell r="D18">
            <v>0.79999971389770508</v>
          </cell>
          <cell r="E18" t="str">
            <v>m2</v>
          </cell>
          <cell r="F18">
            <v>3873100.0000000005</v>
          </cell>
          <cell r="G18">
            <v>25</v>
          </cell>
          <cell r="H18">
            <v>0.8</v>
          </cell>
        </row>
        <row r="19">
          <cell r="B19" t="str">
            <v>Nha1t(3,0-3,1)-BTCT</v>
          </cell>
          <cell r="C19" t="str">
            <v xml:space="preserve">Nhà 1 tầng, tường chịu lực xây gạch 220, mái BTCT, chiều cao  từ 3,0 đến 3,1m </v>
          </cell>
          <cell r="D19">
            <v>0.79999971389770508</v>
          </cell>
          <cell r="E19" t="str">
            <v>m2</v>
          </cell>
          <cell r="F19">
            <v>3822500.0000000005</v>
          </cell>
          <cell r="G19">
            <v>25</v>
          </cell>
          <cell r="H19">
            <v>0.8</v>
          </cell>
        </row>
        <row r="20">
          <cell r="B20">
            <v>0.79999971389770508</v>
          </cell>
          <cell r="C20" t="str">
            <v>Chiều cao tầng dưới 3,0m (Cứ 0,1m trừ đi 46.000 đồng/m2)</v>
          </cell>
          <cell r="D20">
            <v>0.79999971389770508</v>
          </cell>
          <cell r="E20">
            <v>0.79999971389770508</v>
          </cell>
          <cell r="F20">
            <v>0.79999971389770508</v>
          </cell>
          <cell r="G20">
            <v>0.79999971389770508</v>
          </cell>
          <cell r="H20">
            <v>0.79999971389770508</v>
          </cell>
        </row>
        <row r="21">
          <cell r="B21" t="str">
            <v>NHÀ 1 TẦNG KHUNG CHỊU LỰC</v>
          </cell>
          <cell r="C21" t="str">
            <v>Nhà 1 tầng, khung chịu lực BTCT, tường xây gạch 220, mái BTCT, nền lót vữa XM, trát tường và quét vôi ve</v>
          </cell>
          <cell r="D21">
            <v>0.79999971389770508</v>
          </cell>
          <cell r="E21">
            <v>0.79999971389770508</v>
          </cell>
          <cell r="F21">
            <v>0.79999971389770508</v>
          </cell>
          <cell r="G21">
            <v>0.79999971389770508</v>
          </cell>
          <cell r="H21">
            <v>0.79999971389770508</v>
          </cell>
        </row>
        <row r="22">
          <cell r="B22">
            <v>0.79999971389770508</v>
          </cell>
          <cell r="C22" t="str">
            <v>Chiều cao trung bình 1 tầng ≥ 4,5m cứ tăng 0,1m cộng thêm 51.000 đồng/m2</v>
          </cell>
          <cell r="D22">
            <v>0.79999971389770508</v>
          </cell>
          <cell r="E22">
            <v>0.79999971389770508</v>
          </cell>
          <cell r="F22">
            <v>0.79999971389770508</v>
          </cell>
          <cell r="G22">
            <v>0.79999971389770508</v>
          </cell>
          <cell r="H22">
            <v>0.79999971389770508</v>
          </cell>
        </row>
        <row r="23">
          <cell r="B23" t="str">
            <v>Nha1t.1(4,4-4,5)</v>
          </cell>
          <cell r="C23" t="str">
            <v xml:space="preserve">Nhà 1 tầng, khung chịu lực BTCT, tường xây gạch 220, mái BTCT, chiều cao  từ 4,4m ≤ h &lt; 4,5m </v>
          </cell>
          <cell r="D23">
            <v>0.79999971389770508</v>
          </cell>
          <cell r="E23" t="str">
            <v>m2</v>
          </cell>
          <cell r="F23">
            <v>5093000</v>
          </cell>
          <cell r="G23">
            <v>25</v>
          </cell>
          <cell r="H23">
            <v>0.8</v>
          </cell>
        </row>
        <row r="24">
          <cell r="B24" t="str">
            <v>Nha1t.1(4,3-4,4)</v>
          </cell>
          <cell r="C24" t="str">
            <v xml:space="preserve">Nhà 1 tầng, khung chịu lực BTCT, tường xây gạch 220, mái BTCT, chiều cao  từ 4,3m ≤ h &lt; 4,4m </v>
          </cell>
          <cell r="D24">
            <v>0.79999971389770508</v>
          </cell>
          <cell r="E24" t="str">
            <v>m2</v>
          </cell>
          <cell r="F24">
            <v>5036900</v>
          </cell>
          <cell r="G24">
            <v>25</v>
          </cell>
          <cell r="H24">
            <v>0.8</v>
          </cell>
        </row>
        <row r="25">
          <cell r="B25" t="str">
            <v>Nha1t.1(4,2-4,3)</v>
          </cell>
          <cell r="C25" t="str">
            <v xml:space="preserve">Nhà 1 tầng, khung chịu lực BTCT, tường xây gạch 220, mái BTCT, chiều cao  từ 4,2m ≤ h &lt; 4,3m </v>
          </cell>
          <cell r="D25">
            <v>0.79999971389770508</v>
          </cell>
          <cell r="E25" t="str">
            <v>m2</v>
          </cell>
          <cell r="F25">
            <v>4980800</v>
          </cell>
          <cell r="G25">
            <v>25</v>
          </cell>
          <cell r="H25">
            <v>0.8</v>
          </cell>
        </row>
        <row r="26">
          <cell r="B26" t="str">
            <v>Nha1t.1(4,1-4,2)</v>
          </cell>
          <cell r="C26" t="str">
            <v xml:space="preserve">Nhà 1 tầng, khung chịu lực BTCT, tường xây gạch 220, mái BTCT, chiều cao  từ 4,1m ≤ h &lt; 4,2m </v>
          </cell>
          <cell r="D26">
            <v>0.79999971389770508</v>
          </cell>
          <cell r="E26" t="str">
            <v>m2</v>
          </cell>
          <cell r="F26">
            <v>4924700</v>
          </cell>
          <cell r="G26">
            <v>25</v>
          </cell>
          <cell r="H26">
            <v>0.8</v>
          </cell>
        </row>
        <row r="27">
          <cell r="B27" t="str">
            <v>Nha1t.1(4,0-4,1)</v>
          </cell>
          <cell r="C27" t="str">
            <v xml:space="preserve">Nhà 1 tầng, khung chịu lực BTCT, tường xây gạch 220, mái BTCT, chiều cao  từ 4,0m ≤ h &lt; 4,1m </v>
          </cell>
          <cell r="D27">
            <v>0.79999971389770508</v>
          </cell>
          <cell r="E27" t="str">
            <v>m2</v>
          </cell>
          <cell r="F27">
            <v>4868600</v>
          </cell>
          <cell r="G27">
            <v>25</v>
          </cell>
          <cell r="H27">
            <v>0.8</v>
          </cell>
        </row>
        <row r="28">
          <cell r="B28" t="str">
            <v>Nha1t.1(3,9-4,0)</v>
          </cell>
          <cell r="C28" t="str">
            <v xml:space="preserve">Nhà 1 tầng, khung chịu lực BTCT, tường xây gạch 220, mái BTCT, chiều cao  từ 3,9m ≤ h &lt; 4,0m </v>
          </cell>
          <cell r="D28">
            <v>0.79999971389770508</v>
          </cell>
          <cell r="E28" t="str">
            <v>m2</v>
          </cell>
          <cell r="F28">
            <v>4812500</v>
          </cell>
          <cell r="G28">
            <v>25</v>
          </cell>
          <cell r="H28">
            <v>0.8</v>
          </cell>
        </row>
        <row r="29">
          <cell r="B29" t="str">
            <v>Nha1t.1(3,8-3,9)</v>
          </cell>
          <cell r="C29" t="str">
            <v xml:space="preserve">Nhà 1 tầng, khung chịu lực BTCT, tường xây gạch 220, mái BTCT, chiều cao  từ 3,8m ≤ h &lt; 3,9m </v>
          </cell>
          <cell r="D29">
            <v>0.79999971389770508</v>
          </cell>
          <cell r="E29" t="str">
            <v>m2</v>
          </cell>
          <cell r="F29">
            <v>4756400</v>
          </cell>
          <cell r="G29">
            <v>25</v>
          </cell>
          <cell r="H29">
            <v>0.8</v>
          </cell>
        </row>
        <row r="30">
          <cell r="B30" t="str">
            <v>Nha1t.1(3,7-3,8)</v>
          </cell>
          <cell r="C30" t="str">
            <v xml:space="preserve">Nhà 1 tầng, khung chịu lực BTCT, tường xây gạch 220, mái BTCT, chiều cao  từ 3,7m ≤ h &lt; 3,8m </v>
          </cell>
          <cell r="D30">
            <v>0.79999971389770508</v>
          </cell>
          <cell r="E30" t="str">
            <v>m2</v>
          </cell>
          <cell r="F30">
            <v>4700300</v>
          </cell>
          <cell r="G30">
            <v>25</v>
          </cell>
          <cell r="H30">
            <v>0.8</v>
          </cell>
        </row>
        <row r="31">
          <cell r="B31" t="str">
            <v>Nha1t.1(3,6-3,7)</v>
          </cell>
          <cell r="C31" t="str">
            <v xml:space="preserve">Nhà 1 tầng, khung chịu lực BTCT, tường xây gạch 220, mái BTCT, chiều cao  từ 3,6m ≤ h &lt; 3,7m </v>
          </cell>
          <cell r="D31">
            <v>0.79999971389770508</v>
          </cell>
          <cell r="E31" t="str">
            <v>m2</v>
          </cell>
          <cell r="F31">
            <v>4644200</v>
          </cell>
          <cell r="G31">
            <v>25</v>
          </cell>
          <cell r="H31">
            <v>0.8</v>
          </cell>
        </row>
        <row r="32">
          <cell r="B32" t="str">
            <v>Nha1t.1(3,5-3,6)</v>
          </cell>
          <cell r="C32" t="str">
            <v xml:space="preserve">Nhà 1 tầng, khung chịu lực BTCT, tường xây gạch 220, mái BTCT, chiều cao  từ 3,5m ≤ h &lt; 3,6m </v>
          </cell>
          <cell r="D32">
            <v>0.79999971389770508</v>
          </cell>
          <cell r="E32" t="str">
            <v>m2</v>
          </cell>
          <cell r="F32">
            <v>4588100</v>
          </cell>
          <cell r="G32">
            <v>25</v>
          </cell>
          <cell r="H32">
            <v>0.8</v>
          </cell>
        </row>
        <row r="33">
          <cell r="B33" t="str">
            <v>Nha1t.1(3,4-3,5)</v>
          </cell>
          <cell r="C33" t="str">
            <v xml:space="preserve">Nhà 1 tầng, khung chịu lực BTCT, tường xây gạch 220, mái BTCT, chiều cao  từ 3,4m ≤ h &lt; 3,5m </v>
          </cell>
          <cell r="D33">
            <v>0.79999971389770508</v>
          </cell>
          <cell r="E33" t="str">
            <v>m2</v>
          </cell>
          <cell r="F33">
            <v>4532000</v>
          </cell>
          <cell r="G33">
            <v>25</v>
          </cell>
          <cell r="H33">
            <v>0.8</v>
          </cell>
        </row>
        <row r="34">
          <cell r="B34" t="str">
            <v>Nha1t.1(3,3-3,4)</v>
          </cell>
          <cell r="C34" t="str">
            <v xml:space="preserve">Nhà 1 tầng, khung chịu lực BTCT, tường xây gạch 220, mái BTCT, chiều cao  từ 3,3m ≤ h &lt; 3,4m </v>
          </cell>
          <cell r="D34">
            <v>0.79999971389770508</v>
          </cell>
          <cell r="E34" t="str">
            <v>m2</v>
          </cell>
          <cell r="F34">
            <v>4475900</v>
          </cell>
          <cell r="G34">
            <v>25</v>
          </cell>
          <cell r="H34">
            <v>0.8</v>
          </cell>
        </row>
        <row r="35">
          <cell r="B35" t="str">
            <v>Nha1t.1(3,2-3,3)</v>
          </cell>
          <cell r="C35" t="str">
            <v xml:space="preserve">Nhà 1 tầng, khung chịu lực BTCT, tường xây gạch 220, mái BTCT, chiều cao  từ 3,2m ≤ h &lt; 3,3m </v>
          </cell>
          <cell r="D35">
            <v>0.79999971389770508</v>
          </cell>
          <cell r="E35" t="str">
            <v>m2</v>
          </cell>
          <cell r="F35">
            <v>4419800</v>
          </cell>
          <cell r="G35">
            <v>25</v>
          </cell>
          <cell r="H35">
            <v>0.8</v>
          </cell>
        </row>
        <row r="36">
          <cell r="B36" t="str">
            <v>Nha1t.1(3,1-3,2)</v>
          </cell>
          <cell r="C36" t="str">
            <v xml:space="preserve">Nhà 1 tầng, khung chịu lực BTCT, tường xây gạch 220, mái BTCT, chiều cao  từ 3,1m ≤ h &lt; 3,2m </v>
          </cell>
          <cell r="D36">
            <v>0.79999971389770508</v>
          </cell>
          <cell r="E36" t="str">
            <v>m2</v>
          </cell>
          <cell r="F36">
            <v>4363700</v>
          </cell>
          <cell r="G36">
            <v>25</v>
          </cell>
          <cell r="H36">
            <v>0.8</v>
          </cell>
        </row>
        <row r="37">
          <cell r="B37" t="str">
            <v>Nha1t.1(3,0-3,1)</v>
          </cell>
          <cell r="C37" t="str">
            <v xml:space="preserve">Nhà 1 tầng, khung chịu lực BTCT, tường xây gạch 220, mái BTCT, chiều cao  từ 3,0m ≤ h &lt; 3,1m </v>
          </cell>
          <cell r="D37">
            <v>0.79999971389770508</v>
          </cell>
          <cell r="E37" t="str">
            <v>m2</v>
          </cell>
          <cell r="F37">
            <v>4307600</v>
          </cell>
          <cell r="G37">
            <v>25</v>
          </cell>
          <cell r="H37">
            <v>0.8</v>
          </cell>
        </row>
        <row r="38">
          <cell r="B38">
            <v>0.79999971389770508</v>
          </cell>
          <cell r="C38" t="str">
            <v>Chiều cao tầng dưới 3,0m (Cứ 0,1m trừ đi 51.000 đồng/m2)</v>
          </cell>
          <cell r="D38">
            <v>0.79999971389770508</v>
          </cell>
          <cell r="E38">
            <v>0.79999971389770508</v>
          </cell>
          <cell r="F38">
            <v>0.79999971389770508</v>
          </cell>
          <cell r="G38">
            <v>0.79999971389770508</v>
          </cell>
          <cell r="H38">
            <v>0.79999971389770508</v>
          </cell>
        </row>
        <row r="39">
          <cell r="B39" t="str">
            <v>NHÀ 1 TẦNG</v>
          </cell>
          <cell r="C39" t="str">
            <v>Nhà 1 tầng bán kiên cố, tường chịu lực xây gạch 220, nền lót vữa XM, trát tường và quét vôi ve. Mái lợp ngói</v>
          </cell>
          <cell r="D39">
            <v>0.79999971389770508</v>
          </cell>
          <cell r="E39">
            <v>0.79999971389770508</v>
          </cell>
          <cell r="F39">
            <v>0.79999971389770508</v>
          </cell>
          <cell r="G39">
            <v>0.79999971389770508</v>
          </cell>
          <cell r="H39">
            <v>0.79999971389770508</v>
          </cell>
        </row>
        <row r="40">
          <cell r="B40">
            <v>0.79999971389770508</v>
          </cell>
          <cell r="C40" t="str">
            <v>Chiều cao trung bình 1 tầng ≥ 4,0m cứ tăng 0,1m cộng thêm 42.000 đồng/m2</v>
          </cell>
          <cell r="D40">
            <v>0.79999971389770508</v>
          </cell>
          <cell r="E40">
            <v>0.79999971389770508</v>
          </cell>
          <cell r="F40">
            <v>0.79999971389770508</v>
          </cell>
          <cell r="G40">
            <v>0.79999971389770508</v>
          </cell>
          <cell r="H40">
            <v>0.79999971389770508</v>
          </cell>
        </row>
        <row r="41">
          <cell r="B41" t="str">
            <v>Nha1.1t(3,9-4,0)-NGOI</v>
          </cell>
          <cell r="C41" t="str">
            <v>Nhà 1 tầng bán kiên cố, tường chịu lực xây gạch 220, mái lợp ngói, chiều cao từ 3,9m ≤ h &lt; 4,0m</v>
          </cell>
          <cell r="D41">
            <v>0.79999971389770508</v>
          </cell>
          <cell r="E41" t="str">
            <v>m2</v>
          </cell>
          <cell r="F41">
            <v>2971100.0000000005</v>
          </cell>
          <cell r="G41">
            <v>25</v>
          </cell>
          <cell r="H41">
            <v>0.8</v>
          </cell>
        </row>
        <row r="42">
          <cell r="B42" t="str">
            <v>Nha1.1t(3,8-3,9)-NGOI</v>
          </cell>
          <cell r="C42" t="str">
            <v>Nhà 1 tầng bán kiên cố, tường chịu lực xây gạch 220, mái lợp ngói, chiều cao từ 3,8m ≤ h &lt; 3,9m</v>
          </cell>
          <cell r="D42">
            <v>0.79999971389770508</v>
          </cell>
          <cell r="E42" t="str">
            <v>m2</v>
          </cell>
          <cell r="F42">
            <v>2924900.0000000005</v>
          </cell>
          <cell r="G42">
            <v>25</v>
          </cell>
          <cell r="H42">
            <v>0.8</v>
          </cell>
        </row>
        <row r="43">
          <cell r="B43" t="str">
            <v>Nha1.1t(3,7-3,8)-NGOI</v>
          </cell>
          <cell r="C43" t="str">
            <v>Nhà 1 tầng bán kiên cố, tường chịu lực xây gạch 220, mái lợp ngói, chiều cao từ 3,7m ≤ h &lt; 3,8m</v>
          </cell>
          <cell r="D43">
            <v>0.79999971389770508</v>
          </cell>
          <cell r="E43" t="str">
            <v>m2</v>
          </cell>
          <cell r="F43">
            <v>2878700</v>
          </cell>
          <cell r="G43">
            <v>25</v>
          </cell>
          <cell r="H43">
            <v>0.8</v>
          </cell>
        </row>
        <row r="44">
          <cell r="B44" t="str">
            <v>Nha1.1t(3,6-3,7)-NGOI</v>
          </cell>
          <cell r="C44" t="str">
            <v>Nhà 1 tầng bán kiên cố, tường chịu lực xây gạch 220, mái lợp ngói, chiều cao từ 3,6m ≤ h &lt; 3,7m</v>
          </cell>
          <cell r="D44">
            <v>0.79999971389770508</v>
          </cell>
          <cell r="E44" t="str">
            <v>m2</v>
          </cell>
          <cell r="F44">
            <v>2832500</v>
          </cell>
          <cell r="G44">
            <v>25</v>
          </cell>
          <cell r="H44">
            <v>0.8</v>
          </cell>
        </row>
        <row r="45">
          <cell r="B45" t="str">
            <v>Nha1.1t(3,5-3,6)-NGOI</v>
          </cell>
          <cell r="C45" t="str">
            <v>Nhà 1 tầng bán kiên cố, tường chịu lực xây gạch 220, mái lợp ngói, chiều cao từ 3,5m ≤ h &lt; 3,6m</v>
          </cell>
          <cell r="D45">
            <v>0.79999971389770508</v>
          </cell>
          <cell r="E45" t="str">
            <v>m2</v>
          </cell>
          <cell r="F45">
            <v>2786300</v>
          </cell>
          <cell r="G45">
            <v>25</v>
          </cell>
          <cell r="H45">
            <v>0.8</v>
          </cell>
        </row>
        <row r="46">
          <cell r="B46" t="str">
            <v>Nha1.1t(3,4-3,5)-NGOI</v>
          </cell>
          <cell r="C46" t="str">
            <v>Nhà 1 tầng bán kiên cố, tường chịu lực xây gạch 220, mái lợp ngói, chiều cao từ 3,4m ≤ h &lt; 3,5m</v>
          </cell>
          <cell r="D46">
            <v>0.79999971389770508</v>
          </cell>
          <cell r="E46" t="str">
            <v>m2</v>
          </cell>
          <cell r="F46">
            <v>2740100</v>
          </cell>
          <cell r="G46">
            <v>25</v>
          </cell>
          <cell r="H46">
            <v>0.8</v>
          </cell>
        </row>
        <row r="47">
          <cell r="B47" t="str">
            <v>Nha1.1t(3,3-3,4)-NGOI</v>
          </cell>
          <cell r="C47" t="str">
            <v>Nhà 1 tầng bán kiên cố, tường chịu lực xây gạch 220, mái lợp ngói, chiều cao từ 3,3m ≤ h &lt; 3,4m</v>
          </cell>
          <cell r="D47">
            <v>0.79999971389770508</v>
          </cell>
          <cell r="E47" t="str">
            <v>m2</v>
          </cell>
          <cell r="F47">
            <v>2693900</v>
          </cell>
          <cell r="G47">
            <v>25</v>
          </cell>
          <cell r="H47">
            <v>0.8</v>
          </cell>
        </row>
        <row r="48">
          <cell r="B48" t="str">
            <v>Nha1.1t(3,2-3,3)-NGOI</v>
          </cell>
          <cell r="C48" t="str">
            <v>Nhà 1 tầng bán kiên cố, tường chịu lực xây gạch 220, mái lợp ngói, chiều cao từ 3,2m ≤ h &lt; 3,3m</v>
          </cell>
          <cell r="D48">
            <v>0.79999971389770508</v>
          </cell>
          <cell r="E48" t="str">
            <v>m2</v>
          </cell>
          <cell r="F48">
            <v>2647700</v>
          </cell>
          <cell r="G48">
            <v>25</v>
          </cell>
          <cell r="H48">
            <v>0.8</v>
          </cell>
        </row>
        <row r="49">
          <cell r="B49" t="str">
            <v>Nha1.1t(3,1-3,2)-NGOI</v>
          </cell>
          <cell r="C49" t="str">
            <v>Nhà 1 tầng bán kiên cố, tường chịu lực xây gạch 220, mái lợp ngói, chiều cao từ 3,1m ≤ h &lt; 3,2m</v>
          </cell>
          <cell r="D49">
            <v>0.79999971389770508</v>
          </cell>
          <cell r="E49" t="str">
            <v>m2</v>
          </cell>
          <cell r="F49">
            <v>2601500</v>
          </cell>
          <cell r="G49">
            <v>25</v>
          </cell>
          <cell r="H49">
            <v>0.8</v>
          </cell>
        </row>
        <row r="50">
          <cell r="B50" t="str">
            <v>Nha1.1t(3,0-3,1)-NGOI</v>
          </cell>
          <cell r="C50" t="str">
            <v>Nhà 1 tầng bán kiên cố, tường chịu lực xây gạch 220, mái lợp ngói, chiều cao từ 3,0m ≤ h &lt; 3,1m</v>
          </cell>
          <cell r="D50">
            <v>0.79999971389770508</v>
          </cell>
          <cell r="E50" t="str">
            <v>m2</v>
          </cell>
          <cell r="F50">
            <v>2555300</v>
          </cell>
          <cell r="G50">
            <v>25</v>
          </cell>
          <cell r="H50">
            <v>0.8</v>
          </cell>
        </row>
        <row r="51">
          <cell r="B51" t="str">
            <v>Nha1.1t(&lt;3,0)-NGOI</v>
          </cell>
          <cell r="C51" t="str">
            <v>Nhà 1 tầng bán kiên cố, tường chịu lực xây gạch 220, mái lợp ngói, chiều cao dưới 3,0m</v>
          </cell>
          <cell r="D51">
            <v>0.79999971389770508</v>
          </cell>
          <cell r="E51" t="str">
            <v>m2</v>
          </cell>
          <cell r="F51">
            <v>2509100</v>
          </cell>
          <cell r="G51">
            <v>25</v>
          </cell>
          <cell r="H51">
            <v>0.8</v>
          </cell>
        </row>
        <row r="52">
          <cell r="B52" t="str">
            <v>NHÀ 1 TẦNG</v>
          </cell>
          <cell r="C52" t="str">
            <v>Nhà 1 tầng bán kiên cố, tường chịu lực xây gạch 220, nền lót vữa XM, trát tường và quét vôi ve. Mái lợp tôn mạ màu</v>
          </cell>
          <cell r="D52">
            <v>0.79999971389770508</v>
          </cell>
          <cell r="E52">
            <v>0.79999971389770508</v>
          </cell>
          <cell r="F52">
            <v>0.79999971389770508</v>
          </cell>
          <cell r="G52">
            <v>0.79999971389770508</v>
          </cell>
          <cell r="H52">
            <v>0.79999971389770508</v>
          </cell>
        </row>
        <row r="53">
          <cell r="B53">
            <v>0.79999971389770508</v>
          </cell>
          <cell r="C53" t="str">
            <v>Chiều cao trung bình 1 tầng ≥ 4,0m cứ tăng 0,1m cộng thêm 40.000 đồng/m2</v>
          </cell>
          <cell r="D53">
            <v>0.79999971389770508</v>
          </cell>
          <cell r="E53">
            <v>0.79999971389770508</v>
          </cell>
          <cell r="F53">
            <v>0.79999971389770508</v>
          </cell>
          <cell r="G53">
            <v>0.79999971389770508</v>
          </cell>
          <cell r="H53">
            <v>0.79999971389770508</v>
          </cell>
        </row>
        <row r="54">
          <cell r="B54" t="str">
            <v>Nha1.1t(3,9-4,0)-TON</v>
          </cell>
          <cell r="C54" t="str">
            <v>Nhà 1 tầng bán kiên cố, tường chịu lực xây gạch 220, mái lợp tôn, chiều cao từ 3,9m ≤ h &lt; 4,0m</v>
          </cell>
          <cell r="D54">
            <v>0.79999971389770508</v>
          </cell>
          <cell r="E54" t="str">
            <v>m2</v>
          </cell>
          <cell r="F54">
            <v>2812700</v>
          </cell>
          <cell r="G54">
            <v>25</v>
          </cell>
          <cell r="H54">
            <v>0.8</v>
          </cell>
        </row>
        <row r="55">
          <cell r="B55" t="str">
            <v>Nha1.1t(3,8-3,9)-TON</v>
          </cell>
          <cell r="C55" t="str">
            <v>Nhà 1 tầng bán kiên cố, tường chịu lực xây gạch 220, mái lợp tôn, chiều cao từ 3,8m ≤ h &lt; 3,9m</v>
          </cell>
          <cell r="D55">
            <v>0.79999971389770508</v>
          </cell>
          <cell r="E55" t="str">
            <v>m2</v>
          </cell>
          <cell r="F55">
            <v>2768700</v>
          </cell>
          <cell r="G55">
            <v>25</v>
          </cell>
          <cell r="H55">
            <v>0.8</v>
          </cell>
        </row>
        <row r="56">
          <cell r="B56" t="str">
            <v>Nha1.1t(3,7-3,8)-TON</v>
          </cell>
          <cell r="C56" t="str">
            <v>Nhà 1 tầng bán kiên cố, tường chịu lực xây gạch 220, mái lợp tôn, chiều cao từ 3,7m ≤ h &lt; 3,8m</v>
          </cell>
          <cell r="D56">
            <v>0.79999971389770508</v>
          </cell>
          <cell r="E56" t="str">
            <v>m2</v>
          </cell>
          <cell r="F56">
            <v>2724700</v>
          </cell>
          <cell r="G56">
            <v>25</v>
          </cell>
          <cell r="H56">
            <v>0.8</v>
          </cell>
        </row>
        <row r="57">
          <cell r="B57" t="str">
            <v>Nha1.1t(3,6-3,7)-TON</v>
          </cell>
          <cell r="C57" t="str">
            <v>Nhà 1 tầng bán kiên cố, tường chịu lực xây gạch 220, mái lợp tôn, chiều cao từ 3,6m ≤ h &lt; 3,7m</v>
          </cell>
          <cell r="D57">
            <v>0.79999971389770508</v>
          </cell>
          <cell r="E57" t="str">
            <v>m2</v>
          </cell>
          <cell r="F57">
            <v>2680700</v>
          </cell>
          <cell r="G57">
            <v>25</v>
          </cell>
          <cell r="H57">
            <v>0.8</v>
          </cell>
        </row>
        <row r="58">
          <cell r="B58" t="str">
            <v>Nha1.1t(3,5-3,6)-TON</v>
          </cell>
          <cell r="C58" t="str">
            <v>Nhà 1 tầng bán kiên cố, tường chịu lực xây gạch 220, mái lợp tôn, chiều cao từ 3,5m ≤ h &lt; 3,6m</v>
          </cell>
          <cell r="D58">
            <v>0.79999971389770508</v>
          </cell>
          <cell r="E58" t="str">
            <v>m2</v>
          </cell>
          <cell r="F58">
            <v>2636700</v>
          </cell>
          <cell r="G58">
            <v>25</v>
          </cell>
          <cell r="H58">
            <v>0.8</v>
          </cell>
        </row>
        <row r="59">
          <cell r="B59" t="str">
            <v>Nha1.1t(3,4-3,5)-TON</v>
          </cell>
          <cell r="C59" t="str">
            <v>Nhà 1 tầng bán kiên cố, tường chịu lực xây gạch 220, mái lợp tôn, chiều cao từ 3,4m ≤ h &lt; 3,5m</v>
          </cell>
          <cell r="D59">
            <v>0.79999971389770508</v>
          </cell>
          <cell r="E59" t="str">
            <v>m2</v>
          </cell>
          <cell r="F59">
            <v>2592700</v>
          </cell>
          <cell r="G59">
            <v>25</v>
          </cell>
          <cell r="H59">
            <v>0.8</v>
          </cell>
        </row>
        <row r="60">
          <cell r="B60" t="str">
            <v>Nha1.1t(3,3-3,4)-TON</v>
          </cell>
          <cell r="C60" t="str">
            <v>Nhà 1 tầng bán kiên cố, tường chịu lực xây gạch 220, mái lợp tôn, chiều cao từ 3,3m ≤ h &lt; 3,4m</v>
          </cell>
          <cell r="D60">
            <v>0.79999971389770508</v>
          </cell>
          <cell r="E60" t="str">
            <v>m2</v>
          </cell>
          <cell r="F60">
            <v>2548700</v>
          </cell>
          <cell r="G60">
            <v>25</v>
          </cell>
          <cell r="H60">
            <v>0.8</v>
          </cell>
        </row>
        <row r="61">
          <cell r="B61" t="str">
            <v>Nha1.1t(3,2-3,3)-TON</v>
          </cell>
          <cell r="C61" t="str">
            <v>Nhà 1 tầng bán kiên cố, tường chịu lực xây gạch 220, mái lợp tôn, chiều cao từ 3,2m ≤ h &lt; 3,3m</v>
          </cell>
          <cell r="D61">
            <v>0.79999971389770508</v>
          </cell>
          <cell r="E61" t="str">
            <v>m2</v>
          </cell>
          <cell r="F61">
            <v>2504700</v>
          </cell>
          <cell r="G61">
            <v>25</v>
          </cell>
          <cell r="H61">
            <v>0.8</v>
          </cell>
        </row>
        <row r="62">
          <cell r="B62" t="str">
            <v>Nha1.1t(3,1-3,2)-TON</v>
          </cell>
          <cell r="C62" t="str">
            <v>Nhà 1 tầng bán kiên cố, tường chịu lực xây gạch 220, mái lợp tôn, chiều cao từ 3,1m ≤ h &lt; 3,2m</v>
          </cell>
          <cell r="D62">
            <v>0.79999971389770508</v>
          </cell>
          <cell r="E62" t="str">
            <v>m2</v>
          </cell>
          <cell r="F62">
            <v>2460700</v>
          </cell>
          <cell r="G62">
            <v>25</v>
          </cell>
          <cell r="H62">
            <v>0.8</v>
          </cell>
        </row>
        <row r="63">
          <cell r="B63" t="str">
            <v>Nha1.1t(3,0-3,1)-TON</v>
          </cell>
          <cell r="C63" t="str">
            <v>Nhà 1 tầng bán kiên cố, tường chịu lực xây gạch 220, mái lợp tôn, chiều cao từ 3,0m ≤ h &lt; 3,1m</v>
          </cell>
          <cell r="D63">
            <v>0.79999971389770508</v>
          </cell>
          <cell r="E63" t="str">
            <v>m2</v>
          </cell>
          <cell r="F63">
            <v>2416700</v>
          </cell>
          <cell r="G63">
            <v>25</v>
          </cell>
          <cell r="H63">
            <v>0.8</v>
          </cell>
        </row>
        <row r="64">
          <cell r="B64" t="str">
            <v>Nha1.1t(&lt;3,0)-TON</v>
          </cell>
          <cell r="C64" t="str">
            <v>Nhà 1 tầng bán kiên cố, tường chịu lực xây gạch 220, mái lợp tôn, chiều cao dưới 3,0m</v>
          </cell>
          <cell r="D64">
            <v>0.79999971389770508</v>
          </cell>
          <cell r="E64" t="str">
            <v>m2</v>
          </cell>
          <cell r="F64">
            <v>2372700</v>
          </cell>
          <cell r="G64">
            <v>25</v>
          </cell>
          <cell r="H64">
            <v>0.8</v>
          </cell>
        </row>
        <row r="65">
          <cell r="B65" t="str">
            <v>NHÀ 1 TẦNG</v>
          </cell>
          <cell r="C65" t="str">
            <v>Nhà 1 tầng bán kiên cố, tường chịu lực xây gạch 220, nền lót vữa XM, trát tường và quét vôi ve. Mái lợp Fibrôximăng</v>
          </cell>
          <cell r="D65">
            <v>0.79999971389770508</v>
          </cell>
          <cell r="E65">
            <v>0.79999971389770508</v>
          </cell>
          <cell r="F65">
            <v>0.79999971389770508</v>
          </cell>
          <cell r="G65">
            <v>0.79999971389770508</v>
          </cell>
          <cell r="H65">
            <v>0.79999971389770508</v>
          </cell>
        </row>
        <row r="66">
          <cell r="B66">
            <v>0.79999971389770508</v>
          </cell>
          <cell r="C66" t="str">
            <v>Chiều cao trung bình 1 tầng ≥ 4,0m cứ tăng 0,1m cộng thêm 36.000 đồng/m2</v>
          </cell>
          <cell r="D66">
            <v>0.79999971389770508</v>
          </cell>
          <cell r="E66">
            <v>0.79999971389770508</v>
          </cell>
          <cell r="F66">
            <v>0.79999971389770508</v>
          </cell>
          <cell r="G66">
            <v>0.79999971389770508</v>
          </cell>
          <cell r="H66">
            <v>0.79999971389770508</v>
          </cell>
        </row>
        <row r="67">
          <cell r="B67" t="str">
            <v>Nha1.1t(3,9-4,0)-FB</v>
          </cell>
          <cell r="C67" t="str">
            <v>Nhà 1 tầng bán kiên cố, tường chịu lực xây gạch 220, mái fibroximang, chiều cao từ 3,9m ≤ h &lt; 4,0m</v>
          </cell>
          <cell r="D67">
            <v>0.79999971389770508</v>
          </cell>
          <cell r="E67" t="str">
            <v>m2</v>
          </cell>
          <cell r="F67">
            <v>2522300</v>
          </cell>
          <cell r="G67">
            <v>25</v>
          </cell>
          <cell r="H67">
            <v>0.8</v>
          </cell>
        </row>
        <row r="68">
          <cell r="B68" t="str">
            <v>Nha1.1t(3,8-3,9)-FB</v>
          </cell>
          <cell r="C68" t="str">
            <v>Nhà 1 tầng bán kiên cố, tường chịu lực xây gạch 220, mái fibroximang, chiều cao từ 3,8m ≤ h &lt; 3,9m</v>
          </cell>
          <cell r="D68">
            <v>0.79999971389770508</v>
          </cell>
          <cell r="E68" t="str">
            <v>m2</v>
          </cell>
          <cell r="F68">
            <v>2482700</v>
          </cell>
          <cell r="G68">
            <v>25</v>
          </cell>
          <cell r="H68">
            <v>25</v>
          </cell>
        </row>
        <row r="69">
          <cell r="B69" t="str">
            <v>Nha1.1t(3,7-3,8)-FB</v>
          </cell>
          <cell r="C69" t="str">
            <v>Nhà 1 tầng bán kiên cố, tường chịu lực xây gạch 220, mái fibroximang, chiều cao từ 3,7m ≤ h &lt; 3,8m</v>
          </cell>
          <cell r="D69">
            <v>25</v>
          </cell>
          <cell r="E69" t="str">
            <v>m2</v>
          </cell>
          <cell r="F69">
            <v>2443100</v>
          </cell>
          <cell r="G69">
            <v>25</v>
          </cell>
          <cell r="H69">
            <v>25</v>
          </cell>
        </row>
        <row r="70">
          <cell r="B70" t="str">
            <v>Nha1.1t(3,6-3,7)-FB</v>
          </cell>
          <cell r="C70" t="str">
            <v>Nhà 1 tầng bán kiên cố, tường chịu lực xây gạch 220, mái fibroximang, chiều cao từ 3,6m ≤ h &lt; 3,7m</v>
          </cell>
          <cell r="D70">
            <v>25</v>
          </cell>
          <cell r="E70" t="str">
            <v>m2</v>
          </cell>
          <cell r="F70">
            <v>2403500</v>
          </cell>
          <cell r="G70">
            <v>25</v>
          </cell>
          <cell r="H70">
            <v>25</v>
          </cell>
        </row>
        <row r="71">
          <cell r="B71" t="str">
            <v>Nha1.1t(3,5-3,6)-FB</v>
          </cell>
          <cell r="C71" t="str">
            <v>Nhà 1 tầng bán kiên cố, tường chịu lực xây gạch 220, mái fibroximang, chiều cao từ 3,5m ≤ h &lt; 3,6m</v>
          </cell>
          <cell r="D71">
            <v>25</v>
          </cell>
          <cell r="E71" t="str">
            <v>m2</v>
          </cell>
          <cell r="F71">
            <v>2363900</v>
          </cell>
          <cell r="G71">
            <v>25</v>
          </cell>
          <cell r="H71">
            <v>25</v>
          </cell>
        </row>
        <row r="72">
          <cell r="B72" t="str">
            <v>Nha1.1t(3,4-3,5)-FB</v>
          </cell>
          <cell r="C72" t="str">
            <v>Nhà 1 tầng bán kiên cố, tường chịu lực xây gạch 220, mái fibroximang, chiều cao từ 3,4m ≤ h &lt; 3,5m</v>
          </cell>
          <cell r="D72">
            <v>25</v>
          </cell>
          <cell r="E72" t="str">
            <v>m2</v>
          </cell>
          <cell r="F72">
            <v>2324300</v>
          </cell>
          <cell r="G72">
            <v>25</v>
          </cell>
          <cell r="H72">
            <v>25</v>
          </cell>
        </row>
        <row r="73">
          <cell r="B73" t="str">
            <v>Nha1.1t(3,3-3,4)-FB</v>
          </cell>
          <cell r="C73" t="str">
            <v>Nhà 1 tầng bán kiên cố, tường chịu lực xây gạch 220, mái fibroximang, chiều cao từ 3,3m ≤ h &lt; 3,4m</v>
          </cell>
          <cell r="D73">
            <v>25</v>
          </cell>
          <cell r="E73" t="str">
            <v>m2</v>
          </cell>
          <cell r="F73">
            <v>2284700</v>
          </cell>
          <cell r="G73">
            <v>25</v>
          </cell>
          <cell r="H73">
            <v>25</v>
          </cell>
        </row>
        <row r="74">
          <cell r="B74" t="str">
            <v>Nha1.1t(3,2-3,3)-FB</v>
          </cell>
          <cell r="C74" t="str">
            <v>Nhà 1 tầng bán kiên cố, tường chịu lực xây gạch 220, mái fibroximang, chiều cao từ 3,2m ≤ h &lt; 3,3m</v>
          </cell>
          <cell r="D74">
            <v>25</v>
          </cell>
          <cell r="E74" t="str">
            <v>m2</v>
          </cell>
          <cell r="F74">
            <v>2245100</v>
          </cell>
          <cell r="G74">
            <v>25</v>
          </cell>
          <cell r="H74">
            <v>25</v>
          </cell>
        </row>
        <row r="75">
          <cell r="B75" t="str">
            <v>Nha1.1t(3,1-3,2)-FB</v>
          </cell>
          <cell r="C75" t="str">
            <v>Nhà 1 tầng bán kiên cố, tường chịu lực xây gạch 220, mái fibroximang, chiều cao từ 3,1m ≤ h &lt; 3,2m</v>
          </cell>
          <cell r="D75">
            <v>25</v>
          </cell>
          <cell r="E75" t="str">
            <v>m2</v>
          </cell>
          <cell r="F75">
            <v>2205500</v>
          </cell>
          <cell r="G75">
            <v>25</v>
          </cell>
          <cell r="H75">
            <v>25</v>
          </cell>
        </row>
        <row r="76">
          <cell r="B76" t="str">
            <v>Nha1.1t(3,0-3,1)-FB</v>
          </cell>
          <cell r="C76" t="str">
            <v>Nhà 1 tầng bán kiên cố, tường chịu lực xây gạch 220, mái fibroximang, chiều cao từ 3,0m ≤ h &lt; 3,1m</v>
          </cell>
          <cell r="D76">
            <v>25</v>
          </cell>
          <cell r="E76" t="str">
            <v>m2</v>
          </cell>
          <cell r="F76">
            <v>2165900</v>
          </cell>
          <cell r="G76">
            <v>25</v>
          </cell>
          <cell r="H76">
            <v>25</v>
          </cell>
        </row>
        <row r="77">
          <cell r="B77" t="str">
            <v>Nha1.1t(&lt;3,0)-FB</v>
          </cell>
          <cell r="C77" t="str">
            <v>Nhà 1 tầng bán kiên cố, tường chịu lực xây gạch 220, mái fibroximang, chiều cao dưới 3,0m</v>
          </cell>
          <cell r="D77">
            <v>25</v>
          </cell>
          <cell r="E77" t="str">
            <v>m2</v>
          </cell>
          <cell r="F77">
            <v>2126300</v>
          </cell>
          <cell r="G77">
            <v>25</v>
          </cell>
          <cell r="H77">
            <v>25</v>
          </cell>
        </row>
        <row r="78">
          <cell r="B78" t="str">
            <v>NHÀ 1 TẦNG</v>
          </cell>
          <cell r="C78" t="str">
            <v>'Nhà 1 tầng bán kiên cố, tường chịu lực xây gạch 110, nền lót vữa XM, trát tường và quét vôi ve. Mái lợp ngói</v>
          </cell>
          <cell r="D78">
            <v>25</v>
          </cell>
          <cell r="E78">
            <v>25</v>
          </cell>
          <cell r="F78">
            <v>25</v>
          </cell>
          <cell r="G78">
            <v>25</v>
          </cell>
          <cell r="H78">
            <v>25</v>
          </cell>
        </row>
        <row r="79">
          <cell r="B79" t="str">
            <v xml:space="preserve"> </v>
          </cell>
          <cell r="C79" t="str">
            <v>Chiều cao trung bình 1 tầng ≥ 4,0m cứ tăng 0,1m cộng thêm 41.000 đồng/m2</v>
          </cell>
          <cell r="D79">
            <v>25</v>
          </cell>
          <cell r="E79">
            <v>25</v>
          </cell>
          <cell r="F79">
            <v>25</v>
          </cell>
          <cell r="G79">
            <v>25</v>
          </cell>
          <cell r="H79">
            <v>25</v>
          </cell>
        </row>
        <row r="80">
          <cell r="B80" t="str">
            <v>Nha1.2t(3,9-4,0)-NGOI</v>
          </cell>
          <cell r="C80" t="str">
            <v>Nhà 1 tầng bán kiên cố, tường chịu lực xây gạch 110, mái lợp ngói, chiều cao từ 3,9m ≤ h &lt; 4,0m</v>
          </cell>
          <cell r="D80">
            <v>25</v>
          </cell>
          <cell r="E80" t="str">
            <v>m2</v>
          </cell>
          <cell r="F80">
            <v>2873200</v>
          </cell>
          <cell r="G80">
            <v>25</v>
          </cell>
          <cell r="H80">
            <v>0.8</v>
          </cell>
        </row>
        <row r="81">
          <cell r="B81" t="str">
            <v>Nha1.2t(3,8-3,9)-NGOI</v>
          </cell>
          <cell r="C81" t="str">
            <v>Nhà 1 tầng bán kiên cố, tường chịu lực xây gạch 110, mái lợp ngói, chiều cao từ 3,8m ≤ h &lt; 3,9m</v>
          </cell>
          <cell r="D81">
            <v>0.79999971389770508</v>
          </cell>
          <cell r="E81" t="str">
            <v>m2</v>
          </cell>
          <cell r="F81">
            <v>2828100</v>
          </cell>
          <cell r="G81">
            <v>25</v>
          </cell>
          <cell r="H81">
            <v>0.8</v>
          </cell>
        </row>
        <row r="82">
          <cell r="B82" t="str">
            <v>Nha1.2t(3,7-3,8)-NGOI</v>
          </cell>
          <cell r="C82" t="str">
            <v>Nhà 1 tầng bán kiên cố, tường chịu lực xây gạch 110, mái lợp ngói, chiều cao từ 3,7m ≤ h &lt; 3,8m</v>
          </cell>
          <cell r="D82">
            <v>0.79999971389770508</v>
          </cell>
          <cell r="E82" t="str">
            <v>m2</v>
          </cell>
          <cell r="F82">
            <v>2783000</v>
          </cell>
          <cell r="G82">
            <v>25</v>
          </cell>
          <cell r="H82">
            <v>0.8</v>
          </cell>
        </row>
        <row r="83">
          <cell r="B83" t="str">
            <v>Nha1.2t(3,6-3,7)-NGOI</v>
          </cell>
          <cell r="C83" t="str">
            <v>Nhà 1 tầng bán kiên cố, tường chịu lực xây gạch 110, mái lợp ngói, chiều cao từ 3,6m ≤ h &lt; 3,7m</v>
          </cell>
          <cell r="D83">
            <v>0.79999971389770508</v>
          </cell>
          <cell r="E83" t="str">
            <v>m2</v>
          </cell>
          <cell r="F83">
            <v>2737900</v>
          </cell>
          <cell r="G83">
            <v>25</v>
          </cell>
          <cell r="H83">
            <v>0.8</v>
          </cell>
        </row>
        <row r="84">
          <cell r="B84" t="str">
            <v>Nha1.2t(3,5-3,6)-NGOI</v>
          </cell>
          <cell r="C84" t="str">
            <v>Nhà 1 tầng bán kiên cố, tường chịu lực xây gạch 110, mái lợp ngói, chiều cao từ 3,5m ≤ h &lt; 3,6m</v>
          </cell>
          <cell r="D84">
            <v>0.79999971389770508</v>
          </cell>
          <cell r="E84" t="str">
            <v>m2</v>
          </cell>
          <cell r="F84">
            <v>2692800</v>
          </cell>
          <cell r="G84">
            <v>25</v>
          </cell>
          <cell r="H84">
            <v>0.8</v>
          </cell>
        </row>
        <row r="85">
          <cell r="B85" t="str">
            <v>Nha1.2t(3,4-3,5)-NGOI</v>
          </cell>
          <cell r="C85" t="str">
            <v>Nhà 1 tầng bán kiên cố, tường chịu lực xây gạch 110, mái lợp ngói, chiều cao từ 3,4m ≤ h &lt; 3,5m</v>
          </cell>
          <cell r="D85">
            <v>0.79999971389770508</v>
          </cell>
          <cell r="E85" t="str">
            <v>m2</v>
          </cell>
          <cell r="F85">
            <v>2647700</v>
          </cell>
          <cell r="G85">
            <v>25</v>
          </cell>
          <cell r="H85">
            <v>0.8</v>
          </cell>
        </row>
        <row r="86">
          <cell r="B86" t="str">
            <v>Nha1.2t(3,3-3,4)-NGOI</v>
          </cell>
          <cell r="C86" t="str">
            <v>Nhà 1 tầng bán kiên cố, tường chịu lực xây gạch 110, mái lợp ngói, chiều cao từ 3,3m ≤ h &lt; 3,4m</v>
          </cell>
          <cell r="D86">
            <v>0.79999971389770508</v>
          </cell>
          <cell r="E86" t="str">
            <v>m2</v>
          </cell>
          <cell r="F86">
            <v>2602600</v>
          </cell>
          <cell r="G86">
            <v>25</v>
          </cell>
          <cell r="H86">
            <v>0.8</v>
          </cell>
        </row>
        <row r="87">
          <cell r="B87" t="str">
            <v>Nha1.2t(3,2-3,3)-NGOI</v>
          </cell>
          <cell r="C87" t="str">
            <v>Nhà 1 tầng bán kiên cố, tường chịu lực xây gạch 110, mái lợp ngói, chiều cao từ 3,2m ≤ h &lt; 3,3m</v>
          </cell>
          <cell r="D87">
            <v>0.79999971389770508</v>
          </cell>
          <cell r="E87" t="str">
            <v>m2</v>
          </cell>
          <cell r="F87">
            <v>2557500</v>
          </cell>
          <cell r="G87">
            <v>25</v>
          </cell>
          <cell r="H87">
            <v>0.8</v>
          </cell>
        </row>
        <row r="88">
          <cell r="B88" t="str">
            <v>Nha1.2t(3,1-3,2)-NGOI</v>
          </cell>
          <cell r="C88" t="str">
            <v>Nhà 1 tầng bán kiên cố, tường chịu lực xây gạch 110, mái lợp ngói, chiều cao từ 3,1m ≤ h &lt; 3,2m</v>
          </cell>
          <cell r="D88">
            <v>0.79999971389770508</v>
          </cell>
          <cell r="E88" t="str">
            <v>m2</v>
          </cell>
          <cell r="F88">
            <v>2512400</v>
          </cell>
          <cell r="G88">
            <v>25</v>
          </cell>
          <cell r="H88">
            <v>0.8</v>
          </cell>
        </row>
        <row r="89">
          <cell r="B89" t="str">
            <v>Nha1.2t(3,0-3,1)-NGOI</v>
          </cell>
          <cell r="C89" t="str">
            <v>Nhà 1 tầng bán kiên cố, tường chịu lực xây gạch 110, mái lợp ngói, chiều cao từ 3,0m ≤ h &lt; 3,1m</v>
          </cell>
          <cell r="D89">
            <v>0.79999971389770508</v>
          </cell>
          <cell r="E89" t="str">
            <v>m2</v>
          </cell>
          <cell r="F89">
            <v>2467300</v>
          </cell>
          <cell r="G89">
            <v>25</v>
          </cell>
          <cell r="H89">
            <v>0.8</v>
          </cell>
        </row>
        <row r="90">
          <cell r="B90" t="str">
            <v>Nha1.2t(&lt;3,0)-NGOI</v>
          </cell>
          <cell r="C90" t="str">
            <v>Nhà 1 tầng bán kiên cố, tường chịu lực xây gạch 110, mái lợp ngói, chiều cao dưới 3,0m</v>
          </cell>
          <cell r="D90">
            <v>0.79999971389770508</v>
          </cell>
          <cell r="E90" t="str">
            <v>m2</v>
          </cell>
          <cell r="F90">
            <v>2422200</v>
          </cell>
          <cell r="G90">
            <v>25</v>
          </cell>
          <cell r="H90">
            <v>0.8</v>
          </cell>
        </row>
        <row r="91">
          <cell r="B91" t="str">
            <v>NHÀ 1 TẦNG</v>
          </cell>
          <cell r="C91" t="str">
            <v>Nhà 1 tầng bán kiên cố, tường chịu lực xây gạch 110, nền lót vữa XM, trát tường và quét vôi ve. Mái lợp tôn mạ màu</v>
          </cell>
          <cell r="D91">
            <v>0.79999971389770508</v>
          </cell>
          <cell r="E91">
            <v>0.79999971389770508</v>
          </cell>
          <cell r="F91">
            <v>0.79999971389770508</v>
          </cell>
          <cell r="G91">
            <v>0.79999971389770508</v>
          </cell>
          <cell r="H91">
            <v>0.79999971389770508</v>
          </cell>
        </row>
        <row r="92">
          <cell r="B92">
            <v>0.79999971389770508</v>
          </cell>
          <cell r="C92" t="str">
            <v>Chiều cao trung bình 1 tầng ≥ 4,0m cứ tăng 0,1m cộng thêm 39.000 đồng/m2</v>
          </cell>
          <cell r="D92">
            <v>0.79999971389770508</v>
          </cell>
          <cell r="E92">
            <v>0.79999971389770508</v>
          </cell>
          <cell r="F92">
            <v>0.79999971389770508</v>
          </cell>
          <cell r="G92">
            <v>0.79999971389770508</v>
          </cell>
          <cell r="H92">
            <v>0.79999971389770508</v>
          </cell>
        </row>
        <row r="93">
          <cell r="B93" t="str">
            <v>Nha1.2t(3,9-4,0)-TON</v>
          </cell>
          <cell r="C93" t="str">
            <v>Nhà 1 tầng bán kiên cố, tường chịu lực xây gạch 110, mái lợp tôn, chiều cao từ 3,9m ≤ h &lt; 4,0m</v>
          </cell>
          <cell r="D93">
            <v>0.79999971389770508</v>
          </cell>
          <cell r="E93" t="str">
            <v>m2</v>
          </cell>
          <cell r="F93">
            <v>2762100</v>
          </cell>
          <cell r="G93">
            <v>25</v>
          </cell>
          <cell r="H93">
            <v>0.8</v>
          </cell>
        </row>
        <row r="94">
          <cell r="B94" t="str">
            <v>Nha1.2t(3,8-3,9)-TON</v>
          </cell>
          <cell r="C94" t="str">
            <v>Nhà 1 tầng bán kiên cố, tường chịu lực xây gạch 110, mái lợp tôn, chiều cao từ 3,8m ≤ h &lt; 3,9m</v>
          </cell>
          <cell r="D94">
            <v>0.79999971389770508</v>
          </cell>
          <cell r="E94" t="str">
            <v>m2</v>
          </cell>
          <cell r="F94">
            <v>2719200</v>
          </cell>
          <cell r="G94">
            <v>25</v>
          </cell>
          <cell r="H94">
            <v>0.8</v>
          </cell>
        </row>
        <row r="95">
          <cell r="B95" t="str">
            <v>Nha1.2t(3,7-3,8)-TON</v>
          </cell>
          <cell r="C95" t="str">
            <v>Nhà 1 tầng bán kiên cố, tường chịu lực xây gạch 110, mái lợp tôn, chiều cao từ 3,7m ≤ h &lt; 3,8m</v>
          </cell>
          <cell r="D95">
            <v>0.79999971389770508</v>
          </cell>
          <cell r="E95" t="str">
            <v>m2</v>
          </cell>
          <cell r="F95">
            <v>2676300</v>
          </cell>
          <cell r="G95">
            <v>25</v>
          </cell>
          <cell r="H95">
            <v>0.8</v>
          </cell>
        </row>
        <row r="96">
          <cell r="B96" t="str">
            <v>Nha1.2t(3,6-3,7)-TON</v>
          </cell>
          <cell r="C96" t="str">
            <v>Nhà 1 tầng bán kiên cố, tường chịu lực xây gạch 110, mái lợp tôn, chiều cao từ 3,6m ≤ h &lt; 3,7m</v>
          </cell>
          <cell r="D96">
            <v>0.79999971389770508</v>
          </cell>
          <cell r="E96" t="str">
            <v>m2</v>
          </cell>
          <cell r="F96">
            <v>2633400</v>
          </cell>
          <cell r="G96">
            <v>25</v>
          </cell>
          <cell r="H96">
            <v>0.8</v>
          </cell>
        </row>
        <row r="97">
          <cell r="B97" t="str">
            <v>Nha1.2t(3,5-3,6)-TON</v>
          </cell>
          <cell r="C97" t="str">
            <v>Nhà 1 tầng bán kiên cố, tường chịu lực xây gạch 110, mái lợp tôn, chiều cao từ 3,5m ≤ h &lt; 3,6m</v>
          </cell>
          <cell r="D97">
            <v>0.79999971389770508</v>
          </cell>
          <cell r="E97" t="str">
            <v>m2</v>
          </cell>
          <cell r="F97">
            <v>2590500</v>
          </cell>
          <cell r="G97">
            <v>25</v>
          </cell>
          <cell r="H97">
            <v>0.8</v>
          </cell>
        </row>
        <row r="98">
          <cell r="B98" t="str">
            <v>Nha1.2t(3,4-3,5)-TON</v>
          </cell>
          <cell r="C98" t="str">
            <v>Nhà 1 tầng bán kiên cố, tường chịu lực xây gạch 110, mái lợp tôn, chiều cao từ 3,4m ≤ h &lt; 3,5m</v>
          </cell>
          <cell r="D98">
            <v>0.79999971389770508</v>
          </cell>
          <cell r="E98" t="str">
            <v>m2</v>
          </cell>
          <cell r="F98">
            <v>2547600</v>
          </cell>
          <cell r="G98">
            <v>25</v>
          </cell>
          <cell r="H98">
            <v>0.8</v>
          </cell>
        </row>
        <row r="99">
          <cell r="B99" t="str">
            <v>Nha1.2t(3,3-3,4)-TON</v>
          </cell>
          <cell r="C99" t="str">
            <v>Nhà 1 tầng bán kiên cố, tường chịu lực xây gạch 110, mái lợp tôn, chiều cao từ 3,3m ≤ h &lt; 3,4m</v>
          </cell>
          <cell r="D99">
            <v>0.79999971389770508</v>
          </cell>
          <cell r="E99" t="str">
            <v>m2</v>
          </cell>
          <cell r="F99">
            <v>2504700</v>
          </cell>
          <cell r="G99">
            <v>25</v>
          </cell>
          <cell r="H99">
            <v>0.8</v>
          </cell>
        </row>
        <row r="100">
          <cell r="B100" t="str">
            <v>Nha1.2t(3,2-3,3)-TON</v>
          </cell>
          <cell r="C100" t="str">
            <v>Nhà 1 tầng bán kiên cố, tường chịu lực xây gạch 110, mái lợp tôn, chiều cao từ 3,2m ≤ h &lt; 3,3m</v>
          </cell>
          <cell r="D100">
            <v>0.79999971389770508</v>
          </cell>
          <cell r="E100" t="str">
            <v>m2</v>
          </cell>
          <cell r="F100">
            <v>2461800</v>
          </cell>
          <cell r="G100">
            <v>25</v>
          </cell>
          <cell r="H100">
            <v>0.8</v>
          </cell>
        </row>
        <row r="101">
          <cell r="B101" t="str">
            <v>Nha1.2t(3,1-3,2)-TON</v>
          </cell>
          <cell r="C101" t="str">
            <v>Nhà 1 tầng bán kiên cố, tường chịu lực xây gạch 110, mái lợp tôn, chiều cao từ 3,1m ≤ h &lt; 3,2m</v>
          </cell>
          <cell r="D101">
            <v>0.79999971389770508</v>
          </cell>
          <cell r="E101" t="str">
            <v>m2</v>
          </cell>
          <cell r="F101">
            <v>2418900</v>
          </cell>
          <cell r="G101">
            <v>25</v>
          </cell>
          <cell r="H101">
            <v>0.8</v>
          </cell>
        </row>
        <row r="102">
          <cell r="B102" t="str">
            <v>Nha1.2t(3,0-3,1)-TON</v>
          </cell>
          <cell r="C102" t="str">
            <v>Nhà 1 tầng bán kiên cố, tường chịu lực xây gạch 110, mái lợp tôn, chiều cao từ 3,0m ≤ h &lt; 3,1m</v>
          </cell>
          <cell r="D102">
            <v>0.79999971389770508</v>
          </cell>
          <cell r="E102" t="str">
            <v>m2</v>
          </cell>
          <cell r="F102">
            <v>2376000</v>
          </cell>
          <cell r="G102">
            <v>25</v>
          </cell>
          <cell r="H102">
            <v>0.8</v>
          </cell>
        </row>
        <row r="103">
          <cell r="B103" t="str">
            <v>Nha1.2t(&lt;3,0)-TON</v>
          </cell>
          <cell r="C103" t="str">
            <v>Nhà 1 tầng bán kiên cố, tường chịu lực xây gạch 110, mái lợp tôn, chiều cao dưới 3,0m</v>
          </cell>
          <cell r="D103">
            <v>0.79999971389770508</v>
          </cell>
          <cell r="E103" t="str">
            <v>m2</v>
          </cell>
          <cell r="F103">
            <v>2333100</v>
          </cell>
          <cell r="G103">
            <v>25</v>
          </cell>
          <cell r="H103">
            <v>0.8</v>
          </cell>
        </row>
        <row r="104">
          <cell r="B104" t="str">
            <v>NHÀ 1 TẦNG</v>
          </cell>
          <cell r="C104" t="str">
            <v>Nhà 1 tầng bán kiên cố, tường chịu lực xây gạch 110, nền lót vữa XM, trát tường và quét vôi ve. Mái lợp Fibrôximăng</v>
          </cell>
          <cell r="D104">
            <v>0.79999971389770508</v>
          </cell>
          <cell r="E104">
            <v>0.79999971389770508</v>
          </cell>
          <cell r="F104">
            <v>0.79999971389770508</v>
          </cell>
          <cell r="G104">
            <v>0.79999971389770508</v>
          </cell>
          <cell r="H104">
            <v>0.79999971389770508</v>
          </cell>
        </row>
        <row r="105">
          <cell r="B105">
            <v>0.79999971389770508</v>
          </cell>
          <cell r="C105" t="str">
            <v>Chiều cao trung bình 1 tầng ≥ 4,0m cứ tăng 0,1m cộng thêm 35.000 đồng/m2</v>
          </cell>
          <cell r="D105">
            <v>0.79999971389770508</v>
          </cell>
          <cell r="E105">
            <v>0.79999971389770508</v>
          </cell>
          <cell r="F105">
            <v>0.79999971389770508</v>
          </cell>
          <cell r="G105">
            <v>0.79999971389770508</v>
          </cell>
          <cell r="H105">
            <v>0.79999971389770508</v>
          </cell>
        </row>
        <row r="106">
          <cell r="B106" t="str">
            <v>Nha1.2t(3,9-4,0)-FB</v>
          </cell>
          <cell r="C106" t="str">
            <v>Nhà 1 tầng bán kiên cố, tường chịu lực xây gạch 110, mái fibroximang, chiều cao từ 3,9m ≤ h &lt; 4,0m</v>
          </cell>
          <cell r="D106">
            <v>0.79999971389770508</v>
          </cell>
          <cell r="E106" t="str">
            <v>m2</v>
          </cell>
          <cell r="F106">
            <v>2471700</v>
          </cell>
          <cell r="G106">
            <v>25</v>
          </cell>
          <cell r="H106">
            <v>0.8</v>
          </cell>
        </row>
        <row r="107">
          <cell r="B107" t="str">
            <v>Nha1.2t(3,8-3,9)-FB</v>
          </cell>
          <cell r="C107" t="str">
            <v>Nhà 1 tầng bán kiên cố, tường chịu lực xây gạch 110, mái fibroximang, chiều cao từ 3,8m ≤ h &lt; 3,9m</v>
          </cell>
          <cell r="D107">
            <v>0.79999971389770508</v>
          </cell>
          <cell r="E107" t="str">
            <v>m2</v>
          </cell>
          <cell r="F107">
            <v>2433200</v>
          </cell>
          <cell r="G107">
            <v>25</v>
          </cell>
          <cell r="H107">
            <v>0.8</v>
          </cell>
        </row>
        <row r="108">
          <cell r="B108" t="str">
            <v>Nha1.2t(3,7-3,8)-FB</v>
          </cell>
          <cell r="C108" t="str">
            <v>Nhà 1 tầng bán kiên cố, tường chịu lực xây gạch 110, mái fibroximang, chiều cao từ 3,7m ≤ h &lt; 3,8m</v>
          </cell>
          <cell r="D108">
            <v>0.79999971389770508</v>
          </cell>
          <cell r="E108" t="str">
            <v>m2</v>
          </cell>
          <cell r="F108">
            <v>2394700</v>
          </cell>
          <cell r="G108">
            <v>25</v>
          </cell>
          <cell r="H108">
            <v>0.8</v>
          </cell>
        </row>
        <row r="109">
          <cell r="B109" t="str">
            <v>Nha1.2t(3,6-3,7)-FB</v>
          </cell>
          <cell r="C109" t="str">
            <v>Nhà 1 tầng bán kiên cố, tường chịu lực xây gạch 110, mái fibroximang, chiều cao từ 3,6m ≤ h &lt; 3,7m</v>
          </cell>
          <cell r="D109">
            <v>0.79999971389770508</v>
          </cell>
          <cell r="E109" t="str">
            <v>m2</v>
          </cell>
          <cell r="F109">
            <v>2356200</v>
          </cell>
          <cell r="G109">
            <v>25</v>
          </cell>
          <cell r="H109">
            <v>0.8</v>
          </cell>
        </row>
        <row r="110">
          <cell r="B110" t="str">
            <v>Nha1.2t(3,5-3,6)-FB</v>
          </cell>
          <cell r="C110" t="str">
            <v>Nhà 1 tầng bán kiên cố, tường chịu lực xây gạch 110, mái fibroximang, chiều cao từ 3,5m ≤ h &lt; 3,6m</v>
          </cell>
          <cell r="D110">
            <v>0.79999971389770508</v>
          </cell>
          <cell r="E110" t="str">
            <v>m2</v>
          </cell>
          <cell r="F110">
            <v>2317700</v>
          </cell>
          <cell r="G110">
            <v>25</v>
          </cell>
          <cell r="H110">
            <v>0.8</v>
          </cell>
        </row>
        <row r="111">
          <cell r="B111" t="str">
            <v>Nha1.2t(3,4-3,5)-FB</v>
          </cell>
          <cell r="C111" t="str">
            <v>Nhà 1 tầng bán kiên cố, tường chịu lực xây gạch 110, mái fibroximang, chiều cao từ 3,4m ≤ h &lt; 3,5m</v>
          </cell>
          <cell r="D111">
            <v>0.79999971389770508</v>
          </cell>
          <cell r="E111" t="str">
            <v>m2</v>
          </cell>
          <cell r="F111">
            <v>2279200</v>
          </cell>
          <cell r="G111">
            <v>25</v>
          </cell>
          <cell r="H111">
            <v>0.8</v>
          </cell>
        </row>
        <row r="112">
          <cell r="B112" t="str">
            <v>Nha1.2t(3,3-3,4)-FB</v>
          </cell>
          <cell r="C112" t="str">
            <v>Nhà 1 tầng bán kiên cố, tường chịu lực xây gạch 110, mái fibroximang, chiều cao từ 3,3m ≤ h &lt; 3,4m</v>
          </cell>
          <cell r="D112">
            <v>0.79999971389770508</v>
          </cell>
          <cell r="E112" t="str">
            <v>m2</v>
          </cell>
          <cell r="F112">
            <v>2240700</v>
          </cell>
          <cell r="G112">
            <v>25</v>
          </cell>
          <cell r="H112">
            <v>0.8</v>
          </cell>
        </row>
        <row r="113">
          <cell r="B113" t="str">
            <v>Nha1.2t(3,2-3,3)-FB</v>
          </cell>
          <cell r="C113" t="str">
            <v>Nhà 1 tầng bán kiên cố, tường chịu lực xây gạch 110, mái fibroximang, chiều cao từ 3,2m ≤ h &lt; 3,3m</v>
          </cell>
          <cell r="D113">
            <v>0.79999971389770508</v>
          </cell>
          <cell r="E113" t="str">
            <v>m2</v>
          </cell>
          <cell r="F113">
            <v>2202200</v>
          </cell>
          <cell r="G113">
            <v>25</v>
          </cell>
          <cell r="H113">
            <v>0.8</v>
          </cell>
        </row>
        <row r="114">
          <cell r="B114" t="str">
            <v>Nha1.2t(3,1-3,2)-FB</v>
          </cell>
          <cell r="C114" t="str">
            <v>Nhà 1 tầng bán kiên cố, tường chịu lực xây gạch 110, mái fibroximang, chiều cao từ 3,1m ≤ h &lt; 3,2m</v>
          </cell>
          <cell r="D114">
            <v>0.79999971389770508</v>
          </cell>
          <cell r="E114" t="str">
            <v>m2</v>
          </cell>
          <cell r="F114">
            <v>2163700</v>
          </cell>
          <cell r="G114">
            <v>25</v>
          </cell>
          <cell r="H114">
            <v>0.8</v>
          </cell>
        </row>
        <row r="115">
          <cell r="B115" t="str">
            <v>Nha1.2t(3,0-3,1)-FB</v>
          </cell>
          <cell r="C115" t="str">
            <v>Nhà 1 tầng bán kiên cố, tường chịu lực xây gạch 110, mái fibroximang, chiều cao từ 3,0m ≤ h &lt; 3,1m</v>
          </cell>
          <cell r="D115">
            <v>0.79999971389770508</v>
          </cell>
          <cell r="E115" t="str">
            <v>m2</v>
          </cell>
          <cell r="F115">
            <v>2125200</v>
          </cell>
          <cell r="G115">
            <v>25</v>
          </cell>
          <cell r="H115">
            <v>0.8</v>
          </cell>
        </row>
        <row r="116">
          <cell r="B116" t="str">
            <v>Nha1.2t(&lt;3,0)-FB</v>
          </cell>
          <cell r="C116" t="str">
            <v>Nhà 1 tầng bán kiên cố, tường chịu lực xây gạch 110, mái fibroximang, chiều cao dưới 3,0m</v>
          </cell>
          <cell r="D116">
            <v>0.79999971389770508</v>
          </cell>
          <cell r="E116" t="str">
            <v>m2</v>
          </cell>
          <cell r="F116">
            <v>2086700.0000000002</v>
          </cell>
          <cell r="G116">
            <v>25</v>
          </cell>
          <cell r="H116">
            <v>0.8</v>
          </cell>
        </row>
        <row r="117">
          <cell r="B117" t="str">
            <v>WC</v>
          </cell>
          <cell r="C117" t="str">
            <v>Nhà vệ sinh tầng 1, cao ≤ 3m, tường chịu lực gạch 220, nền lót vữa XM, trát tường và quét vôi ve (chưa bao gồm bể phốt)</v>
          </cell>
          <cell r="D117">
            <v>0.79999971389770508</v>
          </cell>
          <cell r="E117">
            <v>0.79999971389770508</v>
          </cell>
          <cell r="F117">
            <v>0.79999971389770508</v>
          </cell>
          <cell r="G117">
            <v>0.79999971389770508</v>
          </cell>
          <cell r="H117">
            <v>0.79999971389770508</v>
          </cell>
        </row>
        <row r="118">
          <cell r="B118" t="str">
            <v>WC-BTCT</v>
          </cell>
          <cell r="C118" t="str">
            <v>Nhà vệ sinh 1 tầng, cao ≤ 3m, tường 220, mái BTCT</v>
          </cell>
          <cell r="D118">
            <v>0.79999971389770508</v>
          </cell>
          <cell r="E118" t="str">
            <v>m2</v>
          </cell>
          <cell r="F118">
            <v>3694900.0000000005</v>
          </cell>
          <cell r="G118">
            <v>25</v>
          </cell>
          <cell r="H118">
            <v>0.8</v>
          </cell>
        </row>
        <row r="119">
          <cell r="B119" t="str">
            <v>WC-Lợp Ngói</v>
          </cell>
          <cell r="C119" t="str">
            <v>Nhà vệ sinh 1 tầng, cao ≤ 3m, tường 220, mái lợp ngói</v>
          </cell>
          <cell r="D119">
            <v>0.79999971389770508</v>
          </cell>
          <cell r="E119" t="str">
            <v>m2</v>
          </cell>
          <cell r="F119">
            <v>3600300.0000000005</v>
          </cell>
          <cell r="G119">
            <v>25</v>
          </cell>
          <cell r="H119">
            <v>0.8</v>
          </cell>
        </row>
        <row r="120">
          <cell r="B120" t="str">
            <v>WC-TON</v>
          </cell>
          <cell r="C120" t="str">
            <v>Nhà vệ sinh 1 tầng, cao ≤ 3m, tường 220, mái lợp tôn</v>
          </cell>
          <cell r="D120">
            <v>0.79999971389770508</v>
          </cell>
          <cell r="E120" t="str">
            <v>m2</v>
          </cell>
          <cell r="F120">
            <v>3536500.0000000005</v>
          </cell>
          <cell r="G120">
            <v>25</v>
          </cell>
          <cell r="H120">
            <v>0.8</v>
          </cell>
        </row>
        <row r="121">
          <cell r="B121" t="str">
            <v>WC-FB</v>
          </cell>
          <cell r="C121" t="str">
            <v>Nhà vệ sinh 1 tầng, cao ≤ 3m, tường 220, mái fibroximang</v>
          </cell>
          <cell r="D121">
            <v>0.79999971389770508</v>
          </cell>
          <cell r="E121" t="str">
            <v>m2</v>
          </cell>
          <cell r="F121">
            <v>2458500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cell r="D122">
            <v>0.79999971389770508</v>
          </cell>
          <cell r="E122">
            <v>0.79999971389770508</v>
          </cell>
          <cell r="F122">
            <v>0.79999971389770508</v>
          </cell>
          <cell r="G122">
            <v>0.79999971389770508</v>
          </cell>
          <cell r="H122">
            <v>0.79999971389770508</v>
          </cell>
        </row>
        <row r="123">
          <cell r="B123" t="str">
            <v>Mái vẩy 02 lợp ngói 3m</v>
          </cell>
          <cell r="C123" t="str">
            <v>Mái đua, mái vẩy, tường xây gạch 220, mái lợp ngói chiều cao 3m</v>
          </cell>
          <cell r="D123">
            <v>1450000</v>
          </cell>
          <cell r="E123" t="str">
            <v>m2</v>
          </cell>
          <cell r="F123">
            <v>1595000.0000000002</v>
          </cell>
          <cell r="G123">
            <v>25</v>
          </cell>
          <cell r="H123">
            <v>0.8</v>
          </cell>
        </row>
        <row r="124">
          <cell r="B124">
            <v>0.79999971389770508</v>
          </cell>
          <cell r="C124" t="str">
            <v>- Nếu cao hơn 3m, cứ tăng 0,1m thì cộng thêm 34.000 đồng/m2</v>
          </cell>
          <cell r="D124">
            <v>0.79999971389770508</v>
          </cell>
          <cell r="E124">
            <v>0.79999971389770508</v>
          </cell>
          <cell r="F124">
            <v>0.79999971389770508</v>
          </cell>
          <cell r="G124">
            <v>0.79999971389770508</v>
          </cell>
          <cell r="H124">
            <v>0.79999971389770508</v>
          </cell>
        </row>
        <row r="125">
          <cell r="B125">
            <v>0.79999971389770508</v>
          </cell>
          <cell r="C125" t="str">
            <v>- Nếu thấp hơn 3m, cứ giảm 0,1m thì trừ đi 34.000 đồng/m2</v>
          </cell>
          <cell r="D125">
            <v>0.79999971389770508</v>
          </cell>
          <cell r="E125">
            <v>0.79999971389770508</v>
          </cell>
          <cell r="F125">
            <v>0.79999971389770508</v>
          </cell>
          <cell r="G125">
            <v>0.79999971389770508</v>
          </cell>
          <cell r="H125">
            <v>0.79999971389770508</v>
          </cell>
        </row>
        <row r="126">
          <cell r="B126" t="str">
            <v>Mái vẩy 02 lợp ngói &lt;= 2,7m</v>
          </cell>
          <cell r="C126" t="str">
            <v>Mái đua, mái vẩy, tường xây gạch 220, mái lợp ngói chiều cao &lt;= 2,7m</v>
          </cell>
          <cell r="D126">
            <v>0.79999971389770508</v>
          </cell>
          <cell r="E126" t="str">
            <v>m2</v>
          </cell>
          <cell r="F126">
            <v>1482800.0000000002</v>
          </cell>
          <cell r="G126">
            <v>25</v>
          </cell>
          <cell r="H126">
            <v>0.8</v>
          </cell>
        </row>
        <row r="127">
          <cell r="B127" t="str">
            <v>Mái vẩy 02 lợp tôn mạ màu 3m</v>
          </cell>
          <cell r="C127" t="str">
            <v>Mái đua, mái vẩy, tường xây gạch 220, mái lợp tôn chiều cao 3m</v>
          </cell>
          <cell r="D127">
            <v>1371000</v>
          </cell>
          <cell r="E127" t="str">
            <v>m2</v>
          </cell>
          <cell r="F127">
            <v>1508100.0000000002</v>
          </cell>
          <cell r="G127">
            <v>25</v>
          </cell>
          <cell r="H127">
            <v>0.8</v>
          </cell>
        </row>
        <row r="128">
          <cell r="B128">
            <v>0.79999971389770508</v>
          </cell>
          <cell r="C128" t="str">
            <v>- Nếu cao hơn 3m, cứ tăng 0,1m thì cộng thêm 32.000 đồng/m2</v>
          </cell>
          <cell r="D128">
            <v>0.79999971389770508</v>
          </cell>
          <cell r="E128">
            <v>0.79999971389770508</v>
          </cell>
          <cell r="F128">
            <v>0.79999971389770508</v>
          </cell>
          <cell r="G128">
            <v>0.79999971389770508</v>
          </cell>
          <cell r="H128">
            <v>0.79999971389770508</v>
          </cell>
        </row>
        <row r="129">
          <cell r="B129">
            <v>0.79999971389770508</v>
          </cell>
          <cell r="C129" t="str">
            <v>- Nếu thấp hơn 3m, cứ giảm 0,1m thì trừ đi 32.000 đồng/m2</v>
          </cell>
          <cell r="D129">
            <v>0.79999971389770508</v>
          </cell>
          <cell r="E129">
            <v>0.79999971389770508</v>
          </cell>
          <cell r="F129">
            <v>0.79999971389770508</v>
          </cell>
          <cell r="G129">
            <v>0.79999971389770508</v>
          </cell>
          <cell r="H129">
            <v>0.79999971389770508</v>
          </cell>
        </row>
        <row r="130">
          <cell r="B130" t="str">
            <v>Mái vẩy 02 lợp tôn &lt;= 2,7m</v>
          </cell>
          <cell r="C130" t="str">
            <v>Mái đua, mái vẩy, tường xây gạch 220, mái lợp tôn chiều cao &lt;= 2,7m</v>
          </cell>
          <cell r="D130">
            <v>0.79999971389770508</v>
          </cell>
          <cell r="E130" t="str">
            <v>m2</v>
          </cell>
          <cell r="F130">
            <v>1402500</v>
          </cell>
          <cell r="G130">
            <v>25</v>
          </cell>
          <cell r="H130">
            <v>0.8</v>
          </cell>
        </row>
        <row r="131">
          <cell r="B131" t="str">
            <v>Mái vẩy 02 lợp fibroximang 3m</v>
          </cell>
          <cell r="C131" t="str">
            <v>Mái đua, mái vẩy, tường xây gạch 220, mái lợp fibroximang chiều cao 3m</v>
          </cell>
          <cell r="D131">
            <v>1125000</v>
          </cell>
          <cell r="E131" t="str">
            <v>m2</v>
          </cell>
          <cell r="F131">
            <v>1237500</v>
          </cell>
          <cell r="G131">
            <v>25</v>
          </cell>
          <cell r="H131">
            <v>0.8</v>
          </cell>
        </row>
        <row r="132">
          <cell r="B132">
            <v>0.79999971389770508</v>
          </cell>
          <cell r="C132" t="str">
            <v>- Nếu cao hơn 3m, cứ tăng 0,1m thì cộng thêm 26.000 đồng/m2</v>
          </cell>
          <cell r="D132">
            <v>0.79999971389770508</v>
          </cell>
          <cell r="E132">
            <v>0.79999971389770508</v>
          </cell>
          <cell r="F132">
            <v>0.79999971389770508</v>
          </cell>
          <cell r="G132">
            <v>0.79999971389770508</v>
          </cell>
          <cell r="H132">
            <v>0.79999971389770508</v>
          </cell>
        </row>
        <row r="133">
          <cell r="B133">
            <v>0.79999971389770508</v>
          </cell>
          <cell r="C133" t="str">
            <v>- Nếu thấp hơn 3m, cứ giảm 0,1m thì trừ đi 26.000 đồng/m2</v>
          </cell>
          <cell r="D133">
            <v>0.79999971389770508</v>
          </cell>
          <cell r="E133">
            <v>0.79999971389770508</v>
          </cell>
          <cell r="F133">
            <v>0.79999971389770508</v>
          </cell>
          <cell r="G133">
            <v>0.79999971389770508</v>
          </cell>
          <cell r="H133">
            <v>0.79999971389770508</v>
          </cell>
        </row>
        <row r="134">
          <cell r="B134" t="str">
            <v>Mái vẩy 02 lợp fibroximang &lt;= 2,7m</v>
          </cell>
          <cell r="C134" t="str">
            <v>Mái đua, mái vẩy, tường xây gạch 220, mái lợp fibroximang chiều cao &lt;= 2,7m</v>
          </cell>
          <cell r="D134">
            <v>0.79999971389770508</v>
          </cell>
          <cell r="E134" t="str">
            <v>m2</v>
          </cell>
          <cell r="F134">
            <v>1151700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cell r="D135">
            <v>0.79999971389770508</v>
          </cell>
          <cell r="E135">
            <v>0.79999971389770508</v>
          </cell>
          <cell r="F135">
            <v>0.79999971389770508</v>
          </cell>
          <cell r="G135">
            <v>0.79999971389770508</v>
          </cell>
          <cell r="H135">
            <v>0.79999971389770508</v>
          </cell>
        </row>
        <row r="136">
          <cell r="B136" t="str">
            <v>Mái vẩy 01 lợp ngói 3m</v>
          </cell>
          <cell r="C136" t="str">
            <v>Mái đua, mái vẩy, tường xây gạch 110, mái lợp ngói chiều cao 3m</v>
          </cell>
          <cell r="D136">
            <v>1383000</v>
          </cell>
          <cell r="E136" t="str">
            <v>m2</v>
          </cell>
          <cell r="F136">
            <v>1521300.0000000002</v>
          </cell>
          <cell r="G136">
            <v>25</v>
          </cell>
          <cell r="H136">
            <v>0.8</v>
          </cell>
        </row>
        <row r="137">
          <cell r="B137">
            <v>0.79999971389770508</v>
          </cell>
          <cell r="C137" t="str">
            <v>- Nếu cao hơn 3m, cứ tăng 0,1m thì cộng thêm 32.000 đồng/m2</v>
          </cell>
          <cell r="D137">
            <v>0.79999971389770508</v>
          </cell>
          <cell r="E137">
            <v>0.79999971389770508</v>
          </cell>
          <cell r="F137">
            <v>0.79999971389770508</v>
          </cell>
          <cell r="G137">
            <v>0.79999971389770508</v>
          </cell>
          <cell r="H137">
            <v>0.79999971389770508</v>
          </cell>
        </row>
        <row r="138">
          <cell r="B138">
            <v>0.79999971389770508</v>
          </cell>
          <cell r="C138" t="str">
            <v>- Nếu thấp hơn 3m, cứ giảm 0,1m thì trừ đi 32.000 đồng/m2</v>
          </cell>
          <cell r="D138">
            <v>0.79999971389770508</v>
          </cell>
          <cell r="E138">
            <v>0.79999971389770508</v>
          </cell>
          <cell r="F138">
            <v>0.79999971389770508</v>
          </cell>
          <cell r="G138">
            <v>0.79999971389770508</v>
          </cell>
          <cell r="H138">
            <v>0.79999971389770508</v>
          </cell>
        </row>
        <row r="139">
          <cell r="B139" t="str">
            <v>Mái vẩy 01 lợp ngói &lt;= 2,7m</v>
          </cell>
          <cell r="C139" t="str">
            <v>Mái đua, mái vẩy, tường xây gạch 110, mái lợp ngói chiều cao &lt;= 2,7m</v>
          </cell>
          <cell r="D139">
            <v>0.79999971389770508</v>
          </cell>
          <cell r="E139" t="str">
            <v>m2</v>
          </cell>
          <cell r="F139">
            <v>1415700</v>
          </cell>
          <cell r="G139">
            <v>25</v>
          </cell>
          <cell r="H139">
            <v>0.8</v>
          </cell>
        </row>
        <row r="140">
          <cell r="B140" t="str">
            <v>Mái vẩy 01 lợp tôn mạ màu 3m</v>
          </cell>
          <cell r="C140" t="str">
            <v>Mái đua, mái vẩy, tường xây gạch 110, mái lợp tôn chiều cao 3m</v>
          </cell>
          <cell r="D140">
            <v>1304000</v>
          </cell>
          <cell r="E140" t="str">
            <v>m2</v>
          </cell>
          <cell r="F140">
            <v>1434400</v>
          </cell>
          <cell r="G140">
            <v>25</v>
          </cell>
          <cell r="H140">
            <v>0.8</v>
          </cell>
        </row>
        <row r="141">
          <cell r="B141">
            <v>0.79999971389770508</v>
          </cell>
          <cell r="C141" t="str">
            <v>- Nếu cao hơn 3m, cứ tăng 0,1m thì cộng thêm 30.000 đồng/m2</v>
          </cell>
          <cell r="D141">
            <v>0.79999971389770508</v>
          </cell>
          <cell r="E141">
            <v>0.79999971389770508</v>
          </cell>
          <cell r="F141">
            <v>0.79999971389770508</v>
          </cell>
          <cell r="G141">
            <v>0.79999971389770508</v>
          </cell>
          <cell r="H141">
            <v>0.79999971389770508</v>
          </cell>
        </row>
        <row r="142">
          <cell r="B142">
            <v>0.79999971389770508</v>
          </cell>
          <cell r="C142" t="str">
            <v>- Nếu thấp hơn 3m, cứ giảm 0,1m thì trừ đi 30.000 đồng/m2</v>
          </cell>
          <cell r="D142">
            <v>0.79999971389770508</v>
          </cell>
          <cell r="E142">
            <v>0.79999971389770508</v>
          </cell>
          <cell r="F142">
            <v>0.79999971389770508</v>
          </cell>
          <cell r="G142">
            <v>0.79999971389770508</v>
          </cell>
          <cell r="H142">
            <v>0.79999971389770508</v>
          </cell>
        </row>
        <row r="143">
          <cell r="B143" t="str">
            <v>Mái vẩy 01 lợp tôn &lt;= 2,7m</v>
          </cell>
          <cell r="C143" t="str">
            <v>Mái đua, mái vẩy, tường xây gạch 110, mái lợp tôn chiều cao &lt;= 2,7m</v>
          </cell>
          <cell r="D143">
            <v>0.79999971389770508</v>
          </cell>
          <cell r="E143" t="str">
            <v>m2</v>
          </cell>
          <cell r="F143">
            <v>1335400</v>
          </cell>
          <cell r="G143">
            <v>25</v>
          </cell>
          <cell r="H143">
            <v>0.8</v>
          </cell>
        </row>
        <row r="144">
          <cell r="B144" t="str">
            <v>Mái vẩy 01 lợp fibroximang 3m</v>
          </cell>
          <cell r="C144" t="str">
            <v>Mái đua, mái vẩy, tường xây gạch 110, mái lợp fibroximang chiều cao 3m</v>
          </cell>
          <cell r="D144">
            <v>1059000</v>
          </cell>
          <cell r="E144" t="str">
            <v>m2</v>
          </cell>
          <cell r="F144">
            <v>1164900</v>
          </cell>
          <cell r="G144">
            <v>25</v>
          </cell>
          <cell r="H144">
            <v>0.8</v>
          </cell>
        </row>
        <row r="145">
          <cell r="B145">
            <v>0.79999971389770508</v>
          </cell>
          <cell r="C145" t="str">
            <v>- Nếu cao hơn 3m, cứ tăng 0,1m thì cộng thêm 25.000 đồng/m2</v>
          </cell>
          <cell r="D145">
            <v>0.79999971389770508</v>
          </cell>
          <cell r="E145">
            <v>0.79999971389770508</v>
          </cell>
          <cell r="F145">
            <v>0.79999971389770508</v>
          </cell>
          <cell r="G145">
            <v>0.79999971389770508</v>
          </cell>
          <cell r="H145">
            <v>0.79999971389770508</v>
          </cell>
        </row>
        <row r="146">
          <cell r="B146">
            <v>0.79999971389770508</v>
          </cell>
          <cell r="C146" t="str">
            <v>- Nếu thấp hơn 3m, cứ giảm 0,1m thì trừ đi 25.000 đồng/m2</v>
          </cell>
          <cell r="D146">
            <v>0.79999971389770508</v>
          </cell>
          <cell r="E146">
            <v>0.79999971389770508</v>
          </cell>
          <cell r="F146">
            <v>0.79999971389770508</v>
          </cell>
          <cell r="G146">
            <v>0.79999971389770508</v>
          </cell>
          <cell r="H146">
            <v>0.79999971389770508</v>
          </cell>
        </row>
        <row r="147">
          <cell r="B147" t="str">
            <v>Mái vẩy 01 lợp fibroximang &lt;= 2,7m</v>
          </cell>
          <cell r="C147" t="str">
            <v>Mái đua, mái vẩy, tường xây gạch 110, mái lợp fibroximang chiều cao &lt;= 2,7m</v>
          </cell>
          <cell r="D147">
            <v>0.79999971389770508</v>
          </cell>
          <cell r="E147" t="str">
            <v>m2</v>
          </cell>
          <cell r="F147">
            <v>1082400</v>
          </cell>
          <cell r="G147">
            <v>25</v>
          </cell>
          <cell r="H147">
            <v>0.8</v>
          </cell>
        </row>
        <row r="148">
          <cell r="B148" t="str">
            <v>MÁI KHÔNG XÂY TƯỜNG</v>
          </cell>
          <cell r="C148" t="str">
            <v>Mái đua, mái vẩy nổi với công trình chính, không xây tường, độ thấp nhất của mái gianh trung bình bằng 3m</v>
          </cell>
          <cell r="D148">
            <v>0.79999971389770508</v>
          </cell>
          <cell r="E148">
            <v>0.79999971389770508</v>
          </cell>
          <cell r="F148">
            <v>0.79999971389770508</v>
          </cell>
          <cell r="G148">
            <v>0.79999971389770508</v>
          </cell>
          <cell r="H148">
            <v>0.79999971389770508</v>
          </cell>
        </row>
        <row r="149">
          <cell r="B149" t="str">
            <v>Mái vẩy 03 lợp ngói 3m</v>
          </cell>
          <cell r="C149" t="str">
            <v>Mái đua, mái vẩy, không xây tường, mái lợp ngói chiều cao 3m</v>
          </cell>
          <cell r="D149">
            <v>643000</v>
          </cell>
          <cell r="E149" t="str">
            <v>m2</v>
          </cell>
          <cell r="F149">
            <v>707300</v>
          </cell>
          <cell r="G149">
            <v>25</v>
          </cell>
          <cell r="H149">
            <v>0.8</v>
          </cell>
        </row>
        <row r="150">
          <cell r="B150">
            <v>0.79999971389770508</v>
          </cell>
          <cell r="C150" t="str">
            <v>- Nếu cao hơn 3m, cứ tăng 0,1m thì cộng thêm 15.000 đồng/m2</v>
          </cell>
          <cell r="D150">
            <v>0.79999971389770508</v>
          </cell>
          <cell r="E150">
            <v>0.79999971389770508</v>
          </cell>
          <cell r="F150">
            <v>0.79999971389770508</v>
          </cell>
          <cell r="G150">
            <v>0.79999971389770508</v>
          </cell>
          <cell r="H150">
            <v>0.79999971389770508</v>
          </cell>
        </row>
        <row r="151">
          <cell r="B151">
            <v>0.79999971389770508</v>
          </cell>
          <cell r="C151" t="str">
            <v>- Nếu thấp hơn 3m, cứ giảm 0,1m thì trừ đi 15.000 đồng/m2</v>
          </cell>
          <cell r="D151">
            <v>0.79999971389770508</v>
          </cell>
          <cell r="E151">
            <v>0.79999971389770508</v>
          </cell>
          <cell r="F151">
            <v>0.79999971389770508</v>
          </cell>
          <cell r="G151">
            <v>0.79999971389770508</v>
          </cell>
          <cell r="H151">
            <v>0.79999971389770508</v>
          </cell>
        </row>
        <row r="152">
          <cell r="B152" t="str">
            <v>Mái vẩy 03 lợp ngói &lt;= 2,7m</v>
          </cell>
          <cell r="C152" t="str">
            <v>Mái đua, mái vẩy, không xây tường, mái lợp ngói chiều cao &lt;= 2,7m</v>
          </cell>
          <cell r="D152">
            <v>0.79999971389770508</v>
          </cell>
          <cell r="E152" t="str">
            <v>m2</v>
          </cell>
          <cell r="F152">
            <v>657800</v>
          </cell>
          <cell r="G152">
            <v>25</v>
          </cell>
          <cell r="H152">
            <v>0.8</v>
          </cell>
        </row>
        <row r="153">
          <cell r="B153" t="str">
            <v>Mái vẩy 03 lợp tôn mạ màu 3m</v>
          </cell>
          <cell r="C153" t="str">
            <v>Mái đua, mái vẩy, không xây tường, mái lợp tôn chiều cao 3m</v>
          </cell>
          <cell r="D153">
            <v>568000</v>
          </cell>
          <cell r="E153" t="str">
            <v>m2</v>
          </cell>
          <cell r="F153">
            <v>624800</v>
          </cell>
          <cell r="G153">
            <v>25</v>
          </cell>
          <cell r="H153">
            <v>0.8</v>
          </cell>
        </row>
        <row r="154">
          <cell r="B154">
            <v>0.79999971389770508</v>
          </cell>
          <cell r="C154" t="str">
            <v>- Nếu cao hơn 3m, cứ tăng 0,1m thì cộng thêm 13.000 đồng/m2</v>
          </cell>
          <cell r="D154">
            <v>0.79999971389770508</v>
          </cell>
          <cell r="E154">
            <v>0.79999971389770508</v>
          </cell>
          <cell r="F154">
            <v>0.79999971389770508</v>
          </cell>
          <cell r="G154">
            <v>0.79999971389770508</v>
          </cell>
          <cell r="H154">
            <v>0.79999971389770508</v>
          </cell>
        </row>
        <row r="155">
          <cell r="B155">
            <v>0.79999971389770508</v>
          </cell>
          <cell r="C155" t="str">
            <v>- Nếu thấp hơn 3m, cứ giảm 0,1m thì trừ đi 13.000 đồng/m2</v>
          </cell>
          <cell r="D155">
            <v>0.79999971389770508</v>
          </cell>
          <cell r="E155">
            <v>0.79999971389770508</v>
          </cell>
          <cell r="F155">
            <v>0.79999971389770508</v>
          </cell>
          <cell r="G155">
            <v>0.79999971389770508</v>
          </cell>
          <cell r="H155">
            <v>0.79999971389770508</v>
          </cell>
        </row>
        <row r="156">
          <cell r="B156" t="str">
            <v>Mái vẩy 03 lợp tôn &lt;= 2,7m</v>
          </cell>
          <cell r="C156" t="str">
            <v>Mái đua, mái vẩy, không xây tường, mái lợp tôn chiều cao &lt;= 2,7m</v>
          </cell>
          <cell r="D156">
            <v>0.79999971389770508</v>
          </cell>
          <cell r="E156" t="str">
            <v>m2</v>
          </cell>
          <cell r="F156">
            <v>581900</v>
          </cell>
          <cell r="G156">
            <v>25</v>
          </cell>
          <cell r="H156">
            <v>0.8</v>
          </cell>
        </row>
        <row r="157">
          <cell r="B157" t="str">
            <v>Mái vẩy 03 lợp fibroximang 3m</v>
          </cell>
          <cell r="C157" t="str">
            <v>Mái đua, mái vẩy, không xây tường, mái lợp fibroximang chiều cao 3m</v>
          </cell>
          <cell r="D157">
            <v>319000</v>
          </cell>
          <cell r="E157" t="str">
            <v>m2</v>
          </cell>
          <cell r="F157">
            <v>350900</v>
          </cell>
          <cell r="G157">
            <v>25</v>
          </cell>
          <cell r="H157">
            <v>0.8</v>
          </cell>
        </row>
        <row r="158">
          <cell r="B158">
            <v>0.79999971389770508</v>
          </cell>
          <cell r="C158" t="str">
            <v>- Nếu cao hơn 3m, cứ tăng 0,1m thì cộng thêm 7.000 đồng/m2</v>
          </cell>
          <cell r="D158">
            <v>0.79999971389770508</v>
          </cell>
          <cell r="E158">
            <v>0.79999971389770508</v>
          </cell>
          <cell r="F158">
            <v>0.79999971389770508</v>
          </cell>
          <cell r="G158">
            <v>0.79999971389770508</v>
          </cell>
          <cell r="H158">
            <v>0.79999971389770508</v>
          </cell>
        </row>
        <row r="159">
          <cell r="B159">
            <v>0.79999971389770508</v>
          </cell>
          <cell r="C159" t="str">
            <v>- Nếu thấp hơn 3m, cứ giảm 0,1m thì trừ đi 7.000 đồng/m2</v>
          </cell>
          <cell r="D159">
            <v>0.79999971389770508</v>
          </cell>
          <cell r="E159">
            <v>0.79999971389770508</v>
          </cell>
          <cell r="F159">
            <v>0.79999971389770508</v>
          </cell>
          <cell r="G159">
            <v>0.79999971389770508</v>
          </cell>
          <cell r="H159">
            <v>0.79999971389770508</v>
          </cell>
        </row>
        <row r="160">
          <cell r="B160" t="str">
            <v>Mái vẩy 03 lợp fibroximang &lt;= 2,7m</v>
          </cell>
          <cell r="C160" t="str">
            <v>Mái đua, mái vẩy, không xây tường, mái lợp fibroximang chiều cao &lt;= 2,7m</v>
          </cell>
          <cell r="D160">
            <v>0.79999971389770508</v>
          </cell>
          <cell r="E160" t="str">
            <v>m2</v>
          </cell>
          <cell r="F160">
            <v>327800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cell r="D161">
            <v>0.79999971389770508</v>
          </cell>
          <cell r="E161">
            <v>0.79999971389770508</v>
          </cell>
          <cell r="F161">
            <v>0.79999971389770508</v>
          </cell>
          <cell r="G161">
            <v>0.79999971389770508</v>
          </cell>
          <cell r="H161">
            <v>0.79999971389770508</v>
          </cell>
        </row>
        <row r="162">
          <cell r="B162" t="str">
            <v>Chuồng lợn 3,0-NGOI</v>
          </cell>
          <cell r="C162" t="str">
            <v>Chuồng lợn, tường chịu lực xây gạch 220, mái lợp ngói, chiều cao 3,0m</v>
          </cell>
          <cell r="D162">
            <v>1732000</v>
          </cell>
          <cell r="E162" t="str">
            <v>m2</v>
          </cell>
          <cell r="F162">
            <v>1905200.0000000002</v>
          </cell>
          <cell r="G162">
            <v>25</v>
          </cell>
          <cell r="H162">
            <v>0.8</v>
          </cell>
        </row>
        <row r="163">
          <cell r="B163">
            <v>0.79999971389770508</v>
          </cell>
          <cell r="C163" t="str">
            <v>- Nếu cao hơn 3m, cứ tăng 0,1m thì cộng thêm 35.000 đồng/m2</v>
          </cell>
          <cell r="D163">
            <v>0.79999971389770508</v>
          </cell>
          <cell r="E163">
            <v>0.79999971389770508</v>
          </cell>
          <cell r="F163">
            <v>0.79999971389770508</v>
          </cell>
          <cell r="G163">
            <v>0.79999971389770508</v>
          </cell>
          <cell r="H163">
            <v>0.79999971389770508</v>
          </cell>
        </row>
        <row r="164">
          <cell r="B164">
            <v>0.79999971389770508</v>
          </cell>
          <cell r="C164" t="str">
            <v>- Nếu thấp hơn 3m, cứ giảm 0,1m thì trừ đi 35.000 đồng/m2</v>
          </cell>
          <cell r="D164">
            <v>0.79999971389770508</v>
          </cell>
          <cell r="E164">
            <v>0.79999971389770508</v>
          </cell>
          <cell r="F164">
            <v>0.79999971389770508</v>
          </cell>
          <cell r="G164">
            <v>0.79999971389770508</v>
          </cell>
          <cell r="H164">
            <v>0.79999971389770508</v>
          </cell>
        </row>
        <row r="165">
          <cell r="B165" t="str">
            <v>Chuồng lợn 3,0-NGOI &lt;= 2,7m</v>
          </cell>
          <cell r="C165" t="str">
            <v>Chuồng lợn, tường chịu lực xây gạch 220, mái lợp ngói, chiều cao &lt;= 2,7m</v>
          </cell>
          <cell r="D165">
            <v>0.79999971389770508</v>
          </cell>
          <cell r="E165" t="str">
            <v>m2</v>
          </cell>
          <cell r="F165">
            <v>1789700.0000000002</v>
          </cell>
          <cell r="G165">
            <v>25</v>
          </cell>
          <cell r="H165">
            <v>0.8</v>
          </cell>
        </row>
        <row r="166">
          <cell r="B166" t="str">
            <v>Chuồng lợn 3,0-FB</v>
          </cell>
          <cell r="C166" t="str">
            <v>Chuồng lợn, tường chịu lực xây gạch 220, mái lợp ngói, chiều cao 3,0m</v>
          </cell>
          <cell r="D166">
            <v>1409000</v>
          </cell>
          <cell r="E166" t="str">
            <v>m2</v>
          </cell>
          <cell r="F166">
            <v>1549900.0000000002</v>
          </cell>
          <cell r="G166">
            <v>25</v>
          </cell>
          <cell r="H166">
            <v>0.8</v>
          </cell>
        </row>
        <row r="167">
          <cell r="B167">
            <v>0.79999971389770508</v>
          </cell>
          <cell r="C167" t="str">
            <v>- Nếu cao hơn 3m, cứ tăng 0,1m thì cộng thêm 29.000 đồng/m2</v>
          </cell>
          <cell r="D167">
            <v>0.79999971389770508</v>
          </cell>
          <cell r="E167">
            <v>0.79999971389770508</v>
          </cell>
          <cell r="F167">
            <v>0.79999971389770508</v>
          </cell>
          <cell r="G167">
            <v>0.79999971389770508</v>
          </cell>
          <cell r="H167">
            <v>0.79999971389770508</v>
          </cell>
        </row>
        <row r="168">
          <cell r="B168">
            <v>0.79999971389770508</v>
          </cell>
          <cell r="C168" t="str">
            <v>- Nếu thấp hơn 3m, cứ giảm 0,1m thì trừ đi 29.000 đồng/m2</v>
          </cell>
          <cell r="D168">
            <v>0.79999971389770508</v>
          </cell>
          <cell r="E168">
            <v>0.79999971389770508</v>
          </cell>
          <cell r="F168">
            <v>0.79999971389770508</v>
          </cell>
          <cell r="G168">
            <v>0.79999971389770508</v>
          </cell>
          <cell r="H168">
            <v>0.79999971389770508</v>
          </cell>
        </row>
        <row r="169">
          <cell r="B169" t="str">
            <v>Chuồng lợn 3,0-FB &lt;= 2,7m</v>
          </cell>
          <cell r="C169" t="str">
            <v>Chuồng lợn, tường chịu lực xây gạch 220, mái lợp fibroximang chiều cao &lt;= 2,7m</v>
          </cell>
          <cell r="D169">
            <v>0.79999971389770508</v>
          </cell>
          <cell r="E169" t="str">
            <v>m2</v>
          </cell>
          <cell r="F169">
            <v>1454200.0000000002</v>
          </cell>
          <cell r="G169">
            <v>25</v>
          </cell>
          <cell r="H169">
            <v>0.8</v>
          </cell>
        </row>
        <row r="170">
          <cell r="B170" t="str">
            <v>CHUỒNG LỢN XÂY GẠCH 110</v>
          </cell>
          <cell r="C170" t="str">
            <v>Chuồng lợn, tường chịu lực xây gạch 110, chiều cao trung bình bằng 3m, nền lót vữa XM, trát tường và quét vôi ve</v>
          </cell>
          <cell r="D170">
            <v>0.79999971389770508</v>
          </cell>
          <cell r="E170">
            <v>0.79999971389770508</v>
          </cell>
          <cell r="F170">
            <v>0.79999971389770508</v>
          </cell>
          <cell r="G170">
            <v>0.79999971389770508</v>
          </cell>
          <cell r="H170">
            <v>0.79999971389770508</v>
          </cell>
        </row>
        <row r="171">
          <cell r="B171" t="str">
            <v>Chuồng lợn 3,1-NGOI</v>
          </cell>
          <cell r="C171" t="str">
            <v>Chuồng lợn, tường chịu lực xây gạch 110, mái lợp ngói, chiều cao 3,0m</v>
          </cell>
          <cell r="D171">
            <v>1586000</v>
          </cell>
          <cell r="E171" t="str">
            <v>m2</v>
          </cell>
          <cell r="F171">
            <v>1724800.0000000002</v>
          </cell>
          <cell r="G171">
            <v>25</v>
          </cell>
          <cell r="H171">
            <v>0.8</v>
          </cell>
        </row>
        <row r="172">
          <cell r="B172">
            <v>0.79999971389770508</v>
          </cell>
          <cell r="C172" t="str">
            <v>- Nếu cao hơn 3m, cứ tăng 0,1m thì cộng thêm 32.000 đồng/m2</v>
          </cell>
          <cell r="D172">
            <v>0.79999971389770508</v>
          </cell>
          <cell r="E172">
            <v>0.79999971389770508</v>
          </cell>
          <cell r="F172">
            <v>0.79999971389770508</v>
          </cell>
          <cell r="G172">
            <v>0.79999971389770508</v>
          </cell>
          <cell r="H172">
            <v>0.79999971389770508</v>
          </cell>
        </row>
        <row r="173">
          <cell r="B173">
            <v>0.79999971389770508</v>
          </cell>
          <cell r="C173" t="str">
            <v>- Nếu thấp hơn 3m, cứ giảm 0,1m thì trừ đi 32.000 đồng/m2</v>
          </cell>
          <cell r="D173">
            <v>0.79999971389770508</v>
          </cell>
          <cell r="E173">
            <v>0.79999971389770508</v>
          </cell>
          <cell r="F173">
            <v>0.79999971389770508</v>
          </cell>
          <cell r="G173">
            <v>0.79999971389770508</v>
          </cell>
          <cell r="H173">
            <v>0.79999971389770508</v>
          </cell>
        </row>
        <row r="174">
          <cell r="B174" t="str">
            <v>Chuồng lợn 3,1-NGOI &lt;= 2,7m</v>
          </cell>
          <cell r="C174" t="str">
            <v>Chuồng lợn, tường chịu lực xây gạch 110, mái lợp ngói, chiều cao &lt;= 2,7m</v>
          </cell>
          <cell r="D174">
            <v>0.79999971389770508</v>
          </cell>
          <cell r="E174" t="str">
            <v>m2</v>
          </cell>
          <cell r="F174">
            <v>1639000.0000000002</v>
          </cell>
          <cell r="G174">
            <v>25</v>
          </cell>
          <cell r="H174">
            <v>0.8</v>
          </cell>
        </row>
        <row r="175">
          <cell r="B175" t="str">
            <v>Chuồng lợn 3,1-FB</v>
          </cell>
          <cell r="C175" t="str">
            <v>Chuồng lợn, tường chịu lực xây gạch 110, mái lợp fibroximang chiều cao 3,0m</v>
          </cell>
          <cell r="D175">
            <v>1265000</v>
          </cell>
          <cell r="E175" t="str">
            <v>m2</v>
          </cell>
          <cell r="F175">
            <v>1391500</v>
          </cell>
          <cell r="G175">
            <v>25</v>
          </cell>
          <cell r="H175">
            <v>0.8</v>
          </cell>
        </row>
        <row r="176">
          <cell r="B176">
            <v>0.79999971389770508</v>
          </cell>
          <cell r="C176" t="str">
            <v>- Nếu cao hơn 3m, cứ tăng 0,1m thì cộng thêm 26.000 đồng/m2</v>
          </cell>
          <cell r="D176">
            <v>0.79999971389770508</v>
          </cell>
          <cell r="E176">
            <v>0.79999971389770508</v>
          </cell>
          <cell r="F176">
            <v>0.79999971389770508</v>
          </cell>
          <cell r="G176">
            <v>0.79999971389770508</v>
          </cell>
          <cell r="H176">
            <v>0.79999971389770508</v>
          </cell>
        </row>
        <row r="177">
          <cell r="B177">
            <v>0.79999971389770508</v>
          </cell>
          <cell r="C177" t="str">
            <v>- Nếu thấp hơn 3m, cứ giảm 0,1m thì trừ đi 26.000 đồng/m2</v>
          </cell>
          <cell r="D177">
            <v>0.79999971389770508</v>
          </cell>
          <cell r="E177">
            <v>0.79999971389770508</v>
          </cell>
          <cell r="F177">
            <v>0.79999971389770508</v>
          </cell>
          <cell r="G177">
            <v>0.79999971389770508</v>
          </cell>
          <cell r="H177">
            <v>0.79999971389770508</v>
          </cell>
        </row>
        <row r="178">
          <cell r="B178" t="str">
            <v>Chuồng lợn 3,1-FB &lt;= 2,7m</v>
          </cell>
          <cell r="C178" t="str">
            <v>Chuồng lợn, tường chịu lực xây gạch 110, mái lợp fibroximang chiều cao &lt;= 2,7m</v>
          </cell>
          <cell r="D178">
            <v>0.79999971389770508</v>
          </cell>
          <cell r="E178" t="str">
            <v>m2</v>
          </cell>
          <cell r="F178">
            <v>1305700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cell r="D179">
            <v>0.79999971389770508</v>
          </cell>
          <cell r="E179">
            <v>0.79999971389770508</v>
          </cell>
          <cell r="F179">
            <v>0.79999971389770508</v>
          </cell>
          <cell r="G179">
            <v>0.79999971389770508</v>
          </cell>
          <cell r="H179">
            <v>0.79999971389770508</v>
          </cell>
        </row>
        <row r="180">
          <cell r="B180">
            <v>0.79999971389770508</v>
          </cell>
          <cell r="C180" t="str">
            <v>Chiều cao trung bình 1 tầng ≥ 4,5m cứ tăng 0,1m cộng thêm 40.000 đồng/m2</v>
          </cell>
          <cell r="D180">
            <v>0.79999971389770508</v>
          </cell>
          <cell r="E180">
            <v>0.79999971389770508</v>
          </cell>
          <cell r="F180">
            <v>0.79999971389770508</v>
          </cell>
          <cell r="G180">
            <v>0.79999971389770508</v>
          </cell>
          <cell r="H180">
            <v>0.79999971389770508</v>
          </cell>
        </row>
        <row r="181">
          <cell r="B181" t="str">
            <v>Nha2t.1(4,4-4,5)</v>
          </cell>
          <cell r="C181" t="str">
            <v xml:space="preserve">Nhà 2 tầng, khung chịu lực BTCT, tường xây gạch 220, mái BTCT, chiều cao từ 4,4m ≤ h &lt; 4,5m </v>
          </cell>
          <cell r="D181">
            <v>0.79999971389770508</v>
          </cell>
          <cell r="E181" t="str">
            <v>m2</v>
          </cell>
          <cell r="F181">
            <v>5318500</v>
          </cell>
          <cell r="G181">
            <v>25</v>
          </cell>
          <cell r="H181">
            <v>0.8</v>
          </cell>
        </row>
        <row r="182">
          <cell r="B182" t="str">
            <v>Nha2t.1(4,3-4,4)</v>
          </cell>
          <cell r="C182" t="str">
            <v xml:space="preserve">Nhà 2 tầng, khung chịu lực BTCT, tường xây gạch 220, mái BTCT, chiều cao từ 4,3m ≤ h &lt; 4,4m </v>
          </cell>
          <cell r="D182">
            <v>0.79999971389770508</v>
          </cell>
          <cell r="E182" t="str">
            <v>m2</v>
          </cell>
          <cell r="F182">
            <v>5274500</v>
          </cell>
          <cell r="G182">
            <v>25</v>
          </cell>
          <cell r="H182">
            <v>0.8</v>
          </cell>
        </row>
        <row r="183">
          <cell r="B183" t="str">
            <v>Nha2t.1(4,2-4,3)</v>
          </cell>
          <cell r="C183" t="str">
            <v xml:space="preserve">Nhà 2 tầng, khung chịu lực BTCT, tường xây gạch 220, mái BTCT, chiều cao từ 4,2m ≤ h &lt; 4,3m </v>
          </cell>
          <cell r="D183">
            <v>0.79999971389770508</v>
          </cell>
          <cell r="E183" t="str">
            <v>m2</v>
          </cell>
          <cell r="F183">
            <v>5230500</v>
          </cell>
          <cell r="G183">
            <v>25</v>
          </cell>
          <cell r="H183">
            <v>0.8</v>
          </cell>
        </row>
        <row r="184">
          <cell r="B184" t="str">
            <v>Nha2t.1(4,1-4,2)</v>
          </cell>
          <cell r="C184" t="str">
            <v xml:space="preserve">Nhà 2 tầng, khung chịu lực BTCT, tường xây gạch 220, mái BTCT, chiều cao từ 4,1m ≤ h &lt; 4,2m </v>
          </cell>
          <cell r="D184">
            <v>0.79999971389770508</v>
          </cell>
          <cell r="E184" t="str">
            <v>m2</v>
          </cell>
          <cell r="F184">
            <v>5186500</v>
          </cell>
          <cell r="G184">
            <v>25</v>
          </cell>
          <cell r="H184">
            <v>0.8</v>
          </cell>
        </row>
        <row r="185">
          <cell r="B185" t="str">
            <v>Nha2t.1(4,0-4,1)</v>
          </cell>
          <cell r="C185" t="str">
            <v xml:space="preserve">Nhà 2 tầng, khung chịu lực BTCT, tường xây gạch 220, mái BTCT, chiều cao từ 4,0m ≤ h &lt; 4,1m </v>
          </cell>
          <cell r="D185">
            <v>0.79999971389770508</v>
          </cell>
          <cell r="E185" t="str">
            <v>m2</v>
          </cell>
          <cell r="F185">
            <v>5142500</v>
          </cell>
          <cell r="G185">
            <v>25</v>
          </cell>
          <cell r="H185">
            <v>0.8</v>
          </cell>
        </row>
        <row r="186">
          <cell r="B186" t="str">
            <v>Nha2t.1(3,9-4,0)</v>
          </cell>
          <cell r="C186" t="str">
            <v xml:space="preserve">Nhà 2 tầng, khung chịu lực BTCT, tường xây gạch 220, mái BTCT, chiều cao từ 3,9m ≤ h &lt; 4,0m </v>
          </cell>
          <cell r="D186">
            <v>0.79999971389770508</v>
          </cell>
          <cell r="E186" t="str">
            <v>m2</v>
          </cell>
          <cell r="F186">
            <v>5098500</v>
          </cell>
          <cell r="G186">
            <v>25</v>
          </cell>
          <cell r="H186">
            <v>0.8</v>
          </cell>
        </row>
        <row r="187">
          <cell r="B187" t="str">
            <v>Nha2t.1(3,8-3,9)</v>
          </cell>
          <cell r="C187" t="str">
            <v xml:space="preserve">Nhà 2 tầng, khung chịu lực BTCT, tường xây gạch 220, mái BTCT, chiều cao từ 3,8m ≤ h &lt; 3,9m </v>
          </cell>
          <cell r="D187">
            <v>0.79999971389770508</v>
          </cell>
          <cell r="E187" t="str">
            <v>m2</v>
          </cell>
          <cell r="F187">
            <v>5054500</v>
          </cell>
          <cell r="G187">
            <v>25</v>
          </cell>
          <cell r="H187">
            <v>0.8</v>
          </cell>
        </row>
        <row r="188">
          <cell r="B188" t="str">
            <v>Nha2t.1(3,7-3,8)</v>
          </cell>
          <cell r="C188" t="str">
            <v xml:space="preserve">Nhà 2 tầng, khung chịu lực BTCT, tường xây gạch 220, mái BTCT, chiều cao từ 3,7m ≤ h &lt; 3,8m </v>
          </cell>
          <cell r="D188">
            <v>0.79999971389770508</v>
          </cell>
          <cell r="E188" t="str">
            <v>m2</v>
          </cell>
          <cell r="F188">
            <v>5010500</v>
          </cell>
          <cell r="G188">
            <v>25</v>
          </cell>
          <cell r="H188">
            <v>0.8</v>
          </cell>
        </row>
        <row r="189">
          <cell r="B189" t="str">
            <v>Nha2t.1(3,6-3,7)</v>
          </cell>
          <cell r="C189" t="str">
            <v xml:space="preserve">Nhà 2 tầng, khung chịu lực BTCT, tường xây gạch 220, mái BTCT, chiều cao từ 3,6m ≤ h &lt; 3,7m </v>
          </cell>
          <cell r="D189">
            <v>0.79999971389770508</v>
          </cell>
          <cell r="E189" t="str">
            <v>m2</v>
          </cell>
          <cell r="F189">
            <v>4966500</v>
          </cell>
          <cell r="G189">
            <v>25</v>
          </cell>
          <cell r="H189">
            <v>0.8</v>
          </cell>
        </row>
        <row r="190">
          <cell r="B190" t="str">
            <v>Nha2t.1(3,5-3,6)</v>
          </cell>
          <cell r="C190" t="str">
            <v xml:space="preserve">Nhà 2 tầng, khung chịu lực BTCT, tường xây gạch 220, mái BTCT, chiều cao từ 3,5m ≤ h &lt; 3,6m </v>
          </cell>
          <cell r="D190">
            <v>0.79999971389770508</v>
          </cell>
          <cell r="E190" t="str">
            <v>m2</v>
          </cell>
          <cell r="F190">
            <v>4922500</v>
          </cell>
          <cell r="G190">
            <v>25</v>
          </cell>
          <cell r="H190">
            <v>0.8</v>
          </cell>
        </row>
        <row r="191">
          <cell r="B191" t="str">
            <v>Nha2t.1(3,4-3,5)</v>
          </cell>
          <cell r="C191" t="str">
            <v xml:space="preserve">Nhà 2 tầng, khung chịu lực BTCT, tường xây gạch 220, mái BTCT, chiều cao  từ 3,4 đến 3,5m </v>
          </cell>
          <cell r="D191">
            <v>0.79999971389770508</v>
          </cell>
          <cell r="E191" t="str">
            <v>m2</v>
          </cell>
          <cell r="F191">
            <v>4878500</v>
          </cell>
          <cell r="G191">
            <v>25</v>
          </cell>
          <cell r="H191">
            <v>0.8</v>
          </cell>
        </row>
        <row r="192">
          <cell r="B192" t="str">
            <v>Nha2t.1(3,3-3,4)</v>
          </cell>
          <cell r="C192" t="str">
            <v xml:space="preserve">Nhà 2 tầng, khung chịu lực BTCT, tường xây gạch 220, mái BTCT, chiều cao từ 3,3m ≤ h &lt; 3,4m </v>
          </cell>
          <cell r="D192">
            <v>0.79999971389770508</v>
          </cell>
          <cell r="E192" t="str">
            <v>m2</v>
          </cell>
          <cell r="F192">
            <v>4834500</v>
          </cell>
          <cell r="G192">
            <v>25</v>
          </cell>
          <cell r="H192">
            <v>0.8</v>
          </cell>
        </row>
        <row r="193">
          <cell r="B193" t="str">
            <v>Nha2t.1(3,2-3,3)</v>
          </cell>
          <cell r="C193" t="str">
            <v xml:space="preserve">Nhà 2 tầng, khung chịu lực BTCT, tường xây gạch 220, mái BTCT, chiều cao từ 3,2m ≤ h &lt; 3,3m </v>
          </cell>
          <cell r="D193">
            <v>0.79999971389770508</v>
          </cell>
          <cell r="E193" t="str">
            <v>m2</v>
          </cell>
          <cell r="F193">
            <v>4790500</v>
          </cell>
          <cell r="G193">
            <v>25</v>
          </cell>
          <cell r="H193">
            <v>0.8</v>
          </cell>
        </row>
        <row r="194">
          <cell r="B194" t="str">
            <v>Nha2t.1(3,1-3,2)</v>
          </cell>
          <cell r="C194" t="str">
            <v xml:space="preserve">Nhà 2 tầng, khung chịu lực BTCT, tường xây gạch 220, mái BTCT, chiều cao từ 3,1m ≤ h &lt; 3,2m </v>
          </cell>
          <cell r="D194">
            <v>0.79999971389770508</v>
          </cell>
          <cell r="E194" t="str">
            <v>m2</v>
          </cell>
          <cell r="F194">
            <v>4746500</v>
          </cell>
          <cell r="G194">
            <v>25</v>
          </cell>
          <cell r="H194">
            <v>0.8</v>
          </cell>
        </row>
        <row r="195">
          <cell r="B195" t="str">
            <v>Nha2t.1(3,0-3,1)</v>
          </cell>
          <cell r="C195" t="str">
            <v xml:space="preserve">Nhà 2 tầng, khung chịu lực BTCT, tường xây gạch 220, mái BTCT, chiều cao từ 3,0m ≤ h &lt; 3,1m </v>
          </cell>
          <cell r="D195">
            <v>0.79999971389770508</v>
          </cell>
          <cell r="E195" t="str">
            <v>m2</v>
          </cell>
          <cell r="F195">
            <v>4702500</v>
          </cell>
          <cell r="G195">
            <v>25</v>
          </cell>
          <cell r="H195">
            <v>0.8</v>
          </cell>
        </row>
        <row r="196">
          <cell r="B196">
            <v>0.79999971389770508</v>
          </cell>
          <cell r="C196" t="str">
            <v>Chiều cao tầng dưới 3,0m (Cứ 0,1m trừ đi 40.000 đồng/m2)</v>
          </cell>
          <cell r="D196">
            <v>0.79999971389770508</v>
          </cell>
          <cell r="E196">
            <v>0.79999971389770508</v>
          </cell>
          <cell r="F196">
            <v>0.79999971389770508</v>
          </cell>
          <cell r="G196">
            <v>0.79999971389770508</v>
          </cell>
          <cell r="H196">
            <v>0.79999971389770508</v>
          </cell>
        </row>
        <row r="197">
          <cell r="B197" t="str">
            <v>NHÀ 2 TẦNG TƯỜNG CHỊU LỰC</v>
          </cell>
          <cell r="C197" t="str">
            <v>Nhà 2 tầng, tường chịu lực xây gạch 220, mái BTCT,cầu thang láng garanitô, nền lót vữa XM, trát tường và quét vôi ve</v>
          </cell>
          <cell r="D197">
            <v>0.79999971389770508</v>
          </cell>
          <cell r="E197">
            <v>0.79999971389770508</v>
          </cell>
          <cell r="F197">
            <v>0.79999971389770508</v>
          </cell>
          <cell r="G197">
            <v>0.79999971389770508</v>
          </cell>
          <cell r="H197">
            <v>0.79999971389770508</v>
          </cell>
        </row>
        <row r="198">
          <cell r="B198">
            <v>0.79999971389770508</v>
          </cell>
          <cell r="C198" t="str">
            <v>Chiều cao trung bình 1 tầng ≥ 4,5m cứ tăng 0,1m cộng thêm 38.000 đồng/m2</v>
          </cell>
          <cell r="D198">
            <v>0.79999971389770508</v>
          </cell>
          <cell r="E198">
            <v>0.79999971389770508</v>
          </cell>
          <cell r="F198">
            <v>0.79999971389770508</v>
          </cell>
          <cell r="G198">
            <v>0.79999971389770508</v>
          </cell>
          <cell r="H198">
            <v>0.79999971389770508</v>
          </cell>
        </row>
        <row r="199">
          <cell r="B199" t="str">
            <v>Nha2t(4,4-4,5)-BTCT</v>
          </cell>
          <cell r="C199" t="str">
            <v xml:space="preserve">Nhà 2 tầng, tường chịu lực xây gạch 220, mái BTCT, chiều cao từ 4,4m ≤ h &lt; 4,5m </v>
          </cell>
          <cell r="D199">
            <v>0.79999971389770508</v>
          </cell>
          <cell r="E199" t="str">
            <v>m2</v>
          </cell>
          <cell r="F199">
            <v>5095200</v>
          </cell>
          <cell r="G199">
            <v>25</v>
          </cell>
          <cell r="H199">
            <v>0.8</v>
          </cell>
        </row>
        <row r="200">
          <cell r="B200" t="str">
            <v>Nha2t(4,3-4,4)-BTCT</v>
          </cell>
          <cell r="C200" t="str">
            <v xml:space="preserve">Nhà 2 tầng, tường chịu lực xây gạch 220, mái BTCT, chiều cao từ 4,3m ≤ h &lt; 4,4m </v>
          </cell>
          <cell r="D200">
            <v>0.79999971389770508</v>
          </cell>
          <cell r="E200" t="str">
            <v>m2</v>
          </cell>
          <cell r="F200">
            <v>5053400</v>
          </cell>
          <cell r="G200">
            <v>25</v>
          </cell>
          <cell r="H200">
            <v>0.8</v>
          </cell>
        </row>
        <row r="201">
          <cell r="B201" t="str">
            <v>Nha2t(4,2-4,3)-BTCT</v>
          </cell>
          <cell r="C201" t="str">
            <v xml:space="preserve">Nhà 2 tầng, tường chịu lực xây gạch 220, mái BTCT, chiều cao từ 4,2m ≤ h &lt; 4,3m </v>
          </cell>
          <cell r="D201">
            <v>0.79999971389770508</v>
          </cell>
          <cell r="E201" t="str">
            <v>m2</v>
          </cell>
          <cell r="F201">
            <v>5011600</v>
          </cell>
          <cell r="G201">
            <v>25</v>
          </cell>
          <cell r="H201">
            <v>0.8</v>
          </cell>
        </row>
        <row r="202">
          <cell r="B202" t="str">
            <v>Nha2t(4,1-4,2)-BTCT</v>
          </cell>
          <cell r="C202" t="str">
            <v xml:space="preserve">Nhà 2 tầng, tường chịu lực xây gạch 220, mái BTCT, chiều cao từ 4,1m ≤ h &lt; 4,2m </v>
          </cell>
          <cell r="D202">
            <v>0.79999971389770508</v>
          </cell>
          <cell r="E202" t="str">
            <v>m2</v>
          </cell>
          <cell r="F202">
            <v>4969800</v>
          </cell>
          <cell r="G202">
            <v>25</v>
          </cell>
          <cell r="H202">
            <v>0.8</v>
          </cell>
        </row>
        <row r="203">
          <cell r="B203" t="str">
            <v>Nha2t(4,0-4,1)-BTCT</v>
          </cell>
          <cell r="C203" t="str">
            <v xml:space="preserve">Nhà 2 tầng, tường chịu lực xây gạch 220, mái BTCT, chiều cao từ 4,0m ≤ h &lt; 4,1m </v>
          </cell>
          <cell r="D203">
            <v>0.79999971389770508</v>
          </cell>
          <cell r="E203" t="str">
            <v>m2</v>
          </cell>
          <cell r="F203">
            <v>4928000</v>
          </cell>
          <cell r="G203">
            <v>25</v>
          </cell>
          <cell r="H203">
            <v>0.8</v>
          </cell>
        </row>
        <row r="204">
          <cell r="B204" t="str">
            <v>Nha2t(3,9-4,0)-BTCT</v>
          </cell>
          <cell r="C204" t="str">
            <v xml:space="preserve">Nhà 2 tầng, tường chịu lực xây gạch 220, mái BTCT, chiều cao từ 3,9m ≤ h &lt; 4,0m </v>
          </cell>
          <cell r="D204">
            <v>0.79999971389770508</v>
          </cell>
          <cell r="E204" t="str">
            <v>m2</v>
          </cell>
          <cell r="F204">
            <v>4886200</v>
          </cell>
          <cell r="G204">
            <v>25</v>
          </cell>
          <cell r="H204">
            <v>0.8</v>
          </cell>
        </row>
        <row r="205">
          <cell r="B205" t="str">
            <v>Nha2t(3,8-3,9)-BTCT</v>
          </cell>
          <cell r="C205" t="str">
            <v xml:space="preserve">Nhà 2 tầng, tường chịu lực xây gạch 220, mái BTCT, chiều cao từ 3,8m ≤ h &lt; 3,9m </v>
          </cell>
          <cell r="D205">
            <v>0.79999971389770508</v>
          </cell>
          <cell r="E205" t="str">
            <v>m2</v>
          </cell>
          <cell r="F205">
            <v>4844400</v>
          </cell>
          <cell r="G205">
            <v>25</v>
          </cell>
          <cell r="H205">
            <v>0.8</v>
          </cell>
        </row>
        <row r="206">
          <cell r="B206" t="str">
            <v>Nha2t(3,7-3,8)-BTCT</v>
          </cell>
          <cell r="C206" t="str">
            <v xml:space="preserve">Nhà 2 tầng, tường chịu lực xây gạch 220, mái BTCT, chiều cao từ 3,7m ≤ h &lt; 3,8m </v>
          </cell>
          <cell r="D206">
            <v>0.79999971389770508</v>
          </cell>
          <cell r="E206" t="str">
            <v>m2</v>
          </cell>
          <cell r="F206">
            <v>4802600</v>
          </cell>
          <cell r="G206">
            <v>25</v>
          </cell>
          <cell r="H206">
            <v>0.8</v>
          </cell>
        </row>
        <row r="207">
          <cell r="B207" t="str">
            <v>Nha2t(3,6-3,7)-BTCT</v>
          </cell>
          <cell r="C207" t="str">
            <v xml:space="preserve">Nhà 2 tầng, tường chịu lực xây gạch 220, mái BTCT, chiều cao từ 3,6m ≤ h &lt; 3,7m </v>
          </cell>
          <cell r="D207">
            <v>0.79999971389770508</v>
          </cell>
          <cell r="E207" t="str">
            <v>m2</v>
          </cell>
          <cell r="F207">
            <v>4760800</v>
          </cell>
          <cell r="G207">
            <v>25</v>
          </cell>
          <cell r="H207">
            <v>0.8</v>
          </cell>
        </row>
        <row r="208">
          <cell r="B208" t="str">
            <v>Nha2t(3,5-3,6)-BTCT</v>
          </cell>
          <cell r="C208" t="str">
            <v xml:space="preserve">Nhà 2 tầng, tường chịu lực xây gạch 220, mái BTCT, chiều cao từ 3,5m ≤ h &lt; 3,6m </v>
          </cell>
          <cell r="D208">
            <v>0.79999971389770508</v>
          </cell>
          <cell r="E208" t="str">
            <v>m2</v>
          </cell>
          <cell r="F208">
            <v>4719000</v>
          </cell>
          <cell r="G208">
            <v>25</v>
          </cell>
          <cell r="H208">
            <v>0.8</v>
          </cell>
        </row>
        <row r="209">
          <cell r="B209" t="str">
            <v>Nha2t(3,4-3,5)-BTCT</v>
          </cell>
          <cell r="C209" t="str">
            <v xml:space="preserve">Nhà 2 tầng, tường chịu lực xây gạch 220, mái BTCT, chiều cao từ 3,4m ≤ h &lt; 3,5m </v>
          </cell>
          <cell r="D209">
            <v>0.79999971389770508</v>
          </cell>
          <cell r="E209" t="str">
            <v>m2</v>
          </cell>
          <cell r="F209">
            <v>4677200</v>
          </cell>
          <cell r="G209">
            <v>25</v>
          </cell>
          <cell r="H209">
            <v>0.8</v>
          </cell>
        </row>
        <row r="210">
          <cell r="B210" t="str">
            <v>Nha2t(3,3-3,4)-BTCT</v>
          </cell>
          <cell r="C210" t="str">
            <v xml:space="preserve">Nhà 2 tầng, tường chịu lực xây gạch 220, mái BTCT, chiều cao từ 3,3m ≤ h &lt; 3,4m </v>
          </cell>
          <cell r="D210">
            <v>0.79999971389770508</v>
          </cell>
          <cell r="E210" t="str">
            <v>m2</v>
          </cell>
          <cell r="F210">
            <v>4635400</v>
          </cell>
          <cell r="G210">
            <v>25</v>
          </cell>
          <cell r="H210">
            <v>0.8</v>
          </cell>
        </row>
        <row r="211">
          <cell r="B211" t="str">
            <v>Nha2t(3,2-3,3)-BTCT</v>
          </cell>
          <cell r="C211" t="str">
            <v xml:space="preserve">Nhà 2 tầng, tường chịu lực xây gạch 220, mái BTCT, chiều cao từ 3,2m ≤ h &lt; 3,3m </v>
          </cell>
          <cell r="D211">
            <v>0.79999971389770508</v>
          </cell>
          <cell r="E211" t="str">
            <v>m2</v>
          </cell>
          <cell r="F211">
            <v>4593600</v>
          </cell>
          <cell r="G211">
            <v>25</v>
          </cell>
          <cell r="H211">
            <v>0.8</v>
          </cell>
        </row>
        <row r="212">
          <cell r="B212" t="str">
            <v>Nha2t(3,1-3,2)-BTCT</v>
          </cell>
          <cell r="C212" t="str">
            <v xml:space="preserve">Nhà 2 tầng, tường chịu lực xây gạch 220, mái BTCT, chiều cao từ 3,1m ≤ h &lt; 3,2m </v>
          </cell>
          <cell r="D212">
            <v>0.79999971389770508</v>
          </cell>
          <cell r="E212" t="str">
            <v>m2</v>
          </cell>
          <cell r="F212">
            <v>4551800</v>
          </cell>
          <cell r="G212">
            <v>25</v>
          </cell>
          <cell r="H212">
            <v>0.8</v>
          </cell>
        </row>
        <row r="213">
          <cell r="B213" t="str">
            <v>Nha2t(3,0-3,1)-BTCT</v>
          </cell>
          <cell r="C213" t="str">
            <v xml:space="preserve">Nhà 2 tầng, tường chịu lực xây gạch 220, mái BTCT, chiều cao từ 3,0m ≤ h &lt; 3,1m </v>
          </cell>
          <cell r="D213">
            <v>0.79999971389770508</v>
          </cell>
          <cell r="E213" t="str">
            <v>m2</v>
          </cell>
          <cell r="F213">
            <v>4510000</v>
          </cell>
          <cell r="G213">
            <v>25</v>
          </cell>
          <cell r="H213">
            <v>0.8</v>
          </cell>
        </row>
        <row r="214">
          <cell r="B214">
            <v>0.79999971389770508</v>
          </cell>
          <cell r="C214" t="str">
            <v>Chiều cao tầng dưới 3,0m (Cứ 0,1m trừ đi 38.000 đồng/m2)</v>
          </cell>
          <cell r="D214">
            <v>0.79999971389770508</v>
          </cell>
          <cell r="E214">
            <v>0.79999971389770508</v>
          </cell>
          <cell r="F214">
            <v>0.79999971389770508</v>
          </cell>
          <cell r="G214">
            <v>0.79999971389770508</v>
          </cell>
          <cell r="H214">
            <v>0.79999971389770508</v>
          </cell>
        </row>
        <row r="215">
          <cell r="B215" t="str">
            <v>NHÀ 3 TẦNG KHUNG CHỊU LỰC</v>
          </cell>
          <cell r="C215" t="str">
            <v>Nhà 3 tầng, khung chịu lực BTCT, tường xây gạch 220, mái BTCT,cầu thang láng granitô, nền lót vữa XM, trát tường và quét vôi ve</v>
          </cell>
          <cell r="D215">
            <v>0.79999971389770508</v>
          </cell>
          <cell r="E215">
            <v>0.79999971389770508</v>
          </cell>
          <cell r="F215">
            <v>0.79999971389770508</v>
          </cell>
          <cell r="G215">
            <v>0.79999971389770508</v>
          </cell>
          <cell r="H215">
            <v>0.79999971389770508</v>
          </cell>
        </row>
        <row r="216">
          <cell r="B216">
            <v>0.79999971389770508</v>
          </cell>
          <cell r="C216" t="str">
            <v>Chiều cao trung bình 1 tầng ≥ 4,5m cứ tăng 0,1m cộng thêm 44.000 đồng/m2</v>
          </cell>
          <cell r="D216">
            <v>0.79999971389770508</v>
          </cell>
          <cell r="E216">
            <v>0.79999971389770508</v>
          </cell>
          <cell r="F216">
            <v>0.79999971389770508</v>
          </cell>
          <cell r="G216">
            <v>0.79999971389770508</v>
          </cell>
          <cell r="H216">
            <v>0.79999971389770508</v>
          </cell>
        </row>
        <row r="217">
          <cell r="B217" t="str">
            <v>Nha3t.1(4,4-4,5)</v>
          </cell>
          <cell r="C217" t="str">
            <v xml:space="preserve">Nhà 3 tầng, khung chịu lực BTCT, tường xây gạch 220, mái BTCT, chiều cao từ 4,4m ≤ h &lt; 4,5m </v>
          </cell>
          <cell r="D217">
            <v>0.79999971389770508</v>
          </cell>
          <cell r="E217" t="str">
            <v>m2</v>
          </cell>
          <cell r="F217">
            <v>6387700.0000000009</v>
          </cell>
          <cell r="G217">
            <v>20</v>
          </cell>
          <cell r="H217">
            <v>0.8</v>
          </cell>
        </row>
        <row r="218">
          <cell r="B218" t="str">
            <v>Nha3t.1(4,3-4,4)</v>
          </cell>
          <cell r="C218" t="str">
            <v xml:space="preserve">Nhà 3 tầng, khung chịu lực BTCT, tường xây gạch 220, mái BTCT, chiều cao từ 4,3m ≤ h &lt; 4,4m </v>
          </cell>
          <cell r="D218">
            <v>0.79999971389770508</v>
          </cell>
          <cell r="E218" t="str">
            <v>m2</v>
          </cell>
          <cell r="F218">
            <v>6339300.0000000009</v>
          </cell>
          <cell r="G218">
            <v>20</v>
          </cell>
          <cell r="H218">
            <v>0.8</v>
          </cell>
        </row>
        <row r="219">
          <cell r="B219" t="str">
            <v>Nha3t.1(4,2-4,3)</v>
          </cell>
          <cell r="C219" t="str">
            <v xml:space="preserve">Nhà 3 tầng, khung chịu lực BTCT, tường xây gạch 220, mái BTCT, chiều cao từ 4,2m ≤ h &lt; 4,3m </v>
          </cell>
          <cell r="D219">
            <v>0.79999971389770508</v>
          </cell>
          <cell r="E219" t="str">
            <v>m2</v>
          </cell>
          <cell r="F219">
            <v>6290900.0000000009</v>
          </cell>
          <cell r="G219">
            <v>20</v>
          </cell>
          <cell r="H219">
            <v>0.8</v>
          </cell>
        </row>
        <row r="220">
          <cell r="B220" t="str">
            <v>Nha3t.1(4,1-4,2)</v>
          </cell>
          <cell r="C220" t="str">
            <v xml:space="preserve">Nhà 3 tầng, khung chịu lực BTCT, tường xây gạch 220, mái BTCT, chiều cao từ 4,1m ≤ h &lt; 4,2m </v>
          </cell>
          <cell r="D220">
            <v>0.79999971389770508</v>
          </cell>
          <cell r="E220" t="str">
            <v>m2</v>
          </cell>
          <cell r="F220">
            <v>6242500.0000000009</v>
          </cell>
          <cell r="G220">
            <v>20</v>
          </cell>
          <cell r="H220">
            <v>0.8</v>
          </cell>
        </row>
        <row r="221">
          <cell r="B221" t="str">
            <v>Nha3t.1(4,0-4,1)</v>
          </cell>
          <cell r="C221" t="str">
            <v xml:space="preserve">Nhà 3 tầng, khung chịu lực BTCT, tường xây gạch 220, mái BTCT, chiều cao từ 4,0m ≤ h &lt; 4,1m </v>
          </cell>
          <cell r="D221">
            <v>0.79999971389770508</v>
          </cell>
          <cell r="E221" t="str">
            <v>m2</v>
          </cell>
          <cell r="F221">
            <v>6194100.0000000009</v>
          </cell>
          <cell r="G221">
            <v>20</v>
          </cell>
          <cell r="H221">
            <v>0.8</v>
          </cell>
        </row>
        <row r="222">
          <cell r="B222" t="str">
            <v>Nha3t.1(3,9-4,0)</v>
          </cell>
          <cell r="C222" t="str">
            <v xml:space="preserve">Nhà 3 tầng, khung chịu lực BTCT, tường xây gạch 220, mái BTCT, chiều cao từ 3,9m ≤ h &lt; 4,0m </v>
          </cell>
          <cell r="D222">
            <v>0.79999971389770508</v>
          </cell>
          <cell r="E222" t="str">
            <v>m2</v>
          </cell>
          <cell r="F222">
            <v>6145700.0000000009</v>
          </cell>
          <cell r="G222">
            <v>20</v>
          </cell>
          <cell r="H222">
            <v>0.8</v>
          </cell>
        </row>
        <row r="223">
          <cell r="B223" t="str">
            <v>Nha3t.1(3,8-3,9)</v>
          </cell>
          <cell r="C223" t="str">
            <v xml:space="preserve">Nhà 3 tầng, khung chịu lực BTCT, tường xây gạch 220, mái BTCT, chiều cao từ 3,8m ≤ h &lt; 3,9m </v>
          </cell>
          <cell r="D223">
            <v>0.79999971389770508</v>
          </cell>
          <cell r="E223" t="str">
            <v>m2</v>
          </cell>
          <cell r="F223">
            <v>6097300.0000000009</v>
          </cell>
          <cell r="G223">
            <v>20</v>
          </cell>
          <cell r="H223">
            <v>0.8</v>
          </cell>
        </row>
        <row r="224">
          <cell r="B224" t="str">
            <v>Nha3t.1(3,7-3,8)</v>
          </cell>
          <cell r="C224" t="str">
            <v xml:space="preserve">Nhà 3 tầng, khung chịu lực BTCT, tường xây gạch 220, mái BTCT, chiều cao từ 3,7m ≤ h &lt; 3,8m </v>
          </cell>
          <cell r="D224">
            <v>0.79999971389770508</v>
          </cell>
          <cell r="E224" t="str">
            <v>m2</v>
          </cell>
          <cell r="F224">
            <v>6048900.0000000009</v>
          </cell>
          <cell r="G224">
            <v>20</v>
          </cell>
          <cell r="H224">
            <v>0.8</v>
          </cell>
        </row>
        <row r="225">
          <cell r="B225" t="str">
            <v>Nha3t.1(3,6-3,7)</v>
          </cell>
          <cell r="C225" t="str">
            <v xml:space="preserve">Nhà 3 tầng, khung chịu lực BTCT, tường xây gạch 220, mái BTCT, chiều cao từ 3,6m ≤ h &lt; 3,7m </v>
          </cell>
          <cell r="D225">
            <v>0.79999971389770508</v>
          </cell>
          <cell r="E225" t="str">
            <v>m2</v>
          </cell>
          <cell r="F225">
            <v>6000500.0000000009</v>
          </cell>
          <cell r="G225">
            <v>20</v>
          </cell>
          <cell r="H225">
            <v>0.8</v>
          </cell>
        </row>
        <row r="226">
          <cell r="B226" t="str">
            <v>Nha3t.1(3,5-3,6)</v>
          </cell>
          <cell r="C226" t="str">
            <v xml:space="preserve">Nhà 3 tầng, khung chịu lực BTCT, tường xây gạch 220, mái BTCT, chiều cao từ 3,5m ≤ h &lt; 3,6m </v>
          </cell>
          <cell r="D226">
            <v>0.79999971389770508</v>
          </cell>
          <cell r="E226" t="str">
            <v>m2</v>
          </cell>
          <cell r="F226">
            <v>5952100.0000000009</v>
          </cell>
          <cell r="G226">
            <v>20</v>
          </cell>
          <cell r="H226">
            <v>0.8</v>
          </cell>
        </row>
        <row r="227">
          <cell r="B227" t="str">
            <v>Nha3t.1(3,4-3,5)</v>
          </cell>
          <cell r="C227" t="str">
            <v xml:space="preserve">Nhà 3 tầng, khung chịu lực BTCT, tường xây gạch 220, mái BTCT, chiều cao từ 3,4m ≤ h &lt; 3,5m </v>
          </cell>
          <cell r="D227">
            <v>0.79999971389770508</v>
          </cell>
          <cell r="E227" t="str">
            <v>m2</v>
          </cell>
          <cell r="F227">
            <v>5903700.0000000009</v>
          </cell>
          <cell r="G227">
            <v>20</v>
          </cell>
          <cell r="H227">
            <v>0.8</v>
          </cell>
        </row>
        <row r="228">
          <cell r="B228" t="str">
            <v>Nha3t.1(3,3-3,4)</v>
          </cell>
          <cell r="C228" t="str">
            <v xml:space="preserve">Nhà 3 tầng, khung chịu lực BTCT, tường xây gạch 220, mái BTCT, chiều cao từ 3,3m ≤ h &lt; 3,4m </v>
          </cell>
          <cell r="D228">
            <v>0.79999971389770508</v>
          </cell>
          <cell r="E228" t="str">
            <v>m2</v>
          </cell>
          <cell r="F228">
            <v>5855300.0000000009</v>
          </cell>
          <cell r="G228">
            <v>20</v>
          </cell>
          <cell r="H228">
            <v>0.8</v>
          </cell>
        </row>
        <row r="229">
          <cell r="B229" t="str">
            <v>Nha3t.1(3,2-3,3)</v>
          </cell>
          <cell r="C229" t="str">
            <v xml:space="preserve">Nhà 3 tầng, khung chịu lực BTCT, tường xây gạch 220, mái BTCT, chiều cao từ 3,2m ≤ h &lt; 3,3m </v>
          </cell>
          <cell r="D229">
            <v>0.79999971389770508</v>
          </cell>
          <cell r="E229" t="str">
            <v>m2</v>
          </cell>
          <cell r="F229">
            <v>5806900.0000000009</v>
          </cell>
          <cell r="G229">
            <v>20</v>
          </cell>
          <cell r="H229">
            <v>0.8</v>
          </cell>
        </row>
        <row r="230">
          <cell r="B230" t="str">
            <v>Nha3t.1(3,1-3,2)</v>
          </cell>
          <cell r="C230" t="str">
            <v xml:space="preserve">Nhà 3 tầng, khung chịu lực BTCT, tường xây gạch 220, mái BTCT, chiều cao từ 3,1m ≤ h &lt; 3,2m </v>
          </cell>
          <cell r="D230">
            <v>0.79999971389770508</v>
          </cell>
          <cell r="E230" t="str">
            <v>m2</v>
          </cell>
          <cell r="F230">
            <v>5758500</v>
          </cell>
          <cell r="G230">
            <v>20</v>
          </cell>
          <cell r="H230">
            <v>0.8</v>
          </cell>
        </row>
        <row r="231">
          <cell r="B231" t="str">
            <v>Nha3t.1(3,0-3,1)</v>
          </cell>
          <cell r="C231" t="str">
            <v xml:space="preserve">Nhà 3 tầng, khung chịu lực BTCT, tường xây gạch 220, mái BTCT, chiều cao từ 3,0m ≤ h &lt; 3,1m </v>
          </cell>
          <cell r="D231">
            <v>0.79999971389770508</v>
          </cell>
          <cell r="E231" t="str">
            <v>m2</v>
          </cell>
          <cell r="F231">
            <v>5710100</v>
          </cell>
          <cell r="G231">
            <v>20</v>
          </cell>
          <cell r="H231">
            <v>0.8</v>
          </cell>
        </row>
        <row r="232">
          <cell r="B232">
            <v>0.79999971389770508</v>
          </cell>
          <cell r="C232" t="str">
            <v>Chiều cao tầng dưới 3,0m (Cứ 0,1m trừ đi 44.000 đồng/m2)</v>
          </cell>
          <cell r="D232">
            <v>0.79999971389770508</v>
          </cell>
          <cell r="E232">
            <v>0.79999971389770508</v>
          </cell>
          <cell r="F232">
            <v>0.79999971389770508</v>
          </cell>
          <cell r="G232">
            <v>0.79999971389770508</v>
          </cell>
          <cell r="H232">
            <v>0.79999971389770508</v>
          </cell>
        </row>
        <row r="233">
          <cell r="B233" t="str">
            <v>NHÀ 4 TẦNG KHUNG CHỊU LỰC</v>
          </cell>
          <cell r="C233" t="str">
            <v>Nhà 4 tầng, khung chịu lực BTCT, tường xây gạch 220, mái BTCT,cầu thang láng granitô, nền lót vữa XM, trát tường và quét vôi ve</v>
          </cell>
          <cell r="D233">
            <v>0.79999971389770508</v>
          </cell>
          <cell r="E233">
            <v>0.79999971389770508</v>
          </cell>
          <cell r="F233">
            <v>0.79999971389770508</v>
          </cell>
          <cell r="G233">
            <v>0.79999971389770508</v>
          </cell>
          <cell r="H233">
            <v>0.79999971389770508</v>
          </cell>
        </row>
        <row r="234">
          <cell r="B234">
            <v>0.79999971389770508</v>
          </cell>
          <cell r="C234" t="str">
            <v>Chiều cao trung bình 1 tầng ≥ 4,5m cứ tăng 0,1m cộng thêm 34.000 đồng/m2</v>
          </cell>
          <cell r="D234">
            <v>0.79999971389770508</v>
          </cell>
          <cell r="E234">
            <v>0.79999971389770508</v>
          </cell>
          <cell r="F234">
            <v>0.79999971389770508</v>
          </cell>
          <cell r="G234">
            <v>0.79999971389770508</v>
          </cell>
          <cell r="H234">
            <v>0.79999971389770508</v>
          </cell>
        </row>
        <row r="235">
          <cell r="B235" t="str">
            <v>Nha4t.1(4,4-4,5)</v>
          </cell>
          <cell r="C235" t="str">
            <v xml:space="preserve">Nhà 4 tầng, khung chịu lực BTCT, tường xây gạch 220, mái BTCT, chiều cao  từ 4,4m ≤ h &lt; 4,5m </v>
          </cell>
          <cell r="D235">
            <v>0.79999971389770508</v>
          </cell>
          <cell r="E235" t="str">
            <v>m2</v>
          </cell>
          <cell r="F235">
            <v>6349200.0000000009</v>
          </cell>
          <cell r="G235">
            <v>20</v>
          </cell>
          <cell r="H235">
            <v>0.8</v>
          </cell>
        </row>
        <row r="236">
          <cell r="B236" t="str">
            <v>Nha4t.1(4,3-4,4)</v>
          </cell>
          <cell r="C236" t="str">
            <v xml:space="preserve">Nhà 4 tầng, khung chịu lực BTCT, tường xây gạch 220, mái BTCT, chiều cao  từ 4,3m ≤ h &lt; 4,4m </v>
          </cell>
          <cell r="D236">
            <v>0.79999971389770508</v>
          </cell>
          <cell r="E236" t="str">
            <v>m2</v>
          </cell>
          <cell r="F236">
            <v>6311800.0000000009</v>
          </cell>
          <cell r="G236">
            <v>20</v>
          </cell>
          <cell r="H236">
            <v>0.8</v>
          </cell>
        </row>
        <row r="237">
          <cell r="B237" t="str">
            <v>Nha4t.1(4,2-4,3)</v>
          </cell>
          <cell r="C237" t="str">
            <v xml:space="preserve">Nhà 4 tầng, khung chịu lực BTCT, tường xây gạch 220, mái BTCT, chiều cao  từ 4,2m ≤ h &lt; 4,3m </v>
          </cell>
          <cell r="D237">
            <v>0.79999971389770508</v>
          </cell>
          <cell r="E237" t="str">
            <v>m2</v>
          </cell>
          <cell r="F237">
            <v>6274400.0000000009</v>
          </cell>
          <cell r="G237">
            <v>20</v>
          </cell>
          <cell r="H237">
            <v>0.8</v>
          </cell>
        </row>
        <row r="238">
          <cell r="B238" t="str">
            <v>Nha4t.1(4,1-4,2)</v>
          </cell>
          <cell r="C238" t="str">
            <v xml:space="preserve">Nhà 4 tầng, khung chịu lực BTCT, tường xây gạch 220, mái BTCT, chiều cao  từ 4,1m ≤ h &lt; 4,2m </v>
          </cell>
          <cell r="D238">
            <v>0.79999971389770508</v>
          </cell>
          <cell r="E238" t="str">
            <v>m2</v>
          </cell>
          <cell r="F238">
            <v>6237000.0000000009</v>
          </cell>
          <cell r="G238">
            <v>20</v>
          </cell>
          <cell r="H238">
            <v>0.8</v>
          </cell>
        </row>
        <row r="239">
          <cell r="B239" t="str">
            <v>Nha4t.1(4,0-4,1)</v>
          </cell>
          <cell r="C239" t="str">
            <v xml:space="preserve">Nhà 4 tầng, khung chịu lực BTCT, tường xây gạch 220, mái BTCT, chiều cao  từ 4,0m ≤ h &lt; 4,1m </v>
          </cell>
          <cell r="D239">
            <v>0.79999971389770508</v>
          </cell>
          <cell r="E239" t="str">
            <v>m2</v>
          </cell>
          <cell r="F239">
            <v>6199600.0000000009</v>
          </cell>
          <cell r="G239">
            <v>20</v>
          </cell>
          <cell r="H239">
            <v>0.8</v>
          </cell>
        </row>
        <row r="240">
          <cell r="B240" t="str">
            <v>Nha4t.1(3,9-4,0)</v>
          </cell>
          <cell r="C240" t="str">
            <v xml:space="preserve">Nhà 4 tầng, khung chịu lực BTCT, tường xây gạch 220, mái BTCT, chiều cao  từ 3,9m ≤ h &lt; 4,0m </v>
          </cell>
          <cell r="D240">
            <v>0.79999971389770508</v>
          </cell>
          <cell r="E240" t="str">
            <v>m2</v>
          </cell>
          <cell r="F240">
            <v>6162200.0000000009</v>
          </cell>
          <cell r="G240">
            <v>20</v>
          </cell>
          <cell r="H240">
            <v>0.8</v>
          </cell>
        </row>
        <row r="241">
          <cell r="B241" t="str">
            <v>Nha4t.1(3,8-3,9)</v>
          </cell>
          <cell r="C241" t="str">
            <v xml:space="preserve">Nhà 4 tầng, khung chịu lực BTCT, tường xây gạch 220, mái BTCT, chiều cao  từ 3,8m ≤ h &lt; 3,9m </v>
          </cell>
          <cell r="D241">
            <v>0.79999971389770508</v>
          </cell>
          <cell r="E241" t="str">
            <v>m2</v>
          </cell>
          <cell r="F241">
            <v>6124800.0000000009</v>
          </cell>
          <cell r="G241">
            <v>20</v>
          </cell>
          <cell r="H241">
            <v>0.8</v>
          </cell>
        </row>
        <row r="242">
          <cell r="B242" t="str">
            <v>Nha4t.1(3,7-3,8)</v>
          </cell>
          <cell r="C242" t="str">
            <v xml:space="preserve">Nhà 4 tầng, khung chịu lực BTCT, tường xây gạch 220, mái BTCT, chiều cao  từ 3,7m ≤ h &lt; 3,8m </v>
          </cell>
          <cell r="D242">
            <v>0.79999971389770508</v>
          </cell>
          <cell r="E242" t="str">
            <v>m2</v>
          </cell>
          <cell r="F242">
            <v>6087400.0000000009</v>
          </cell>
          <cell r="G242">
            <v>20</v>
          </cell>
          <cell r="H242">
            <v>0.8</v>
          </cell>
        </row>
        <row r="243">
          <cell r="B243" t="str">
            <v>Nha4t.1(3,6-3,7)</v>
          </cell>
          <cell r="C243" t="str">
            <v xml:space="preserve">Nhà 4 tầng, khung chịu lực BTCT, tường xây gạch 220, mái BTCT, chiều cao  từ 3,6m ≤ h &lt; 3,7m </v>
          </cell>
          <cell r="D243">
            <v>0.79999971389770508</v>
          </cell>
          <cell r="E243" t="str">
            <v>m2</v>
          </cell>
          <cell r="F243">
            <v>6050000.0000000009</v>
          </cell>
          <cell r="G243">
            <v>20</v>
          </cell>
          <cell r="H243">
            <v>0.8</v>
          </cell>
        </row>
        <row r="244">
          <cell r="B244" t="str">
            <v>Nha4t.1(3,5-3,6)</v>
          </cell>
          <cell r="C244" t="str">
            <v xml:space="preserve">Nhà 4 tầng, khung chịu lực BTCT, tường xây gạch 220, mái BTCT, chiều cao  từ 3,5m ≤ h &lt; 3,6m </v>
          </cell>
          <cell r="D244">
            <v>0.79999971389770508</v>
          </cell>
          <cell r="E244" t="str">
            <v>m2</v>
          </cell>
          <cell r="F244">
            <v>6012600.0000000009</v>
          </cell>
          <cell r="G244">
            <v>20</v>
          </cell>
          <cell r="H244">
            <v>0.8</v>
          </cell>
        </row>
        <row r="245">
          <cell r="B245" t="str">
            <v>Nha4t.1(3,4-3,5)</v>
          </cell>
          <cell r="C245" t="str">
            <v xml:space="preserve">Nhà 4 tầng, khung chịu lực BTCT, tường xây gạch 220, mái BTCT, chiều cao  từ 3,4m ≤ h &lt;3,5m </v>
          </cell>
          <cell r="D245">
            <v>0.79999971389770508</v>
          </cell>
          <cell r="E245" t="str">
            <v>m2</v>
          </cell>
          <cell r="F245">
            <v>5975200.0000000009</v>
          </cell>
          <cell r="G245">
            <v>20</v>
          </cell>
          <cell r="H245">
            <v>0.8</v>
          </cell>
        </row>
        <row r="246">
          <cell r="B246" t="str">
            <v>Nha4t.1(3,3-3,4)</v>
          </cell>
          <cell r="C246" t="str">
            <v xml:space="preserve">Nhà 4 tầng, khung chịu lực BTCT, tường xây gạch 220, mái BTCT, chiều cao  từ 3,3m ≤ h &lt; 3,4m </v>
          </cell>
          <cell r="D246">
            <v>0.79999971389770508</v>
          </cell>
          <cell r="E246" t="str">
            <v>m2</v>
          </cell>
          <cell r="F246">
            <v>5937800.0000000009</v>
          </cell>
          <cell r="G246">
            <v>20</v>
          </cell>
          <cell r="H246">
            <v>0.8</v>
          </cell>
        </row>
        <row r="247">
          <cell r="B247" t="str">
            <v>Nha4t.1(3,2-3,3)</v>
          </cell>
          <cell r="C247" t="str">
            <v xml:space="preserve">Nhà 4 tầng, khung chịu lực BTCT, tường xây gạch 220, mái BTCT, chiều cao  từ 3,2m ≤ h &lt; 3,3m </v>
          </cell>
          <cell r="D247">
            <v>0.79999971389770508</v>
          </cell>
          <cell r="E247" t="str">
            <v>m2</v>
          </cell>
          <cell r="F247">
            <v>5900400.0000000009</v>
          </cell>
          <cell r="G247">
            <v>20</v>
          </cell>
          <cell r="H247">
            <v>0.8</v>
          </cell>
        </row>
        <row r="248">
          <cell r="B248" t="str">
            <v>Nha4t.1(3,1-3,2)</v>
          </cell>
          <cell r="C248" t="str">
            <v xml:space="preserve">Nhà 4 tầng, khung chịu lực BTCT, tường xây gạch 220, mái BTCT, chiều cao  từ 3,1m ≤ h &lt; 3,2m </v>
          </cell>
          <cell r="D248">
            <v>0.79999971389770508</v>
          </cell>
          <cell r="E248" t="str">
            <v>m2</v>
          </cell>
          <cell r="F248">
            <v>5863000.0000000009</v>
          </cell>
          <cell r="G248">
            <v>20</v>
          </cell>
          <cell r="H248">
            <v>0.8</v>
          </cell>
        </row>
        <row r="249">
          <cell r="B249" t="str">
            <v>Nha4t.1(3,0-3,1)</v>
          </cell>
          <cell r="C249" t="str">
            <v xml:space="preserve">Nhà 4 tầng, khung chịu lực BTCT, tường xây gạch 220, mái BTCT, chiều cao  từ 3,0m ≤ h &lt; 3,1m </v>
          </cell>
          <cell r="D249">
            <v>0.79999971389770508</v>
          </cell>
          <cell r="E249" t="str">
            <v>m2</v>
          </cell>
          <cell r="F249">
            <v>5825600.0000000009</v>
          </cell>
          <cell r="G249">
            <v>20</v>
          </cell>
          <cell r="H249">
            <v>0.8</v>
          </cell>
        </row>
        <row r="250">
          <cell r="B250">
            <v>0.79999971389770508</v>
          </cell>
          <cell r="C250" t="str">
            <v>Chiều cao tầng dưới 3,0m (Cứ 0,1m trừ đi 34.000 đồng/m2)</v>
          </cell>
          <cell r="D250">
            <v>0.79999971389770508</v>
          </cell>
          <cell r="E250">
            <v>0.79999971389770508</v>
          </cell>
          <cell r="F250">
            <v>0.79999971389770508</v>
          </cell>
          <cell r="G250">
            <v>0.79999971389770508</v>
          </cell>
          <cell r="H250">
            <v>0.79999971389770508</v>
          </cell>
        </row>
        <row r="251">
          <cell r="B251" t="str">
            <v>NHÀ 5 TẦNG KHUNG CHỊU LỰC</v>
          </cell>
          <cell r="C251" t="str">
            <v>Nhà 5 tầng, khung chịu lực BTCT, tường xây gạch 220, mái BTCT,cầu thang láng granitô, nền lót vữa XM, trát tường và quét vôi ve</v>
          </cell>
          <cell r="D251">
            <v>0.79999971389770508</v>
          </cell>
          <cell r="E251">
            <v>0.79999971389770508</v>
          </cell>
          <cell r="F251">
            <v>0.79999971389770508</v>
          </cell>
          <cell r="G251">
            <v>0.79999971389770508</v>
          </cell>
          <cell r="H251">
            <v>0.79999971389770508</v>
          </cell>
        </row>
        <row r="252">
          <cell r="B252">
            <v>0.79999971389770508</v>
          </cell>
          <cell r="C252" t="str">
            <v>Chiều cao trung bình 1 tầng ≥ 4,5m cứ tăng 0,1m cộng thêm 32.000 đồng/m2</v>
          </cell>
          <cell r="D252">
            <v>0.79999971389770508</v>
          </cell>
          <cell r="E252">
            <v>0.79999971389770508</v>
          </cell>
          <cell r="F252">
            <v>0.79999971389770508</v>
          </cell>
          <cell r="G252">
            <v>0.79999971389770508</v>
          </cell>
          <cell r="H252">
            <v>0.79999971389770508</v>
          </cell>
        </row>
        <row r="253">
          <cell r="B253" t="str">
            <v>Nha5t.1(4,4-4,5)</v>
          </cell>
          <cell r="C253" t="str">
            <v xml:space="preserve">Nhà 5 tầng, khung chịu lực BTCT, tường xây gạch 220, mái BTCT, chiều cao  từ 4,4m ≤ h &lt; 4,5m </v>
          </cell>
          <cell r="D253">
            <v>5748000</v>
          </cell>
          <cell r="E253" t="str">
            <v>m2</v>
          </cell>
          <cell r="F253">
            <v>6322800.0000000009</v>
          </cell>
          <cell r="G253">
            <v>20</v>
          </cell>
          <cell r="H253">
            <v>0.8</v>
          </cell>
        </row>
        <row r="254">
          <cell r="B254" t="str">
            <v>Nha5t.1(4,3-4,4)</v>
          </cell>
          <cell r="C254" t="str">
            <v xml:space="preserve">Nhà 5 tầng, khung chịu lực BTCT, tường xây gạch 220, mái BTCT, chiều cao  từ 4,3m ≤ h &lt; 4,4m </v>
          </cell>
          <cell r="D254">
            <v>5716000</v>
          </cell>
          <cell r="E254" t="str">
            <v>m2</v>
          </cell>
          <cell r="F254">
            <v>6287600.0000000009</v>
          </cell>
          <cell r="G254">
            <v>20</v>
          </cell>
          <cell r="H254">
            <v>0.8</v>
          </cell>
        </row>
        <row r="255">
          <cell r="B255" t="str">
            <v>Nha5t.1(4,2-4,3)</v>
          </cell>
          <cell r="C255" t="str">
            <v xml:space="preserve">Nhà 5 tầng, khung chịu lực BTCT, tường xây gạch 220, mái BTCT, chiều cao  từ 4,2m ≤ h &lt; 4,3m </v>
          </cell>
          <cell r="D255">
            <v>5684000</v>
          </cell>
          <cell r="E255" t="str">
            <v>m2</v>
          </cell>
          <cell r="F255">
            <v>6252400.0000000009</v>
          </cell>
          <cell r="G255">
            <v>20</v>
          </cell>
          <cell r="H255">
            <v>0.8</v>
          </cell>
        </row>
        <row r="256">
          <cell r="B256" t="str">
            <v>Nha5t.1(4,1-4,2)</v>
          </cell>
          <cell r="C256" t="str">
            <v xml:space="preserve">Nhà 5 tầng, khung chịu lực BTCT, tường xây gạch 220, mái BTCT, chiều cao  từ 4,1m ≤ h &lt; 4,2m </v>
          </cell>
          <cell r="D256">
            <v>5652000</v>
          </cell>
          <cell r="E256" t="str">
            <v>m2</v>
          </cell>
          <cell r="F256">
            <v>6217200.0000000009</v>
          </cell>
          <cell r="G256">
            <v>20</v>
          </cell>
          <cell r="H256">
            <v>0.8</v>
          </cell>
        </row>
        <row r="257">
          <cell r="B257" t="str">
            <v>Nha5t.1(4,0-4,1)</v>
          </cell>
          <cell r="C257" t="str">
            <v xml:space="preserve">Nhà 5 tầng, khung chịu lực BTCT, tường xây gạch 220, mái BTCT, chiều cao  từ 4,0m ≤ h &lt; 4,1m </v>
          </cell>
          <cell r="D257">
            <v>5620000</v>
          </cell>
          <cell r="E257" t="str">
            <v>m2</v>
          </cell>
          <cell r="F257">
            <v>6182000.0000000009</v>
          </cell>
          <cell r="G257">
            <v>20</v>
          </cell>
          <cell r="H257">
            <v>0.8</v>
          </cell>
        </row>
        <row r="258">
          <cell r="B258" t="str">
            <v>Nha5t.1(3,9-4,0)</v>
          </cell>
          <cell r="C258" t="str">
            <v xml:space="preserve">Nhà 5 tầng, khung chịu lực BTCT, tường xây gạch 220, mái BTCT, chiều cao  từ 3,9m ≤ h &lt; 4,0m </v>
          </cell>
          <cell r="D258">
            <v>5588000</v>
          </cell>
          <cell r="E258" t="str">
            <v>m2</v>
          </cell>
          <cell r="F258">
            <v>6146800.0000000009</v>
          </cell>
          <cell r="G258">
            <v>20</v>
          </cell>
          <cell r="H258">
            <v>0.8</v>
          </cell>
        </row>
        <row r="259">
          <cell r="B259" t="str">
            <v>Nha5t.1(3,8-3,9)</v>
          </cell>
          <cell r="C259" t="str">
            <v xml:space="preserve">Nhà 5 tầng, khung chịu lực BTCT, tường xây gạch 220, mái BTCT, chiều cao  từ 3,8m ≤ h &lt; 3,9m </v>
          </cell>
          <cell r="D259">
            <v>5556000</v>
          </cell>
          <cell r="E259" t="str">
            <v>m2</v>
          </cell>
          <cell r="F259">
            <v>6111600.0000000009</v>
          </cell>
          <cell r="G259">
            <v>20</v>
          </cell>
          <cell r="H259">
            <v>0.8</v>
          </cell>
        </row>
        <row r="260">
          <cell r="B260" t="str">
            <v>Nha5t.1(3,7-3,8)</v>
          </cell>
          <cell r="C260" t="str">
            <v xml:space="preserve">Nhà 5 tầng, khung chịu lực BTCT, tường xây gạch 220, mái BTCT, chiều cao  từ 3,7m ≤ h &lt; 3,8m </v>
          </cell>
          <cell r="D260">
            <v>5524000</v>
          </cell>
          <cell r="E260" t="str">
            <v>m2</v>
          </cell>
          <cell r="F260">
            <v>6076400.0000000009</v>
          </cell>
          <cell r="G260">
            <v>20</v>
          </cell>
          <cell r="H260">
            <v>0.8</v>
          </cell>
        </row>
        <row r="261">
          <cell r="B261" t="str">
            <v>Nha5t.1(3,6-3,7)</v>
          </cell>
          <cell r="C261" t="str">
            <v xml:space="preserve">Nhà 5 tầng, khung chịu lực BTCT, tường xây gạch 220, mái BTCT, chiều cao  từ 3,6m ≤ h &lt; 3,7m </v>
          </cell>
          <cell r="D261">
            <v>5492000</v>
          </cell>
          <cell r="E261" t="str">
            <v>m2</v>
          </cell>
          <cell r="F261">
            <v>6041200.0000000009</v>
          </cell>
          <cell r="G261">
            <v>20</v>
          </cell>
          <cell r="H261">
            <v>0.8</v>
          </cell>
        </row>
        <row r="262">
          <cell r="B262" t="str">
            <v>Nha5t.1(3,5-3,6)</v>
          </cell>
          <cell r="C262" t="str">
            <v xml:space="preserve">Nhà 5 tầng, khung chịu lực BTCT, tường xây gạch 220, mái BTCT, chiều cao  từ 3,5m ≤ h &lt; 3,6m </v>
          </cell>
          <cell r="D262">
            <v>5460000</v>
          </cell>
          <cell r="E262" t="str">
            <v>m2</v>
          </cell>
          <cell r="F262">
            <v>6006000.0000000009</v>
          </cell>
          <cell r="G262">
            <v>20</v>
          </cell>
          <cell r="H262">
            <v>0.8</v>
          </cell>
        </row>
        <row r="263">
          <cell r="B263" t="str">
            <v>Nha5t.1(3,4-3,5)</v>
          </cell>
          <cell r="C263" t="str">
            <v xml:space="preserve">Nhà 5 tầng, khung chịu lực BTCT, tường xây gạch 220, mái BTCT, chiều cao  từ 3,4m ≤ h &lt;3,5m </v>
          </cell>
          <cell r="D263">
            <v>5428000</v>
          </cell>
          <cell r="E263" t="str">
            <v>m2</v>
          </cell>
          <cell r="F263">
            <v>5970800.0000000009</v>
          </cell>
          <cell r="G263">
            <v>20</v>
          </cell>
          <cell r="H263">
            <v>0.8</v>
          </cell>
        </row>
        <row r="264">
          <cell r="B264" t="str">
            <v>Nha5t.1(3,3-3,4)</v>
          </cell>
          <cell r="C264" t="str">
            <v xml:space="preserve">Nhà 5 tầng, khung chịu lực BTCT, tường xây gạch 220, mái BTCT, chiều cao  từ 3,3m ≤ h &lt; 3,4m </v>
          </cell>
          <cell r="D264">
            <v>5396000</v>
          </cell>
          <cell r="E264" t="str">
            <v>m2</v>
          </cell>
          <cell r="F264">
            <v>5935600.0000000009</v>
          </cell>
          <cell r="G264">
            <v>20</v>
          </cell>
          <cell r="H264">
            <v>0.8</v>
          </cell>
        </row>
        <row r="265">
          <cell r="B265" t="str">
            <v>Nha5t.1(3,2-3,3)</v>
          </cell>
          <cell r="C265" t="str">
            <v xml:space="preserve">Nhà 5 tầng, khung chịu lực BTCT, tường xây gạch 220, mái BTCT, chiều cao  từ 3,2m ≤ h &lt; 3,3m </v>
          </cell>
          <cell r="D265">
            <v>5364000</v>
          </cell>
          <cell r="E265" t="str">
            <v>m2</v>
          </cell>
          <cell r="F265">
            <v>5900400.0000000009</v>
          </cell>
          <cell r="G265">
            <v>20</v>
          </cell>
          <cell r="H265">
            <v>0.8</v>
          </cell>
        </row>
        <row r="266">
          <cell r="B266" t="str">
            <v>Nha5t.1(3,1-3,2)</v>
          </cell>
          <cell r="C266" t="str">
            <v xml:space="preserve">Nhà 5 tầng, khung chịu lực BTCT, tường xây gạch 220, mái BTCT, chiều cao  từ 3,1m ≤ h &lt; 3,2m </v>
          </cell>
          <cell r="D266">
            <v>5332000</v>
          </cell>
          <cell r="E266" t="str">
            <v>m2</v>
          </cell>
          <cell r="F266">
            <v>5865200.0000000009</v>
          </cell>
          <cell r="G266">
            <v>20</v>
          </cell>
          <cell r="H266">
            <v>0.8</v>
          </cell>
        </row>
        <row r="267">
          <cell r="B267" t="str">
            <v>Nha5t.1(3,0-3,1)</v>
          </cell>
          <cell r="C267" t="str">
            <v xml:space="preserve">Nhà 5 tầng, khung chịu lực BTCT, tường xây gạch 220, mái BTCT, chiều cao  từ 3,0m ≤ h &lt; 3,1m </v>
          </cell>
          <cell r="D267">
            <v>5300000</v>
          </cell>
          <cell r="E267" t="str">
            <v>m2</v>
          </cell>
          <cell r="F267">
            <v>5830000.0000000009</v>
          </cell>
          <cell r="G267">
            <v>20</v>
          </cell>
          <cell r="H267">
            <v>0.8</v>
          </cell>
        </row>
        <row r="268">
          <cell r="B268">
            <v>0.79999971389770508</v>
          </cell>
          <cell r="C268" t="str">
            <v>Chiều cao tầng dưới 3,0m (Cứ 0,1m trừ đi 32.000 đồng/m2)</v>
          </cell>
          <cell r="D268">
            <v>0.79999971389770508</v>
          </cell>
          <cell r="E268">
            <v>0.79999971389770508</v>
          </cell>
          <cell r="F268">
            <v>0.79999971389770508</v>
          </cell>
          <cell r="G268">
            <v>0.79999971389770508</v>
          </cell>
          <cell r="H268">
            <v>0.79999971389770508</v>
          </cell>
        </row>
        <row r="269">
          <cell r="B269" t="str">
            <v>NHÀ BIỆT THỰ KHUNG CHỊU LỰC</v>
          </cell>
          <cell r="C269" t="str">
            <v>Nhà biệt thự, khung chịu lực BTCT, tường xây gạch 220, mái BTCT,cầu thang láng granitô, nền lót vữa XM, trát tường và quét sơn</v>
          </cell>
          <cell r="D269">
            <v>0.79999971389770508</v>
          </cell>
          <cell r="E269">
            <v>0.79999971389770508</v>
          </cell>
          <cell r="F269">
            <v>0.79999971389770508</v>
          </cell>
          <cell r="G269">
            <v>0.79999971389770508</v>
          </cell>
          <cell r="H269">
            <v>0.79999971389770508</v>
          </cell>
        </row>
        <row r="270">
          <cell r="B270">
            <v>0.79999971389770508</v>
          </cell>
          <cell r="C270" t="str">
            <v>Chiều cao trung bình 1 tầng ≥ 4,5m cứ tăng 0,1m cộng thêm 43000 đồng/m2</v>
          </cell>
          <cell r="D270">
            <v>0.79999971389770508</v>
          </cell>
          <cell r="E270">
            <v>0.79999971389770508</v>
          </cell>
          <cell r="F270">
            <v>0.79999971389770508</v>
          </cell>
          <cell r="G270">
            <v>0.79999971389770508</v>
          </cell>
          <cell r="H270">
            <v>0.79999971389770508</v>
          </cell>
        </row>
        <row r="271">
          <cell r="B271" t="str">
            <v>BT.1(4,4-4,5)</v>
          </cell>
          <cell r="C271" t="str">
            <v xml:space="preserve">Nhà biệt thự, khung chịu lực BTCT, tường xây gạch 220, mái BTCT, chiều cao  từ 4,4m ≤ h &lt; 4,5m </v>
          </cell>
          <cell r="D271">
            <v>6680000</v>
          </cell>
          <cell r="E271" t="str">
            <v>m2</v>
          </cell>
          <cell r="F271">
            <v>7348000.0000000009</v>
          </cell>
          <cell r="G271">
            <v>20</v>
          </cell>
          <cell r="H271">
            <v>0.8</v>
          </cell>
        </row>
        <row r="272">
          <cell r="B272" t="str">
            <v>BT.1(4,3-4,4)</v>
          </cell>
          <cell r="C272" t="str">
            <v xml:space="preserve">Nhà biệt thự, khung chịu lực BTCT, tường xây gạch 220, mái BTCT, chiều cao  từ 4,3m ≤ h &lt; 4,4m </v>
          </cell>
          <cell r="D272">
            <v>6637000</v>
          </cell>
          <cell r="E272" t="str">
            <v>m2</v>
          </cell>
          <cell r="F272">
            <v>7300700.0000000009</v>
          </cell>
          <cell r="G272">
            <v>20</v>
          </cell>
          <cell r="H272">
            <v>0.8</v>
          </cell>
        </row>
        <row r="273">
          <cell r="B273" t="str">
            <v>BT.1(4,2-4,3)</v>
          </cell>
          <cell r="C273" t="str">
            <v xml:space="preserve">Nhà biệt thự, khung chịu lực BTCT, tường xây gạch 220, mái BTCT, chiều cao  từ 4,2m ≤ h &lt; 4,3m </v>
          </cell>
          <cell r="D273">
            <v>6594000</v>
          </cell>
          <cell r="E273" t="str">
            <v>m2</v>
          </cell>
          <cell r="F273">
            <v>7253400.0000000009</v>
          </cell>
          <cell r="G273">
            <v>20</v>
          </cell>
          <cell r="H273">
            <v>0.8</v>
          </cell>
        </row>
        <row r="274">
          <cell r="B274" t="str">
            <v>BT.1(4,1-4,2)</v>
          </cell>
          <cell r="C274" t="str">
            <v xml:space="preserve">Nhà biệt thự, khung chịu lực BTCT, tường xây gạch 220, mái BTCT, chiều cao  từ 4,1m ≤ h &lt; 4,2m </v>
          </cell>
          <cell r="D274">
            <v>6551000</v>
          </cell>
          <cell r="E274" t="str">
            <v>m2</v>
          </cell>
          <cell r="F274">
            <v>7206100.0000000009</v>
          </cell>
          <cell r="G274">
            <v>20</v>
          </cell>
          <cell r="H274">
            <v>0.8</v>
          </cell>
        </row>
        <row r="275">
          <cell r="B275" t="str">
            <v>BT.1(4,0-4,1)</v>
          </cell>
          <cell r="C275" t="str">
            <v xml:space="preserve">Nhà biệt thự, khung chịu lực BTCT, tường xây gạch 220, mái BTCT, chiều cao  từ 4,0m ≤ h &lt; 4,1m </v>
          </cell>
          <cell r="D275">
            <v>6508000</v>
          </cell>
          <cell r="E275" t="str">
            <v>m2</v>
          </cell>
          <cell r="F275">
            <v>7158800.0000000009</v>
          </cell>
          <cell r="G275">
            <v>20</v>
          </cell>
          <cell r="H275">
            <v>0.8</v>
          </cell>
        </row>
        <row r="276">
          <cell r="B276" t="str">
            <v>BT.1(3,9-4,0)</v>
          </cell>
          <cell r="C276" t="str">
            <v xml:space="preserve">Nhà biệt thự, khung chịu lực BTCT, tường xây gạch 220, mái BTCT, chiều cao  từ 3,9m ≤ h &lt; 4,0m </v>
          </cell>
          <cell r="D276">
            <v>6465000</v>
          </cell>
          <cell r="E276" t="str">
            <v>m2</v>
          </cell>
          <cell r="F276">
            <v>7111500.0000000009</v>
          </cell>
          <cell r="G276">
            <v>20</v>
          </cell>
          <cell r="H276">
            <v>0.8</v>
          </cell>
        </row>
        <row r="277">
          <cell r="B277" t="str">
            <v>BT.1(3,8-3,9)</v>
          </cell>
          <cell r="C277" t="str">
            <v xml:space="preserve">Nhà biệt thự, khung chịu lực BTCT, tường xây gạch 220, mái BTCT, chiều cao  từ 3,8m ≤ h &lt; 3,9m </v>
          </cell>
          <cell r="D277">
            <v>6422000</v>
          </cell>
          <cell r="E277" t="str">
            <v>m2</v>
          </cell>
          <cell r="F277">
            <v>7064200.0000000009</v>
          </cell>
          <cell r="G277">
            <v>20</v>
          </cell>
          <cell r="H277">
            <v>0.8</v>
          </cell>
        </row>
        <row r="278">
          <cell r="B278" t="str">
            <v>BT.1(3,7-3,8)</v>
          </cell>
          <cell r="C278" t="str">
            <v xml:space="preserve">Nhà biệt thự, khung chịu lực BTCT, tường xây gạch 220, mái BTCT, chiều cao  từ 3,7m ≤ h &lt; 3,8m </v>
          </cell>
          <cell r="D278">
            <v>6379000</v>
          </cell>
          <cell r="E278" t="str">
            <v>m2</v>
          </cell>
          <cell r="F278">
            <v>7016900.0000000009</v>
          </cell>
          <cell r="G278">
            <v>20</v>
          </cell>
          <cell r="H278">
            <v>0.8</v>
          </cell>
        </row>
        <row r="279">
          <cell r="B279" t="str">
            <v>BT.1(3,6-3,7)</v>
          </cell>
          <cell r="C279" t="str">
            <v xml:space="preserve">Nhà biệt thự, khung chịu lực BTCT, tường xây gạch 220, mái BTCT, chiều cao  từ 3,6m ≤ h &lt; 3,7m </v>
          </cell>
          <cell r="D279">
            <v>6336000</v>
          </cell>
          <cell r="E279" t="str">
            <v>m2</v>
          </cell>
          <cell r="F279">
            <v>6969600.0000000009</v>
          </cell>
          <cell r="G279">
            <v>20</v>
          </cell>
          <cell r="H279">
            <v>0.8</v>
          </cell>
        </row>
        <row r="280">
          <cell r="B280" t="str">
            <v>BT.1(3,5-3,6)</v>
          </cell>
          <cell r="C280" t="str">
            <v xml:space="preserve">Nhà biệt thự, khung chịu lực BTCT, tường xây gạch 220, mái BTCT, chiều cao  từ 3,5m ≤ h &lt; 3,6m </v>
          </cell>
          <cell r="D280">
            <v>6293000</v>
          </cell>
          <cell r="E280" t="str">
            <v>m2</v>
          </cell>
          <cell r="F280">
            <v>6922300.0000000009</v>
          </cell>
          <cell r="G280">
            <v>20</v>
          </cell>
          <cell r="H280">
            <v>0.8</v>
          </cell>
        </row>
        <row r="281">
          <cell r="B281" t="str">
            <v>BT.1(3,4-3,5)</v>
          </cell>
          <cell r="C281" t="str">
            <v xml:space="preserve">Nhà biệt thự, khung chịu lực BTCT, tường xây gạch 220, mái BTCT, chiều cao  từ 3,4m ≤ h &lt;3,5m </v>
          </cell>
          <cell r="D281">
            <v>6250000</v>
          </cell>
          <cell r="E281" t="str">
            <v>m2</v>
          </cell>
          <cell r="F281">
            <v>6875000.0000000009</v>
          </cell>
          <cell r="G281">
            <v>20</v>
          </cell>
          <cell r="H281">
            <v>0.8</v>
          </cell>
        </row>
        <row r="282">
          <cell r="B282" t="str">
            <v>BT.1(3,3-3,4)</v>
          </cell>
          <cell r="C282" t="str">
            <v xml:space="preserve">Nhà biệt thự, khung chịu lực BTCT, tường xây gạch 220, mái BTCT, chiều cao  từ 3,3m ≤ h &lt; 3,4m </v>
          </cell>
          <cell r="D282">
            <v>6207000</v>
          </cell>
          <cell r="E282" t="str">
            <v>m2</v>
          </cell>
          <cell r="F282">
            <v>6827700.0000000009</v>
          </cell>
          <cell r="G282">
            <v>20</v>
          </cell>
          <cell r="H282">
            <v>0.8</v>
          </cell>
        </row>
        <row r="283">
          <cell r="B283" t="str">
            <v>BT.1(3,2-3,3)</v>
          </cell>
          <cell r="C283" t="str">
            <v xml:space="preserve">Nhà biệt thự, khung chịu lực BTCT, tường xây gạch 220, mái BTCT, chiều cao  từ 3,2m ≤ h &lt; 3,3m </v>
          </cell>
          <cell r="D283">
            <v>6164000</v>
          </cell>
          <cell r="E283" t="str">
            <v>m2</v>
          </cell>
          <cell r="F283">
            <v>6780400.0000000009</v>
          </cell>
          <cell r="G283">
            <v>20</v>
          </cell>
          <cell r="H283">
            <v>0.8</v>
          </cell>
        </row>
        <row r="284">
          <cell r="B284" t="str">
            <v>BT.1(3,1-3,2)</v>
          </cell>
          <cell r="C284" t="str">
            <v xml:space="preserve">Nhà biệt thự, khung chịu lực BTCT, tường xây gạch 220, mái BTCT, chiều cao  từ 3,1m ≤ h &lt; 3,2m </v>
          </cell>
          <cell r="D284">
            <v>6121000</v>
          </cell>
          <cell r="E284" t="str">
            <v>m2</v>
          </cell>
          <cell r="F284">
            <v>6733100.0000000009</v>
          </cell>
          <cell r="G284">
            <v>20</v>
          </cell>
          <cell r="H284">
            <v>0.8</v>
          </cell>
        </row>
        <row r="285">
          <cell r="B285" t="str">
            <v>BT.1(3,0-3,1)</v>
          </cell>
          <cell r="C285" t="str">
            <v xml:space="preserve">Nhà biệt thự, khung chịu lực BTCT, tường xây gạch 220, mái BTCT, chiều cao  từ 3,0m ≤ h &lt; 3,1m </v>
          </cell>
          <cell r="D285">
            <v>6078000</v>
          </cell>
          <cell r="E285" t="str">
            <v>m2</v>
          </cell>
          <cell r="F285">
            <v>6685800.0000000009</v>
          </cell>
          <cell r="G285">
            <v>20</v>
          </cell>
          <cell r="H285">
            <v>0.8</v>
          </cell>
        </row>
        <row r="286">
          <cell r="B286">
            <v>0.79999971389770508</v>
          </cell>
          <cell r="C286" t="str">
            <v>Chiều cao tầng dưới 3,0m (Cứ 0,1m trừ đi 43.000 đồng/m2)</v>
          </cell>
          <cell r="D286">
            <v>0.79999971389770508</v>
          </cell>
          <cell r="E286">
            <v>0.79999971389770508</v>
          </cell>
          <cell r="F286">
            <v>0.79999971389770508</v>
          </cell>
          <cell r="G286">
            <v>0.79999971389770508</v>
          </cell>
          <cell r="H286">
            <v>0.79999971389770508</v>
          </cell>
        </row>
        <row r="287">
          <cell r="B287" t="str">
            <v>LAT NỀN</v>
          </cell>
          <cell r="C287" t="str">
            <v>Lát nền</v>
          </cell>
          <cell r="D287">
            <v>0.79999971389770508</v>
          </cell>
          <cell r="E287">
            <v>0.79999971389770508</v>
          </cell>
          <cell r="F287">
            <v>0.79999971389770508</v>
          </cell>
          <cell r="G287">
            <v>0.79999971389770508</v>
          </cell>
          <cell r="H287">
            <v>0.79999971389770508</v>
          </cell>
        </row>
        <row r="288">
          <cell r="B288" t="str">
            <v>Lát gạch chỉ</v>
          </cell>
          <cell r="C288" t="str">
            <v>Lát gạch chỉ</v>
          </cell>
          <cell r="D288">
            <v>0.79999971389770508</v>
          </cell>
          <cell r="E288" t="str">
            <v>m2</v>
          </cell>
          <cell r="F288">
            <v>118690.00000000001</v>
          </cell>
          <cell r="G288">
            <v>10</v>
          </cell>
          <cell r="H288">
            <v>0.8</v>
          </cell>
        </row>
        <row r="289">
          <cell r="B289" t="str">
            <v>Lát gạch Ceramic 200x200</v>
          </cell>
          <cell r="C289" t="str">
            <v>Lát nền, sàn bằng gạch Ceramic 200x200mm</v>
          </cell>
          <cell r="D289">
            <v>0.79999971389770508</v>
          </cell>
          <cell r="E289" t="str">
            <v>m2</v>
          </cell>
          <cell r="F289">
            <v>180510.00000000003</v>
          </cell>
          <cell r="G289">
            <v>10</v>
          </cell>
          <cell r="H289">
            <v>0.8</v>
          </cell>
        </row>
        <row r="290">
          <cell r="B290" t="str">
            <v>Lát gạch Ceramic 300x300</v>
          </cell>
          <cell r="C290" t="str">
            <v>Lát nền, sàn bằng gạch Ceramic 300x300mm</v>
          </cell>
          <cell r="D290">
            <v>0.79999971389770508</v>
          </cell>
          <cell r="E290" t="str">
            <v>m2</v>
          </cell>
          <cell r="F290">
            <v>221980.00000000003</v>
          </cell>
          <cell r="G290">
            <v>10</v>
          </cell>
          <cell r="H290">
            <v>0.8</v>
          </cell>
        </row>
        <row r="291">
          <cell r="B291" t="str">
            <v>Lát gạch Ceramic 400x400</v>
          </cell>
          <cell r="C291" t="str">
            <v>Lát nền, sàn bằng gạch Ceramic 400x400mm</v>
          </cell>
          <cell r="D291">
            <v>0.79999971389770508</v>
          </cell>
          <cell r="E291" t="str">
            <v>m2</v>
          </cell>
          <cell r="F291">
            <v>221650.00000000003</v>
          </cell>
          <cell r="G291">
            <v>10</v>
          </cell>
          <cell r="H291">
            <v>0.8</v>
          </cell>
        </row>
        <row r="292">
          <cell r="B292" t="str">
            <v>Lát gạch Ceramic 500x500</v>
          </cell>
          <cell r="C292" t="str">
            <v>Lát nền, sàn bằng gạch Ceramic 500x500mm</v>
          </cell>
          <cell r="D292">
            <v>0.79999971389770508</v>
          </cell>
          <cell r="E292" t="str">
            <v>m2</v>
          </cell>
          <cell r="F292">
            <v>258720.00000000003</v>
          </cell>
          <cell r="G292">
            <v>10</v>
          </cell>
          <cell r="H292">
            <v>0.8</v>
          </cell>
        </row>
        <row r="293">
          <cell r="B293" t="str">
            <v>Lát gạch Ceramic 600x600</v>
          </cell>
          <cell r="C293" t="str">
            <v>Lát nền, sàn bằng gạch Ceramic 600x600mm</v>
          </cell>
          <cell r="D293">
            <v>0.79999971389770508</v>
          </cell>
          <cell r="E293" t="str">
            <v>m2</v>
          </cell>
          <cell r="F293">
            <v>0.79999971389770508</v>
          </cell>
          <cell r="G293">
            <v>10</v>
          </cell>
          <cell r="H293">
            <v>0.8</v>
          </cell>
        </row>
        <row r="294">
          <cell r="B294" t="str">
            <v>Lát gạch Ceramic 800x800</v>
          </cell>
          <cell r="C294" t="str">
            <v>Lát nền, sàn bằng gạch Ceramic 800x800mm</v>
          </cell>
          <cell r="D294">
            <v>0.79999971389770508</v>
          </cell>
          <cell r="E294" t="str">
            <v>m2</v>
          </cell>
          <cell r="F294">
            <v>0.79999971389770508</v>
          </cell>
          <cell r="G294">
            <v>10</v>
          </cell>
          <cell r="H294">
            <v>0.8</v>
          </cell>
        </row>
        <row r="295">
          <cell r="B295" t="str">
            <v>Lát gạch Granit 400x400</v>
          </cell>
          <cell r="C295" t="str">
            <v>Lát nền, sàn bằng gạch Granit 400x400mm</v>
          </cell>
          <cell r="D295">
            <v>0.79999971389770508</v>
          </cell>
          <cell r="E295" t="str">
            <v>m2</v>
          </cell>
          <cell r="F295">
            <v>337150</v>
          </cell>
          <cell r="G295">
            <v>10</v>
          </cell>
          <cell r="H295">
            <v>0.8</v>
          </cell>
        </row>
        <row r="296">
          <cell r="B296" t="str">
            <v>Lát gạch Granit 500x500</v>
          </cell>
          <cell r="C296" t="str">
            <v>Lát nền, sàn bằng gạch Granit 500x500mm</v>
          </cell>
          <cell r="D296">
            <v>0.79999971389770508</v>
          </cell>
          <cell r="E296" t="str">
            <v>m2</v>
          </cell>
          <cell r="F296">
            <v>364210.00000000006</v>
          </cell>
          <cell r="G296">
            <v>10</v>
          </cell>
          <cell r="H296">
            <v>0.8</v>
          </cell>
        </row>
        <row r="297">
          <cell r="B297" t="str">
            <v>Lát gạch Granit 600x600</v>
          </cell>
          <cell r="C297" t="str">
            <v>Lát nền, sàn bằng gạch Granit 600x600mm</v>
          </cell>
          <cell r="D297">
            <v>0.79999971389770508</v>
          </cell>
          <cell r="E297" t="str">
            <v>m2</v>
          </cell>
          <cell r="F297">
            <v>390170.00000000006</v>
          </cell>
          <cell r="G297">
            <v>10</v>
          </cell>
          <cell r="H297">
            <v>0.8</v>
          </cell>
        </row>
        <row r="298">
          <cell r="B298" t="str">
            <v>Lát đá Granit kim sa 01</v>
          </cell>
          <cell r="C298" t="str">
            <v>Lát đá bậc tam cấp, đá Granit kim sa</v>
          </cell>
          <cell r="D298">
            <v>0.79999971389770508</v>
          </cell>
          <cell r="E298" t="str">
            <v>m2</v>
          </cell>
          <cell r="F298">
            <v>1775180.0000000002</v>
          </cell>
          <cell r="G298">
            <v>25</v>
          </cell>
          <cell r="H298">
            <v>0.8</v>
          </cell>
        </row>
        <row r="299">
          <cell r="B299" t="str">
            <v>Lát đá Granit kim sa 02</v>
          </cell>
          <cell r="C299" t="str">
            <v>Lát đá bậc cầu thang, đá Granit kim sa</v>
          </cell>
          <cell r="D299">
            <v>0.79999971389770508</v>
          </cell>
          <cell r="E299" t="str">
            <v>m2</v>
          </cell>
          <cell r="F299">
            <v>1785410.0000000002</v>
          </cell>
          <cell r="G299">
            <v>25</v>
          </cell>
          <cell r="H299">
            <v>0.8</v>
          </cell>
        </row>
        <row r="300">
          <cell r="B300" t="str">
            <v>Lát đá Granit kim sa</v>
          </cell>
          <cell r="C300" t="str">
            <v>Lát đá mặt bệ các loại (bệ bếp, bệ bàn, bệ lavabo…) đá Granit kim sa</v>
          </cell>
          <cell r="D300">
            <v>0.79999971389770508</v>
          </cell>
          <cell r="E300" t="str">
            <v>m2</v>
          </cell>
          <cell r="F300">
            <v>1817640.0000000002</v>
          </cell>
          <cell r="G300">
            <v>25</v>
          </cell>
          <cell r="H300">
            <v>0.8</v>
          </cell>
        </row>
        <row r="301">
          <cell r="B301" t="str">
            <v>Lát gạch đất nung 300x300</v>
          </cell>
          <cell r="C301" t="str">
            <v>Lát gạch đất nung 300x300mm</v>
          </cell>
          <cell r="D301">
            <v>0.79999971389770508</v>
          </cell>
          <cell r="E301" t="str">
            <v>m2</v>
          </cell>
          <cell r="F301">
            <v>163570</v>
          </cell>
          <cell r="G301">
            <v>10</v>
          </cell>
          <cell r="H301">
            <v>0.8</v>
          </cell>
        </row>
        <row r="302">
          <cell r="B302" t="str">
            <v>Lát gạch đất nung 400x400</v>
          </cell>
          <cell r="C302" t="str">
            <v>Lát gạch đất nung 400x400mm</v>
          </cell>
          <cell r="D302">
            <v>0.79999971389770508</v>
          </cell>
          <cell r="E302" t="str">
            <v>m2</v>
          </cell>
          <cell r="F302">
            <v>195360.00000000003</v>
          </cell>
          <cell r="G302">
            <v>10</v>
          </cell>
          <cell r="H302">
            <v>0.8</v>
          </cell>
        </row>
        <row r="303">
          <cell r="B303" t="str">
            <v>Lát gạch đất nung 500x500</v>
          </cell>
          <cell r="C303" t="str">
            <v>Lát gạch đất nung 500x500mm</v>
          </cell>
          <cell r="D303">
            <v>0.79999971389770508</v>
          </cell>
          <cell r="E303" t="str">
            <v>m2</v>
          </cell>
          <cell r="F303">
            <v>0.79999971389770508</v>
          </cell>
          <cell r="G303">
            <v>10</v>
          </cell>
          <cell r="H303">
            <v>0.8</v>
          </cell>
        </row>
        <row r="304">
          <cell r="B304" t="str">
            <v>ỐP GẠCH</v>
          </cell>
          <cell r="C304" t="str">
            <v>Ốp gạch</v>
          </cell>
          <cell r="D304">
            <v>0.79999971389770508</v>
          </cell>
          <cell r="E304">
            <v>0.79999971389770508</v>
          </cell>
          <cell r="F304">
            <v>0.79999971389770508</v>
          </cell>
          <cell r="G304">
            <v>0.79999971389770508</v>
          </cell>
          <cell r="H304">
            <v>0.79999971389770508</v>
          </cell>
        </row>
        <row r="305">
          <cell r="B305" t="str">
            <v>Ốp gạch 200x200</v>
          </cell>
          <cell r="C305" t="str">
            <v>Ốp gạch vào tường, trụ, cột, kích thước gạch 200x200mm</v>
          </cell>
          <cell r="D305">
            <v>0.79999971389770508</v>
          </cell>
          <cell r="E305" t="str">
            <v>m2</v>
          </cell>
          <cell r="F305">
            <v>0.79999971389770508</v>
          </cell>
          <cell r="G305">
            <v>25</v>
          </cell>
          <cell r="H305">
            <v>0.8</v>
          </cell>
        </row>
        <row r="306">
          <cell r="B306" t="str">
            <v>Ốp gạch 250x250</v>
          </cell>
          <cell r="C306" t="str">
            <v>Ốp gạch vào tường, trụ, cột, kích thước gạch 250x250mm</v>
          </cell>
          <cell r="D306">
            <v>0.79999971389770508</v>
          </cell>
          <cell r="E306" t="str">
            <v>m2</v>
          </cell>
          <cell r="F306">
            <v>286660</v>
          </cell>
          <cell r="G306">
            <v>25</v>
          </cell>
          <cell r="H306">
            <v>0.8</v>
          </cell>
        </row>
        <row r="307">
          <cell r="B307" t="str">
            <v>Ốp gạch 250x400</v>
          </cell>
          <cell r="C307" t="str">
            <v>Ốp gạch vào tường, trụ, cột, kích thước gạch 250x400mm</v>
          </cell>
          <cell r="D307">
            <v>0.79999971389770508</v>
          </cell>
          <cell r="E307" t="str">
            <v>m2</v>
          </cell>
          <cell r="F307">
            <v>285670</v>
          </cell>
          <cell r="G307">
            <v>25</v>
          </cell>
          <cell r="H307">
            <v>0.8</v>
          </cell>
        </row>
        <row r="308">
          <cell r="B308" t="str">
            <v>Ốp gạch 300x300</v>
          </cell>
          <cell r="C308" t="str">
            <v>Ốp gạch vào tường, trụ, cột, kích thước gạch 300x300mm</v>
          </cell>
          <cell r="D308">
            <v>0.79999971389770508</v>
          </cell>
          <cell r="E308" t="str">
            <v>m2</v>
          </cell>
          <cell r="F308">
            <v>299860</v>
          </cell>
          <cell r="G308">
            <v>25</v>
          </cell>
          <cell r="H308">
            <v>0.8</v>
          </cell>
        </row>
        <row r="309">
          <cell r="B309" t="str">
            <v>Ốp gạch 300x450</v>
          </cell>
          <cell r="C309" t="str">
            <v>Ốp gạch vào tường, trụ, cột, kích thước gạch 300x450mm</v>
          </cell>
          <cell r="D309">
            <v>0.79999971389770508</v>
          </cell>
          <cell r="E309" t="str">
            <v>m2</v>
          </cell>
          <cell r="F309">
            <v>313170</v>
          </cell>
          <cell r="G309">
            <v>25</v>
          </cell>
          <cell r="H309">
            <v>0.8</v>
          </cell>
        </row>
        <row r="310">
          <cell r="B310" t="str">
            <v>Ốp gạch 300x600</v>
          </cell>
          <cell r="C310" t="str">
            <v>Ốp gạch vào tường, trụ, cột, kích thước gạch 300x600mm</v>
          </cell>
          <cell r="D310">
            <v>0.79999971389770508</v>
          </cell>
          <cell r="E310" t="str">
            <v>m2</v>
          </cell>
          <cell r="F310">
            <v>357720</v>
          </cell>
          <cell r="G310">
            <v>25</v>
          </cell>
          <cell r="H310">
            <v>0.8</v>
          </cell>
        </row>
        <row r="311">
          <cell r="B311" t="str">
            <v>Ốp gạch 500x500</v>
          </cell>
          <cell r="C311" t="str">
            <v>Ốp gạch vào tường, trụ, cột, kích thước gạch 500x500mm</v>
          </cell>
          <cell r="D311">
            <v>0.79999971389770508</v>
          </cell>
          <cell r="E311" t="str">
            <v>m2</v>
          </cell>
          <cell r="F311">
            <v>382470.00000000006</v>
          </cell>
          <cell r="G311">
            <v>25</v>
          </cell>
          <cell r="H311">
            <v>0.8</v>
          </cell>
        </row>
        <row r="312">
          <cell r="B312" t="str">
            <v>Ốp gạch 600x600</v>
          </cell>
          <cell r="C312" t="str">
            <v>Ốp gạch vào tường, trụ, cột, kích thước gạch 600x600mm</v>
          </cell>
          <cell r="D312">
            <v>0.79999971389770508</v>
          </cell>
          <cell r="E312" t="str">
            <v>m2</v>
          </cell>
          <cell r="F312">
            <v>393250.00000000006</v>
          </cell>
          <cell r="G312">
            <v>25</v>
          </cell>
          <cell r="H312">
            <v>0.8</v>
          </cell>
        </row>
        <row r="313">
          <cell r="B313" t="str">
            <v>Ốp gạch 800x800</v>
          </cell>
          <cell r="C313" t="str">
            <v>Ốp gạch vào tường, trụ, cột, kích thước gạch 800x800mm</v>
          </cell>
          <cell r="D313">
            <v>0.79999971389770508</v>
          </cell>
          <cell r="E313" t="str">
            <v>m2</v>
          </cell>
          <cell r="F313">
            <v>0.79999971389770508</v>
          </cell>
          <cell r="G313">
            <v>25</v>
          </cell>
          <cell r="H313">
            <v>0.8</v>
          </cell>
        </row>
        <row r="314">
          <cell r="B314" t="str">
            <v>Ốp gạch chân tường 120x300</v>
          </cell>
          <cell r="C314" t="str">
            <v>Ốp gạch vào chân tường, viền tường, viền trụ, cột, kích thước gạch 120x300mm</v>
          </cell>
          <cell r="D314">
            <v>0.79999971389770508</v>
          </cell>
          <cell r="E314" t="str">
            <v>m2</v>
          </cell>
          <cell r="F314">
            <v>295460</v>
          </cell>
          <cell r="G314">
            <v>25</v>
          </cell>
          <cell r="H314">
            <v>0.8</v>
          </cell>
        </row>
        <row r="315">
          <cell r="B315" t="str">
            <v>Ốp gạch chân tường 120x400</v>
          </cell>
          <cell r="C315" t="str">
            <v>Ốp gạch vào chân tường, viền tường, viền trụ, cột, kích thước gạch 120x400mm</v>
          </cell>
          <cell r="D315">
            <v>0.79999971389770508</v>
          </cell>
          <cell r="E315" t="str">
            <v>m2</v>
          </cell>
          <cell r="F315">
            <v>292930</v>
          </cell>
          <cell r="G315">
            <v>25</v>
          </cell>
          <cell r="H315">
            <v>0.8</v>
          </cell>
        </row>
        <row r="316">
          <cell r="B316" t="str">
            <v>Ốp gạch chân tường 120x500</v>
          </cell>
          <cell r="C316" t="str">
            <v>Ốp gạch vào chân tường, viền tường, viền trụ, cột, kích thước gạch 120x500mm</v>
          </cell>
          <cell r="D316">
            <v>0.79999971389770508</v>
          </cell>
          <cell r="E316" t="str">
            <v>m2</v>
          </cell>
          <cell r="F316">
            <v>294800</v>
          </cell>
          <cell r="G316">
            <v>25</v>
          </cell>
          <cell r="H316">
            <v>0.8</v>
          </cell>
        </row>
        <row r="317">
          <cell r="B317">
            <v>0.79999971389770508</v>
          </cell>
          <cell r="C317" t="str">
            <v>Láng vữa, granito</v>
          </cell>
          <cell r="D317">
            <v>0.79999971389770508</v>
          </cell>
          <cell r="E317">
            <v>0.79999971389770508</v>
          </cell>
          <cell r="F317">
            <v>0.79999971389770508</v>
          </cell>
          <cell r="G317">
            <v>0.79999971389770508</v>
          </cell>
          <cell r="H317">
            <v>0.79999971389770508</v>
          </cell>
        </row>
        <row r="318">
          <cell r="B318" t="str">
            <v>Sàn không đánh màu</v>
          </cell>
          <cell r="C318" t="str">
            <v>Láng nền, sàn không đánh màu</v>
          </cell>
          <cell r="D318">
            <v>0.79999971389770508</v>
          </cell>
          <cell r="E318" t="str">
            <v>m2</v>
          </cell>
          <cell r="F318">
            <v>81620</v>
          </cell>
          <cell r="G318">
            <v>25</v>
          </cell>
          <cell r="H318">
            <v>25</v>
          </cell>
        </row>
        <row r="319">
          <cell r="B319" t="str">
            <v>Sàn có đánh màu</v>
          </cell>
          <cell r="C319" t="str">
            <v>Láng nền, sàn có đánh màu</v>
          </cell>
          <cell r="D319">
            <v>25</v>
          </cell>
          <cell r="E319" t="str">
            <v>m2</v>
          </cell>
          <cell r="F319">
            <v>88660</v>
          </cell>
          <cell r="G319">
            <v>25</v>
          </cell>
          <cell r="H319">
            <v>25</v>
          </cell>
        </row>
        <row r="320">
          <cell r="B320" t="str">
            <v>Nền Granito</v>
          </cell>
          <cell r="C320" t="str">
            <v>Láng granito nền sàn</v>
          </cell>
          <cell r="D320">
            <v>25</v>
          </cell>
          <cell r="E320" t="str">
            <v>m2</v>
          </cell>
          <cell r="F320">
            <v>549560</v>
          </cell>
          <cell r="G320">
            <v>25</v>
          </cell>
          <cell r="H320">
            <v>25</v>
          </cell>
        </row>
        <row r="321">
          <cell r="B321" t="str">
            <v>Cầu thang Granito</v>
          </cell>
          <cell r="C321" t="str">
            <v>Láng granito cầu thang</v>
          </cell>
          <cell r="D321">
            <v>25</v>
          </cell>
          <cell r="E321" t="str">
            <v>m2</v>
          </cell>
          <cell r="F321">
            <v>994180.00000000012</v>
          </cell>
          <cell r="G321">
            <v>25</v>
          </cell>
          <cell r="H321">
            <v>25</v>
          </cell>
        </row>
        <row r="322">
          <cell r="B322">
            <v>25</v>
          </cell>
          <cell r="C322" t="str">
            <v>Bả, lăn sơn, vôi ve</v>
          </cell>
          <cell r="D322">
            <v>25</v>
          </cell>
          <cell r="E322">
            <v>25</v>
          </cell>
          <cell r="F322">
            <v>25</v>
          </cell>
          <cell r="G322">
            <v>25</v>
          </cell>
          <cell r="H322">
            <v>25</v>
          </cell>
        </row>
        <row r="323">
          <cell r="B323" t="str">
            <v>Sơn trong nhà 01</v>
          </cell>
          <cell r="C323" t="str">
            <v>Sơn dầm, trần cột, tường trong nhà đã bả (chưa tính bả)</v>
          </cell>
          <cell r="D323">
            <v>25</v>
          </cell>
          <cell r="E323" t="str">
            <v>m2</v>
          </cell>
          <cell r="F323">
            <v>55000.000000000007</v>
          </cell>
          <cell r="G323">
            <v>55000</v>
          </cell>
          <cell r="H323">
            <v>0.8</v>
          </cell>
        </row>
        <row r="324">
          <cell r="B324" t="str">
            <v>Sơn ngoài nhà 01</v>
          </cell>
          <cell r="C324" t="str">
            <v>Sơn dầm, trần cột, tường ngoài nhà đã bả (chưa tính bả)</v>
          </cell>
          <cell r="D324">
            <v>0.79999971389770508</v>
          </cell>
          <cell r="E324" t="str">
            <v>m2</v>
          </cell>
          <cell r="F324">
            <v>58190.000000000007</v>
          </cell>
          <cell r="G324">
            <v>58190</v>
          </cell>
          <cell r="H324">
            <v>0.8</v>
          </cell>
        </row>
        <row r="325">
          <cell r="B325" t="str">
            <v>Sơn trong nhà 02</v>
          </cell>
          <cell r="C325" t="str">
            <v>Sơn dầm, trần cột, tường trong nhà không bả</v>
          </cell>
          <cell r="D325">
            <v>0.79999971389770508</v>
          </cell>
          <cell r="E325" t="str">
            <v>m2</v>
          </cell>
          <cell r="F325">
            <v>65560</v>
          </cell>
          <cell r="G325">
            <v>65560</v>
          </cell>
          <cell r="H325">
            <v>0.8</v>
          </cell>
        </row>
        <row r="326">
          <cell r="B326" t="str">
            <v>Sơn ngoài nhà 02</v>
          </cell>
          <cell r="C326" t="str">
            <v>Sơn dầm, trần cột, tường ngoài nhà không bả</v>
          </cell>
          <cell r="D326">
            <v>0.79999971389770508</v>
          </cell>
          <cell r="E326" t="str">
            <v>m2</v>
          </cell>
          <cell r="F326">
            <v>70070</v>
          </cell>
          <cell r="G326">
            <v>70070</v>
          </cell>
          <cell r="H326">
            <v>0.8</v>
          </cell>
        </row>
        <row r="327">
          <cell r="B327" t="str">
            <v>Bả matit 01</v>
          </cell>
          <cell r="C327" t="str">
            <v>Bả bằng matít vào tường</v>
          </cell>
          <cell r="D327">
            <v>0.79999971389770508</v>
          </cell>
          <cell r="E327" t="str">
            <v>m2</v>
          </cell>
          <cell r="F327">
            <v>35420</v>
          </cell>
          <cell r="G327">
            <v>35420</v>
          </cell>
          <cell r="H327">
            <v>0.8</v>
          </cell>
        </row>
        <row r="328">
          <cell r="B328" t="str">
            <v>Bả matit 02</v>
          </cell>
          <cell r="C328" t="str">
            <v>Bả bằng matít vào cột, dầm, trần</v>
          </cell>
          <cell r="D328">
            <v>0.79999971389770508</v>
          </cell>
          <cell r="E328" t="str">
            <v>m2</v>
          </cell>
          <cell r="F328">
            <v>41690</v>
          </cell>
          <cell r="G328">
            <v>41690</v>
          </cell>
          <cell r="H328">
            <v>0.8</v>
          </cell>
        </row>
        <row r="329">
          <cell r="B329" t="str">
            <v>Quét vôi ve</v>
          </cell>
          <cell r="C329" t="str">
            <v>Quét vôi ve trong và ngoài nhà</v>
          </cell>
          <cell r="D329">
            <v>0.79999971389770508</v>
          </cell>
          <cell r="E329" t="str">
            <v>m2</v>
          </cell>
          <cell r="F329">
            <v>13200.000000000002</v>
          </cell>
          <cell r="G329">
            <v>13200</v>
          </cell>
          <cell r="H329">
            <v>0.8</v>
          </cell>
        </row>
        <row r="330">
          <cell r="B330" t="str">
            <v>Trát tường ngoài</v>
          </cell>
          <cell r="C330" t="str">
            <v>Trát tường ngoài nhà vữa XM</v>
          </cell>
          <cell r="D330">
            <v>0.79999971389770508</v>
          </cell>
          <cell r="E330" t="str">
            <v>m2</v>
          </cell>
          <cell r="F330">
            <v>95590.000000000015</v>
          </cell>
          <cell r="G330">
            <v>95590</v>
          </cell>
          <cell r="H330">
            <v>0.8</v>
          </cell>
        </row>
        <row r="331">
          <cell r="B331" t="str">
            <v>Trát tường trong</v>
          </cell>
          <cell r="C331" t="str">
            <v>Trát tường trong nhà vữa XM</v>
          </cell>
          <cell r="D331">
            <v>0.79999971389770508</v>
          </cell>
          <cell r="E331" t="str">
            <v>m2</v>
          </cell>
          <cell r="F331">
            <v>76670</v>
          </cell>
          <cell r="G331">
            <v>76670</v>
          </cell>
          <cell r="H331">
            <v>0.8</v>
          </cell>
        </row>
        <row r="332">
          <cell r="B332" t="str">
            <v>Trát xà, dầm</v>
          </cell>
          <cell r="C332" t="str">
            <v>Trát xà, dầm, giằng vữa XM</v>
          </cell>
          <cell r="D332">
            <v>0.79999971389770508</v>
          </cell>
          <cell r="E332" t="str">
            <v>m2</v>
          </cell>
          <cell r="F332">
            <v>134420</v>
          </cell>
          <cell r="G332">
            <v>134420</v>
          </cell>
          <cell r="H332">
            <v>0.8</v>
          </cell>
        </row>
        <row r="333">
          <cell r="B333" t="str">
            <v>Trát trụ, cột</v>
          </cell>
          <cell r="C333" t="str">
            <v>Trát trụ, cột, lam đứng, cầu thang vữa XM</v>
          </cell>
          <cell r="D333">
            <v>0.79999971389770508</v>
          </cell>
          <cell r="E333" t="str">
            <v>m2</v>
          </cell>
          <cell r="F333">
            <v>192500.00000000003</v>
          </cell>
          <cell r="G333">
            <v>192500</v>
          </cell>
          <cell r="H333">
            <v>0.8</v>
          </cell>
        </row>
        <row r="334">
          <cell r="B334" t="str">
            <v>Trát trần vữa</v>
          </cell>
          <cell r="C334" t="str">
            <v>Trát trần vữa XM</v>
          </cell>
          <cell r="D334">
            <v>0.79999971389770508</v>
          </cell>
          <cell r="E334" t="str">
            <v>m2</v>
          </cell>
          <cell r="F334">
            <v>185680.00000000003</v>
          </cell>
          <cell r="G334">
            <v>185680</v>
          </cell>
          <cell r="H334">
            <v>0.8</v>
          </cell>
        </row>
        <row r="335">
          <cell r="B335" t="str">
            <v>TRẦN</v>
          </cell>
          <cell r="C335" t="str">
            <v>Trần, gác xép</v>
          </cell>
          <cell r="D335">
            <v>0.79999971389770508</v>
          </cell>
          <cell r="E335">
            <v>0.79999971389770508</v>
          </cell>
          <cell r="F335">
            <v>0.79999971389770508</v>
          </cell>
          <cell r="G335">
            <v>0.79999971389770508</v>
          </cell>
          <cell r="H335">
            <v>0.79999971389770508</v>
          </cell>
        </row>
        <row r="336">
          <cell r="B336" t="str">
            <v>Trần thạch cao</v>
          </cell>
          <cell r="C336" t="str">
            <v>Làm trần bằng tấm thạch cao</v>
          </cell>
          <cell r="D336">
            <v>0.79999971389770508</v>
          </cell>
          <cell r="E336" t="str">
            <v>m2</v>
          </cell>
          <cell r="F336">
            <v>370150.00000000006</v>
          </cell>
          <cell r="G336">
            <v>25</v>
          </cell>
          <cell r="H336">
            <v>25</v>
          </cell>
        </row>
        <row r="337">
          <cell r="B337" t="str">
            <v>Trần nhựa</v>
          </cell>
          <cell r="C337" t="str">
            <v>Làm trần bằng tấm nhựa</v>
          </cell>
          <cell r="D337">
            <v>25</v>
          </cell>
          <cell r="E337" t="str">
            <v>m2</v>
          </cell>
          <cell r="F337">
            <v>148720</v>
          </cell>
          <cell r="G337">
            <v>25</v>
          </cell>
          <cell r="H337">
            <v>25</v>
          </cell>
        </row>
        <row r="338">
          <cell r="B338" t="str">
            <v>Trần cót ép</v>
          </cell>
          <cell r="C338" t="str">
            <v>Làm trần cót ép</v>
          </cell>
          <cell r="D338">
            <v>25</v>
          </cell>
          <cell r="E338" t="str">
            <v>m2</v>
          </cell>
          <cell r="F338">
            <v>119020.00000000001</v>
          </cell>
          <cell r="G338">
            <v>25</v>
          </cell>
          <cell r="H338">
            <v>25</v>
          </cell>
        </row>
        <row r="339">
          <cell r="B339" t="str">
            <v>Trần gỗ dán</v>
          </cell>
          <cell r="C339" t="str">
            <v>Làm trần gỗ dán, ván ép</v>
          </cell>
          <cell r="D339">
            <v>25</v>
          </cell>
          <cell r="E339" t="str">
            <v>m2</v>
          </cell>
          <cell r="F339">
            <v>236500.00000000003</v>
          </cell>
          <cell r="G339">
            <v>25</v>
          </cell>
          <cell r="H339">
            <v>25</v>
          </cell>
        </row>
        <row r="340">
          <cell r="B340" t="str">
            <v>Gáp xép gỗ</v>
          </cell>
          <cell r="C340" t="str">
            <v>Gác xép gỗ nhóm IV (Để chứa đồ)</v>
          </cell>
          <cell r="D340">
            <v>25</v>
          </cell>
          <cell r="E340" t="str">
            <v>m2</v>
          </cell>
          <cell r="F340">
            <v>2388870</v>
          </cell>
          <cell r="G340">
            <v>25</v>
          </cell>
          <cell r="H340">
            <v>25</v>
          </cell>
        </row>
        <row r="341">
          <cell r="B341" t="str">
            <v>CHỐNG NÓNG</v>
          </cell>
          <cell r="C341" t="str">
            <v>Kết cấu chống nóng</v>
          </cell>
          <cell r="D341">
            <v>25</v>
          </cell>
          <cell r="E341">
            <v>25</v>
          </cell>
          <cell r="F341">
            <v>25</v>
          </cell>
          <cell r="G341">
            <v>25</v>
          </cell>
          <cell r="H341">
            <v>25</v>
          </cell>
        </row>
        <row r="342">
          <cell r="B342" t="str">
            <v>Chống nóng mái Fibroximang</v>
          </cell>
          <cell r="C342" t="str">
            <v>Chống nóng mái bằng tấm fibroximang</v>
          </cell>
          <cell r="D342">
            <v>25</v>
          </cell>
          <cell r="E342" t="str">
            <v>m2</v>
          </cell>
          <cell r="F342">
            <v>89870</v>
          </cell>
          <cell r="G342">
            <v>25</v>
          </cell>
          <cell r="H342">
            <v>25</v>
          </cell>
        </row>
        <row r="343">
          <cell r="B343" t="str">
            <v>Chống nóng mái tôn</v>
          </cell>
          <cell r="C343" t="str">
            <v>Chống nóng mái bằng tôn mạ màu</v>
          </cell>
          <cell r="D343">
            <v>25</v>
          </cell>
          <cell r="E343" t="str">
            <v>m2</v>
          </cell>
          <cell r="F343">
            <v>278740</v>
          </cell>
          <cell r="G343">
            <v>25</v>
          </cell>
          <cell r="H343">
            <v>25</v>
          </cell>
        </row>
        <row r="344">
          <cell r="B344" t="str">
            <v>Lát gạch chống nóng</v>
          </cell>
          <cell r="C344" t="str">
            <v>Lát gạch chống nóng bằng gạch 4 lỗ 22x10,5x15cm</v>
          </cell>
          <cell r="D344">
            <v>25</v>
          </cell>
          <cell r="E344" t="str">
            <v>m2</v>
          </cell>
          <cell r="F344">
            <v>209110.00000000003</v>
          </cell>
          <cell r="G344">
            <v>25</v>
          </cell>
          <cell r="H344">
            <v>25</v>
          </cell>
        </row>
        <row r="345">
          <cell r="B345" t="str">
            <v>CỔNG</v>
          </cell>
          <cell r="C345" t="str">
            <v>CỔNG</v>
          </cell>
          <cell r="D345">
            <v>25</v>
          </cell>
          <cell r="E345">
            <v>25</v>
          </cell>
          <cell r="F345">
            <v>25</v>
          </cell>
          <cell r="G345">
            <v>25</v>
          </cell>
          <cell r="H345">
            <v>25</v>
          </cell>
        </row>
        <row r="346">
          <cell r="B346" t="str">
            <v>Cánh cổng 01</v>
          </cell>
          <cell r="C346" t="str">
            <v>Cổng thép mặt bưng tôn, khung thép hộp, lan sắt vuông 10x10</v>
          </cell>
          <cell r="D346">
            <v>25</v>
          </cell>
          <cell r="E346" t="str">
            <v>m2</v>
          </cell>
          <cell r="F346">
            <v>960080.00000000012</v>
          </cell>
          <cell r="G346">
            <v>10</v>
          </cell>
          <cell r="H346">
            <v>0.8</v>
          </cell>
        </row>
        <row r="347">
          <cell r="B347" t="str">
            <v>Cánh cổng 02</v>
          </cell>
          <cell r="C347" t="str">
            <v>Cổng thép mặt bưng tôn, khung thép hộp, lan sắt vuông 12x12</v>
          </cell>
          <cell r="D347">
            <v>0.79999971389770508</v>
          </cell>
          <cell r="E347" t="str">
            <v>m2</v>
          </cell>
          <cell r="F347">
            <v>1062380</v>
          </cell>
          <cell r="G347">
            <v>10</v>
          </cell>
          <cell r="H347">
            <v>0.8</v>
          </cell>
        </row>
        <row r="348">
          <cell r="B348" t="str">
            <v>Cánh cổng 03</v>
          </cell>
          <cell r="C348" t="str">
            <v>Cổng thép mặt bưng tôn, khung thép hộp, lan sắt vuông 14x14</v>
          </cell>
          <cell r="D348">
            <v>0.79999971389770508</v>
          </cell>
          <cell r="E348" t="str">
            <v>m2</v>
          </cell>
          <cell r="F348">
            <v>1226390</v>
          </cell>
          <cell r="G348">
            <v>10</v>
          </cell>
          <cell r="H348">
            <v>0.8</v>
          </cell>
        </row>
        <row r="349">
          <cell r="B349" t="str">
            <v>Cánh cổng 04</v>
          </cell>
          <cell r="C349" t="str">
            <v>Cổng thép mặt bưng tôn, khung thép hộp, lan sắt vuông 16x16</v>
          </cell>
          <cell r="D349">
            <v>0.79999971389770508</v>
          </cell>
          <cell r="E349" t="str">
            <v>m2</v>
          </cell>
          <cell r="F349">
            <v>1365870</v>
          </cell>
          <cell r="G349">
            <v>10</v>
          </cell>
          <cell r="H349">
            <v>0.8</v>
          </cell>
        </row>
        <row r="350">
          <cell r="B350" t="str">
            <v>TƯỜNG RÀO</v>
          </cell>
          <cell r="C350" t="str">
            <v>TƯỜNG RÀO</v>
          </cell>
          <cell r="D350">
            <v>0.79999971389770508</v>
          </cell>
          <cell r="E350">
            <v>0.79999971389770508</v>
          </cell>
          <cell r="F350">
            <v>0.79999971389770508</v>
          </cell>
          <cell r="G350">
            <v>0.79999971389770508</v>
          </cell>
          <cell r="H350">
            <v>0.79999971389770508</v>
          </cell>
        </row>
        <row r="351">
          <cell r="B351" t="str">
            <v>Tường 220</v>
          </cell>
          <cell r="C351" t="str">
            <v>Tường rào xây gạch 220, trát vữa XM, quét vôi ve, cao ≤ 2,5m</v>
          </cell>
          <cell r="D351">
            <v>0.79999971389770508</v>
          </cell>
          <cell r="E351" t="str">
            <v>m2</v>
          </cell>
          <cell r="F351">
            <v>915310.00000000012</v>
          </cell>
          <cell r="G351">
            <v>10</v>
          </cell>
          <cell r="H351">
            <v>0.8</v>
          </cell>
        </row>
        <row r="352">
          <cell r="B352" t="str">
            <v>Tường 110</v>
          </cell>
          <cell r="C352" t="str">
            <v>Tường rào xây gạch bổ trụ 220, xây tường 110, trát vữa XM, quét vôi ve, cao ≤ 2,5m</v>
          </cell>
          <cell r="D352">
            <v>0.79999971389770508</v>
          </cell>
          <cell r="E352" t="str">
            <v>m2</v>
          </cell>
          <cell r="F352">
            <v>720830</v>
          </cell>
          <cell r="G352">
            <v>10</v>
          </cell>
          <cell r="H352">
            <v>0.8</v>
          </cell>
        </row>
        <row r="353">
          <cell r="B353" t="str">
            <v>Tường móng gạch 1</v>
          </cell>
          <cell r="C353" t="str">
            <v>Tường rào móng gạch, trát vữa XM, quét vôi vẻ. Khoang hoa sắt vuông 10x10</v>
          </cell>
          <cell r="D353">
            <v>0.79999971389770508</v>
          </cell>
          <cell r="E353" t="str">
            <v>m2</v>
          </cell>
          <cell r="F353">
            <v>878570.00000000012</v>
          </cell>
          <cell r="G353">
            <v>10</v>
          </cell>
          <cell r="H353">
            <v>0.8</v>
          </cell>
        </row>
        <row r="354">
          <cell r="B354" t="str">
            <v>Tường móng gạch 2</v>
          </cell>
          <cell r="C354" t="str">
            <v>Tường rào móng gạch, trát vữa XM, quét vôi vẻ. Khoang hoa sắt vuông 12x12</v>
          </cell>
          <cell r="D354">
            <v>0.79999971389770508</v>
          </cell>
          <cell r="E354" t="str">
            <v>m2</v>
          </cell>
          <cell r="F354">
            <v>920150.00000000012</v>
          </cell>
          <cell r="G354">
            <v>10</v>
          </cell>
          <cell r="H354">
            <v>0.8</v>
          </cell>
        </row>
        <row r="355">
          <cell r="B355" t="str">
            <v>Tường móng gạch 3</v>
          </cell>
          <cell r="C355" t="str">
            <v>Tường rào móng gạch, trát vữa XM, quét vôi vẻ. Khoang hoa sắt vuông 14x14</v>
          </cell>
          <cell r="D355">
            <v>0.79999971389770508</v>
          </cell>
          <cell r="E355" t="str">
            <v>m2</v>
          </cell>
          <cell r="F355">
            <v>996930.00000000012</v>
          </cell>
          <cell r="G355">
            <v>10</v>
          </cell>
          <cell r="H355">
            <v>0.8</v>
          </cell>
        </row>
        <row r="356">
          <cell r="B356" t="str">
            <v>Tường móng gạch 4</v>
          </cell>
          <cell r="C356" t="str">
            <v>Tường rào móng gạch, trát vữa XM, quét vôi vẻ. Khoang hoa sắt vuông 16x16</v>
          </cell>
          <cell r="D356">
            <v>0.79999971389770508</v>
          </cell>
          <cell r="E356" t="str">
            <v>m2</v>
          </cell>
          <cell r="F356">
            <v>1084270</v>
          </cell>
          <cell r="G356">
            <v>10</v>
          </cell>
          <cell r="H356">
            <v>0.8</v>
          </cell>
        </row>
        <row r="357">
          <cell r="B357" t="str">
            <v>Tường móng gạch 5</v>
          </cell>
          <cell r="C357" t="str">
            <v>Tường rào móng gạch, trát vữa XM, quét vôi vẻ. Khoang hoa sắt D &gt;= 10mm</v>
          </cell>
          <cell r="D357">
            <v>0.79999971389770508</v>
          </cell>
          <cell r="E357" t="str">
            <v>m2</v>
          </cell>
          <cell r="F357">
            <v>1003200.0000000001</v>
          </cell>
          <cell r="G357">
            <v>10</v>
          </cell>
          <cell r="H357">
            <v>0.8</v>
          </cell>
        </row>
        <row r="358">
          <cell r="B358" t="str">
            <v>HRB40</v>
          </cell>
          <cell r="C358" t="str">
            <v>Hàng rào lưới B40</v>
          </cell>
          <cell r="D358">
            <v>0.79999971389770508</v>
          </cell>
          <cell r="E358" t="str">
            <v>m2</v>
          </cell>
          <cell r="F358">
            <v>108240.00000000001</v>
          </cell>
          <cell r="G358">
            <v>10</v>
          </cell>
          <cell r="H358">
            <v>0.2</v>
          </cell>
        </row>
        <row r="359">
          <cell r="B359" t="str">
            <v>HRB40.CK</v>
          </cell>
          <cell r="C359" t="str">
            <v>Hàng rào lưới B40 có khung thép</v>
          </cell>
          <cell r="D359">
            <v>0.19999992847442627</v>
          </cell>
          <cell r="E359" t="str">
            <v>m2</v>
          </cell>
          <cell r="F359">
            <v>194480.00000000003</v>
          </cell>
          <cell r="G359">
            <v>10</v>
          </cell>
          <cell r="H359">
            <v>0.2</v>
          </cell>
        </row>
        <row r="360">
          <cell r="B360">
            <v>0.19999992847442627</v>
          </cell>
          <cell r="C360" t="str">
            <v>Tường hoa, lan can</v>
          </cell>
          <cell r="D360">
            <v>0.19999992847442627</v>
          </cell>
          <cell r="E360">
            <v>0.19999992847442627</v>
          </cell>
          <cell r="F360">
            <v>0.19999992847442627</v>
          </cell>
          <cell r="G360">
            <v>0.19999992847442627</v>
          </cell>
          <cell r="H360">
            <v>0.19999992847442627</v>
          </cell>
        </row>
        <row r="361">
          <cell r="B361" t="str">
            <v>Tường hoa</v>
          </cell>
          <cell r="C361" t="str">
            <v>Tường hoa xây gạch, con tiện sứ (con tiện xi măng), trát vữa XM, quét vôi ve</v>
          </cell>
          <cell r="D361">
            <v>0.19999992847442627</v>
          </cell>
          <cell r="E361" t="str">
            <v>m2</v>
          </cell>
          <cell r="F361">
            <v>573320</v>
          </cell>
          <cell r="G361">
            <v>10</v>
          </cell>
          <cell r="H361">
            <v>0.8</v>
          </cell>
        </row>
        <row r="362">
          <cell r="B362" t="str">
            <v>Lan can inox</v>
          </cell>
          <cell r="C362" t="str">
            <v>Lan can bằng inox, cao &lt;=900</v>
          </cell>
          <cell r="D362">
            <v>0.79999971389770508</v>
          </cell>
          <cell r="E362" t="str">
            <v>md</v>
          </cell>
          <cell r="F362">
            <v>1217590</v>
          </cell>
          <cell r="G362">
            <v>10</v>
          </cell>
          <cell r="H362">
            <v>0.8</v>
          </cell>
        </row>
        <row r="363">
          <cell r="B363" t="str">
            <v>Lan can thép hộp</v>
          </cell>
          <cell r="C363" t="str">
            <v>Lan can bằng thép hộp, cao &lt;=900</v>
          </cell>
          <cell r="D363">
            <v>0.79999971389770508</v>
          </cell>
          <cell r="E363" t="str">
            <v>md</v>
          </cell>
          <cell r="F363">
            <v>460460.00000000006</v>
          </cell>
          <cell r="G363">
            <v>10</v>
          </cell>
          <cell r="H363">
            <v>0.8</v>
          </cell>
        </row>
        <row r="364">
          <cell r="B364" t="str">
            <v>Lan can thép hình</v>
          </cell>
          <cell r="C364" t="str">
            <v>Lan can bằng thép hình, cao &lt;=900</v>
          </cell>
          <cell r="D364">
            <v>0.79999971389770508</v>
          </cell>
          <cell r="E364" t="str">
            <v>md</v>
          </cell>
          <cell r="F364">
            <v>579040</v>
          </cell>
          <cell r="G364">
            <v>10</v>
          </cell>
          <cell r="H364">
            <v>0.8</v>
          </cell>
        </row>
        <row r="365">
          <cell r="B365">
            <v>0.79999971389770508</v>
          </cell>
          <cell r="C365" t="str">
            <v>Bể nước, bể phốt</v>
          </cell>
          <cell r="D365">
            <v>0.79999971389770508</v>
          </cell>
          <cell r="E365">
            <v>0.79999971389770508</v>
          </cell>
          <cell r="F365">
            <v>0.79999971389770508</v>
          </cell>
          <cell r="G365">
            <v>0.79999971389770508</v>
          </cell>
          <cell r="H365">
            <v>0.79999971389770508</v>
          </cell>
        </row>
        <row r="366">
          <cell r="B366" t="str">
            <v>Bể phốt 01</v>
          </cell>
          <cell r="C366" t="str">
            <v>Bể phốt đáy đổ BTCT, thành bể xây gạch, có nắp đậy BTCT</v>
          </cell>
          <cell r="D366">
            <v>0.79999971389770508</v>
          </cell>
          <cell r="E366" t="str">
            <v>m3</v>
          </cell>
          <cell r="F366">
            <v>2304610</v>
          </cell>
          <cell r="G366">
            <v>20</v>
          </cell>
          <cell r="H366">
            <v>0.8</v>
          </cell>
        </row>
        <row r="367">
          <cell r="B367" t="str">
            <v>Bể phốt 02</v>
          </cell>
          <cell r="C367" t="str">
            <v>Bể phốt đáy đổ BTCT, thành bể xây gạch, không nắp đậy BTCT</v>
          </cell>
          <cell r="D367">
            <v>0.79999971389770508</v>
          </cell>
          <cell r="E367" t="str">
            <v>m3</v>
          </cell>
          <cell r="F367">
            <v>1613810.0000000002</v>
          </cell>
          <cell r="G367">
            <v>20</v>
          </cell>
          <cell r="H367">
            <v>0.8</v>
          </cell>
        </row>
        <row r="368">
          <cell r="B368" t="str">
            <v>Bể nước 01</v>
          </cell>
          <cell r="C368" t="str">
            <v>Bể nước đáy đổ BTCT, thành bể xây gạch, có bể lọc</v>
          </cell>
          <cell r="D368">
            <v>0.79999971389770508</v>
          </cell>
          <cell r="E368" t="str">
            <v>m3</v>
          </cell>
          <cell r="F368">
            <v>2162270</v>
          </cell>
          <cell r="G368">
            <v>20</v>
          </cell>
          <cell r="H368">
            <v>0.8</v>
          </cell>
        </row>
        <row r="369">
          <cell r="B369" t="str">
            <v>Bể nước 02</v>
          </cell>
          <cell r="C369" t="str">
            <v>Bể nước đáy đổ BTCT, thành bể xây gạch, có nắp đậy BTCT</v>
          </cell>
          <cell r="D369">
            <v>0.79999971389770508</v>
          </cell>
          <cell r="E369" t="str">
            <v>m3</v>
          </cell>
          <cell r="F369">
            <v>2089890.0000000002</v>
          </cell>
          <cell r="G369">
            <v>20</v>
          </cell>
          <cell r="H369">
            <v>0.8</v>
          </cell>
        </row>
        <row r="370">
          <cell r="B370" t="str">
            <v>Bể nước 03</v>
          </cell>
          <cell r="C370" t="str">
            <v>Bể nước đáy đổ BTCT, thành bể xây gạch, không nắp đậy BTCT</v>
          </cell>
          <cell r="D370">
            <v>0.79999971389770508</v>
          </cell>
          <cell r="E370" t="str">
            <v>m3</v>
          </cell>
          <cell r="F370">
            <v>1613810.0000000002</v>
          </cell>
          <cell r="G370">
            <v>20</v>
          </cell>
          <cell r="H370">
            <v>0.8</v>
          </cell>
        </row>
        <row r="371">
          <cell r="B371" t="str">
            <v>Bể nước 04</v>
          </cell>
          <cell r="C371" t="str">
            <v>Bể nước đáy, thành, nắp bể đổ BTCT</v>
          </cell>
          <cell r="D371">
            <v>0.79999971389770508</v>
          </cell>
          <cell r="E371" t="str">
            <v>m3</v>
          </cell>
          <cell r="F371">
            <v>3326840.0000000005</v>
          </cell>
          <cell r="G371">
            <v>20</v>
          </cell>
          <cell r="H371">
            <v>0.8</v>
          </cell>
        </row>
        <row r="372">
          <cell r="B372">
            <v>0.79999971389770508</v>
          </cell>
          <cell r="C372" t="str">
            <v>Rãnh thoát nước</v>
          </cell>
          <cell r="D372">
            <v>0.79999971389770508</v>
          </cell>
          <cell r="E372">
            <v>0.79999971389770508</v>
          </cell>
          <cell r="F372">
            <v>0.79999971389770508</v>
          </cell>
          <cell r="G372">
            <v>0.79999971389770508</v>
          </cell>
          <cell r="H372">
            <v>0.79999971389770508</v>
          </cell>
        </row>
        <row r="373">
          <cell r="B373" t="str">
            <v>Rãnh nước 01</v>
          </cell>
          <cell r="C373" t="str">
            <v>Rãnh thoát nước xây gạch 220, có nắp đậy BTCT, rộng B&lt;=400</v>
          </cell>
          <cell r="D373">
            <v>0.79999971389770508</v>
          </cell>
          <cell r="E373" t="str">
            <v>m</v>
          </cell>
          <cell r="F373">
            <v>1043790.0000000001</v>
          </cell>
          <cell r="G373">
            <v>20</v>
          </cell>
          <cell r="H373">
            <v>0.8</v>
          </cell>
        </row>
        <row r="374">
          <cell r="B374" t="str">
            <v>Rãnh nước 02</v>
          </cell>
          <cell r="C374" t="str">
            <v>Rãnh thoát nước xây gạch 220, không nắp đậy BTCT, rộng B&lt;=400</v>
          </cell>
          <cell r="D374">
            <v>0.79999971389770508</v>
          </cell>
          <cell r="E374" t="str">
            <v>m</v>
          </cell>
          <cell r="F374">
            <v>875600.00000000012</v>
          </cell>
          <cell r="G374">
            <v>20</v>
          </cell>
          <cell r="H374">
            <v>0.8</v>
          </cell>
        </row>
        <row r="375">
          <cell r="B375" t="str">
            <v>Rãnh nước 03</v>
          </cell>
          <cell r="C375" t="str">
            <v>Rãnh thoát nước xây gạch 110, có nắp đậy BTCT, rộng B&lt;=300</v>
          </cell>
          <cell r="D375">
            <v>0.79999971389770508</v>
          </cell>
          <cell r="E375" t="str">
            <v>m</v>
          </cell>
          <cell r="F375">
            <v>494670.00000000006</v>
          </cell>
          <cell r="G375">
            <v>20</v>
          </cell>
          <cell r="H375">
            <v>0.8</v>
          </cell>
        </row>
        <row r="376">
          <cell r="B376" t="str">
            <v>Rãnh nước 04</v>
          </cell>
          <cell r="C376" t="str">
            <v>Rãnh thoát nước xây gạch 110, không nắp đậy BTCT, rộng B&lt;=300</v>
          </cell>
          <cell r="D376">
            <v>0.79999971389770508</v>
          </cell>
          <cell r="E376" t="str">
            <v>m</v>
          </cell>
          <cell r="F376">
            <v>350460</v>
          </cell>
          <cell r="G376">
            <v>20</v>
          </cell>
          <cell r="H376">
            <v>0.8</v>
          </cell>
        </row>
        <row r="377">
          <cell r="B377">
            <v>0.79999971389770508</v>
          </cell>
          <cell r="C377" t="str">
            <v>Kè, san nền</v>
          </cell>
          <cell r="D377">
            <v>0.79999971389770508</v>
          </cell>
          <cell r="E377">
            <v>0.79999971389770508</v>
          </cell>
          <cell r="F377">
            <v>0.79999971389770508</v>
          </cell>
          <cell r="G377">
            <v>0.79999971389770508</v>
          </cell>
          <cell r="H377">
            <v>0.79999971389770508</v>
          </cell>
        </row>
        <row r="378">
          <cell r="B378" t="str">
            <v>San nền</v>
          </cell>
          <cell r="C378" t="str">
            <v>San nền</v>
          </cell>
          <cell r="D378">
            <v>0.79999971389770508</v>
          </cell>
          <cell r="E378" t="str">
            <v>m3</v>
          </cell>
          <cell r="F378">
            <v>250965.00000000003</v>
          </cell>
          <cell r="G378">
            <v>30</v>
          </cell>
          <cell r="H378">
            <v>0.8</v>
          </cell>
        </row>
        <row r="379">
          <cell r="B379" t="str">
            <v>Kè đá</v>
          </cell>
          <cell r="C379" t="str">
            <v>Kè xây đá hộc</v>
          </cell>
          <cell r="D379">
            <v>0.79999971389770508</v>
          </cell>
          <cell r="E379" t="str">
            <v>m3</v>
          </cell>
          <cell r="F379">
            <v>2113760</v>
          </cell>
          <cell r="G379">
            <v>30</v>
          </cell>
          <cell r="H379">
            <v>0.8</v>
          </cell>
        </row>
        <row r="380">
          <cell r="B380" t="str">
            <v>Kè gạch</v>
          </cell>
          <cell r="C380" t="str">
            <v>Kè gạch</v>
          </cell>
          <cell r="D380">
            <v>0.79999971389770508</v>
          </cell>
          <cell r="E380" t="str">
            <v>m3</v>
          </cell>
          <cell r="F380">
            <v>2190430</v>
          </cell>
          <cell r="G380">
            <v>30</v>
          </cell>
          <cell r="H380">
            <v>0.8</v>
          </cell>
        </row>
        <row r="381">
          <cell r="B381">
            <v>0.79999971389770508</v>
          </cell>
          <cell r="C381" t="str">
            <v>Sân, đường bê tông</v>
          </cell>
          <cell r="D381">
            <v>0.79999971389770508</v>
          </cell>
          <cell r="E381">
            <v>0.79999971389770508</v>
          </cell>
          <cell r="F381">
            <v>0.79999971389770508</v>
          </cell>
          <cell r="G381">
            <v>0.79999971389770508</v>
          </cell>
          <cell r="H381">
            <v>0.79999971389770508</v>
          </cell>
        </row>
        <row r="382">
          <cell r="B382" t="str">
            <v>Sân BT100</v>
          </cell>
          <cell r="C382" t="str">
            <v>Sân bê tông dày 100, mác 200</v>
          </cell>
          <cell r="D382">
            <v>0.79999971389770508</v>
          </cell>
          <cell r="E382" t="str">
            <v>m2</v>
          </cell>
          <cell r="F382">
            <v>163570</v>
          </cell>
          <cell r="G382">
            <v>20</v>
          </cell>
          <cell r="H382">
            <v>0.8</v>
          </cell>
        </row>
        <row r="383">
          <cell r="B383" t="str">
            <v>Sân lót</v>
          </cell>
          <cell r="C383" t="str">
            <v>Sân lót bê tông gạch vỡ, mặt láng vữa XMCV</v>
          </cell>
          <cell r="D383">
            <v>0.79999971389770508</v>
          </cell>
          <cell r="E383" t="str">
            <v>m2</v>
          </cell>
          <cell r="F383">
            <v>131373</v>
          </cell>
          <cell r="G383">
            <v>20</v>
          </cell>
          <cell r="H383">
            <v>0.8</v>
          </cell>
        </row>
        <row r="384">
          <cell r="B384" t="str">
            <v>CỘT TRỤ</v>
          </cell>
          <cell r="C384" t="str">
            <v>Cột trụ, tấm đan, nan chớp</v>
          </cell>
          <cell r="D384">
            <v>0.79999971389770508</v>
          </cell>
          <cell r="E384">
            <v>0.79999971389770508</v>
          </cell>
          <cell r="F384">
            <v>0.79999971389770508</v>
          </cell>
          <cell r="G384">
            <v>0.79999971389770508</v>
          </cell>
          <cell r="H384">
            <v>0.79999971389770508</v>
          </cell>
        </row>
        <row r="385">
          <cell r="B385" t="str">
            <v>Cột BTCT</v>
          </cell>
          <cell r="C385" t="str">
            <v>Cột BTCT, trát vữa XM, quét vôi ve</v>
          </cell>
          <cell r="D385">
            <v>0.79999971389770508</v>
          </cell>
          <cell r="E385" t="str">
            <v>m3</v>
          </cell>
          <cell r="F385">
            <v>4771580</v>
          </cell>
          <cell r="G385">
            <v>10</v>
          </cell>
          <cell r="H385">
            <v>0.8</v>
          </cell>
        </row>
        <row r="386">
          <cell r="B386" t="str">
            <v>Cột BT</v>
          </cell>
          <cell r="C386" t="str">
            <v>Cột bê tông, trát vữa XM, quét vôi ve</v>
          </cell>
          <cell r="D386">
            <v>0.79999971389770508</v>
          </cell>
          <cell r="E386" t="str">
            <v>m3</v>
          </cell>
          <cell r="F386">
            <v>3223550.0000000005</v>
          </cell>
          <cell r="G386">
            <v>10</v>
          </cell>
          <cell r="H386">
            <v>0.8</v>
          </cell>
        </row>
        <row r="387">
          <cell r="B387" t="str">
            <v>Trụ xây gạch</v>
          </cell>
          <cell r="C387" t="str">
            <v>Trụ xây gạch, trát vữa XM, quét vôi ve</v>
          </cell>
          <cell r="D387">
            <v>0.79999971389770508</v>
          </cell>
          <cell r="E387" t="str">
            <v>m3</v>
          </cell>
          <cell r="F387">
            <v>2422970</v>
          </cell>
          <cell r="G387">
            <v>10</v>
          </cell>
          <cell r="H387">
            <v>0.8</v>
          </cell>
        </row>
        <row r="388">
          <cell r="B388" t="str">
            <v>Tấm đan, nan chớp</v>
          </cell>
          <cell r="C388" t="str">
            <v>Tấm đan, nan chớp BTCT</v>
          </cell>
          <cell r="D388">
            <v>0.79999971389770508</v>
          </cell>
          <cell r="E388" t="str">
            <v>m3</v>
          </cell>
          <cell r="F388">
            <v>3727680.0000000005</v>
          </cell>
          <cell r="G388">
            <v>10</v>
          </cell>
          <cell r="H388">
            <v>0.8</v>
          </cell>
        </row>
        <row r="389">
          <cell r="B389" t="str">
            <v>GIẾNG</v>
          </cell>
          <cell r="C389" t="str">
            <v>Giếng khơi , giếng khoan</v>
          </cell>
          <cell r="D389">
            <v>0.79999971389770508</v>
          </cell>
          <cell r="E389">
            <v>0.79999971389770508</v>
          </cell>
          <cell r="F389">
            <v>0.79999971389770508</v>
          </cell>
          <cell r="G389">
            <v>0.79999971389770508</v>
          </cell>
          <cell r="H389">
            <v>0.79999971389770508</v>
          </cell>
        </row>
        <row r="390">
          <cell r="B390" t="str">
            <v>GK 01</v>
          </cell>
          <cell r="C390" t="str">
            <v>Giếng khơi thành xây gạch</v>
          </cell>
          <cell r="D390">
            <v>0.79999971389770508</v>
          </cell>
          <cell r="E390" t="str">
            <v>m sâu</v>
          </cell>
          <cell r="F390">
            <v>1297780</v>
          </cell>
          <cell r="G390">
            <v>10</v>
          </cell>
          <cell r="H390">
            <v>0.8</v>
          </cell>
        </row>
        <row r="391">
          <cell r="B391" t="str">
            <v>GK 02</v>
          </cell>
          <cell r="C391" t="str">
            <v>Giếng khơi thành đất</v>
          </cell>
          <cell r="D391">
            <v>0.79999971389770508</v>
          </cell>
          <cell r="E391" t="str">
            <v>m sâu</v>
          </cell>
          <cell r="F391">
            <v>720372.4</v>
          </cell>
          <cell r="G391">
            <v>10</v>
          </cell>
          <cell r="H391">
            <v>0.8</v>
          </cell>
        </row>
        <row r="392">
          <cell r="B392" t="str">
            <v>GK</v>
          </cell>
          <cell r="C392" t="str">
            <v>Giếng khoan</v>
          </cell>
          <cell r="D392">
            <v>0.79999971389770508</v>
          </cell>
          <cell r="E392" t="str">
            <v>Giếng</v>
          </cell>
          <cell r="F392">
            <v>2640000</v>
          </cell>
          <cell r="G392">
            <v>10</v>
          </cell>
          <cell r="H392">
            <v>0.8</v>
          </cell>
        </row>
        <row r="393">
          <cell r="B393" t="str">
            <v>THÁO DỠ</v>
          </cell>
          <cell r="C393" t="str">
            <v>Tháo dỡ, di chuyển, lắp đặt thiết bị</v>
          </cell>
          <cell r="D393">
            <v>0.79999971389770508</v>
          </cell>
          <cell r="E393">
            <v>0.79999971389770508</v>
          </cell>
          <cell r="F393">
            <v>0.79999971389770508</v>
          </cell>
          <cell r="G393">
            <v>0.79999971389770508</v>
          </cell>
          <cell r="H393">
            <v>0.79999971389770508</v>
          </cell>
        </row>
        <row r="394">
          <cell r="B394" t="str">
            <v>Cánh cổng</v>
          </cell>
          <cell r="C394" t="str">
            <v>Cánh cổng</v>
          </cell>
          <cell r="D394">
            <v>0.79999971389770508</v>
          </cell>
          <cell r="E394" t="str">
            <v>m2</v>
          </cell>
          <cell r="F394">
            <v>219340.00000000003</v>
          </cell>
          <cell r="G394">
            <v>10</v>
          </cell>
          <cell r="H394">
            <v>0.8</v>
          </cell>
        </row>
        <row r="395">
          <cell r="B395" t="str">
            <v>ĐH 1</v>
          </cell>
          <cell r="C395" t="str">
            <v>Điều hòa 1 cục loại treo tường</v>
          </cell>
          <cell r="D395">
            <v>0.79999971389770508</v>
          </cell>
          <cell r="E395" t="str">
            <v>máy</v>
          </cell>
          <cell r="F395">
            <v>1142680</v>
          </cell>
          <cell r="G395">
            <v>10</v>
          </cell>
          <cell r="H395">
            <v>0.8</v>
          </cell>
        </row>
        <row r="396">
          <cell r="B396" t="str">
            <v>ĐH 2</v>
          </cell>
          <cell r="C396" t="str">
            <v>Điều hòa 2 cục loại treo tường</v>
          </cell>
          <cell r="D396">
            <v>0.79999971389770508</v>
          </cell>
          <cell r="E396" t="str">
            <v>máy</v>
          </cell>
          <cell r="F396">
            <v>1142680</v>
          </cell>
          <cell r="G396">
            <v>10</v>
          </cell>
          <cell r="H396">
            <v>0.8</v>
          </cell>
        </row>
        <row r="397">
          <cell r="B397" t="str">
            <v>ĐH 3</v>
          </cell>
          <cell r="C397" t="str">
            <v>Điều hòa 2 cục loại ốp trần</v>
          </cell>
          <cell r="D397">
            <v>0.79999971389770508</v>
          </cell>
          <cell r="E397" t="str">
            <v>máy</v>
          </cell>
          <cell r="F397">
            <v>1215610</v>
          </cell>
          <cell r="G397">
            <v>10</v>
          </cell>
          <cell r="H397">
            <v>0.8</v>
          </cell>
        </row>
        <row r="398">
          <cell r="B398" t="str">
            <v>ĐH 4</v>
          </cell>
          <cell r="C398" t="str">
            <v>Điều hòa 2 cục loại âm trần</v>
          </cell>
          <cell r="D398">
            <v>0.79999971389770508</v>
          </cell>
          <cell r="E398" t="str">
            <v>máy</v>
          </cell>
          <cell r="F398">
            <v>906180.00000000012</v>
          </cell>
          <cell r="G398">
            <v>10</v>
          </cell>
          <cell r="H398">
            <v>0.8</v>
          </cell>
        </row>
        <row r="399">
          <cell r="B399" t="str">
            <v>ĐH 5</v>
          </cell>
          <cell r="C399" t="str">
            <v>Điều hòa 2 cục loại tủ đứng</v>
          </cell>
          <cell r="D399">
            <v>0.79999971389770508</v>
          </cell>
          <cell r="E399" t="str">
            <v>máy</v>
          </cell>
          <cell r="F399">
            <v>1035870.0000000001</v>
          </cell>
          <cell r="G399">
            <v>10</v>
          </cell>
          <cell r="H399">
            <v>0.8</v>
          </cell>
        </row>
        <row r="400">
          <cell r="B400" t="str">
            <v>BNL</v>
          </cell>
          <cell r="C400" t="str">
            <v>Bình nóng lạnh</v>
          </cell>
          <cell r="D400">
            <v>0.79999971389770508</v>
          </cell>
          <cell r="E400" t="str">
            <v>bộ</v>
          </cell>
          <cell r="F400">
            <v>641190</v>
          </cell>
          <cell r="G400">
            <v>10</v>
          </cell>
          <cell r="H400">
            <v>0.8</v>
          </cell>
        </row>
        <row r="401">
          <cell r="B401" t="str">
            <v>XB</v>
          </cell>
          <cell r="C401" t="str">
            <v>Xí bệt</v>
          </cell>
          <cell r="D401">
            <v>0.79999971389770508</v>
          </cell>
          <cell r="E401" t="str">
            <v>bộ</v>
          </cell>
          <cell r="F401">
            <v>515020.00000000006</v>
          </cell>
          <cell r="G401">
            <v>10</v>
          </cell>
          <cell r="H401">
            <v>0.8</v>
          </cell>
        </row>
        <row r="402">
          <cell r="B402" t="str">
            <v>CR</v>
          </cell>
          <cell r="C402" t="str">
            <v>Chậu rửa</v>
          </cell>
          <cell r="D402">
            <v>0.79999971389770508</v>
          </cell>
          <cell r="E402" t="str">
            <v>bộ</v>
          </cell>
          <cell r="F402">
            <v>188870.00000000003</v>
          </cell>
          <cell r="G402">
            <v>10</v>
          </cell>
          <cell r="H402">
            <v>0.8</v>
          </cell>
        </row>
        <row r="403">
          <cell r="B403" t="str">
            <v>CT</v>
          </cell>
          <cell r="C403" t="str">
            <v>Chậu tiểu</v>
          </cell>
          <cell r="D403">
            <v>0.79999971389770508</v>
          </cell>
          <cell r="E403" t="str">
            <v>bộ</v>
          </cell>
          <cell r="F403">
            <v>515020.00000000006</v>
          </cell>
          <cell r="G403">
            <v>10</v>
          </cell>
          <cell r="H403">
            <v>0.8</v>
          </cell>
        </row>
        <row r="404">
          <cell r="B404" t="str">
            <v>Quạt trần</v>
          </cell>
          <cell r="C404" t="str">
            <v>Quạt trần</v>
          </cell>
          <cell r="D404">
            <v>0.79999971389770508</v>
          </cell>
          <cell r="E404" t="str">
            <v>bộ</v>
          </cell>
          <cell r="F404">
            <v>649000</v>
          </cell>
          <cell r="G404">
            <v>10</v>
          </cell>
          <cell r="H404">
            <v>0.2</v>
          </cell>
        </row>
        <row r="405">
          <cell r="B405" t="str">
            <v>CỬA GỖ</v>
          </cell>
          <cell r="C405" t="str">
            <v>Cửa gỗ lim</v>
          </cell>
          <cell r="D405">
            <v>0.19999992847442627</v>
          </cell>
          <cell r="E405">
            <v>0.19999992847442627</v>
          </cell>
          <cell r="F405">
            <v>0.19999992847442627</v>
          </cell>
          <cell r="G405">
            <v>0.19999992847442627</v>
          </cell>
          <cell r="H405">
            <v>0.19999992847442627</v>
          </cell>
        </row>
        <row r="406">
          <cell r="B406" t="str">
            <v>KC gỗ lim (Kép)</v>
          </cell>
          <cell r="C406" t="str">
            <v>Khuôn cửa gỗ lim, khuôn kép</v>
          </cell>
          <cell r="D406" t="str">
            <v>250x60mm</v>
          </cell>
          <cell r="E406" t="str">
            <v>md</v>
          </cell>
          <cell r="F406">
            <v>1100000</v>
          </cell>
          <cell r="G406">
            <v>25</v>
          </cell>
          <cell r="H406">
            <v>25</v>
          </cell>
        </row>
        <row r="407">
          <cell r="B407" t="str">
            <v>KC gỗ lim (Đơn)</v>
          </cell>
          <cell r="C407" t="str">
            <v>Khuôn cửa gỗ lim, khuôn đơn</v>
          </cell>
          <cell r="D407" t="str">
            <v>130x60mm</v>
          </cell>
          <cell r="E407" t="str">
            <v>md</v>
          </cell>
          <cell r="F407">
            <v>693000</v>
          </cell>
          <cell r="G407">
            <v>25</v>
          </cell>
          <cell r="H407">
            <v>25</v>
          </cell>
        </row>
        <row r="408">
          <cell r="B408" t="str">
            <v>CC gỗ lim (cửa đi Pano đặc)</v>
          </cell>
          <cell r="C408" t="str">
            <v>Cửa đi gỗ lim Pano đặc</v>
          </cell>
          <cell r="D408">
            <v>25</v>
          </cell>
          <cell r="E408" t="str">
            <v>m2</v>
          </cell>
          <cell r="F408">
            <v>2654300</v>
          </cell>
          <cell r="G408">
            <v>25</v>
          </cell>
          <cell r="H408">
            <v>25</v>
          </cell>
        </row>
        <row r="409">
          <cell r="B409" t="str">
            <v>CC gỗ lim (cửa đi Pano kính)</v>
          </cell>
          <cell r="C409" t="str">
            <v>Cửa đi gỗ lim Pano kính</v>
          </cell>
          <cell r="D409">
            <v>25</v>
          </cell>
          <cell r="E409" t="str">
            <v>m2</v>
          </cell>
          <cell r="F409">
            <v>2379300</v>
          </cell>
          <cell r="G409">
            <v>25</v>
          </cell>
          <cell r="H409">
            <v>25</v>
          </cell>
        </row>
        <row r="410">
          <cell r="B410" t="str">
            <v>CC gỗ lim (cửa sổ Pano kính)</v>
          </cell>
          <cell r="C410" t="str">
            <v>Cửa sổ gỗ lim Pano kính</v>
          </cell>
          <cell r="D410">
            <v>25</v>
          </cell>
          <cell r="E410" t="str">
            <v>m2</v>
          </cell>
          <cell r="F410">
            <v>2380400</v>
          </cell>
          <cell r="G410">
            <v>25</v>
          </cell>
          <cell r="H410">
            <v>25</v>
          </cell>
        </row>
        <row r="411">
          <cell r="B411" t="str">
            <v>CC gỗ lim (cửa chớp)</v>
          </cell>
          <cell r="C411" t="str">
            <v>Cửa chớp gỗ lim</v>
          </cell>
          <cell r="D411">
            <v>25</v>
          </cell>
          <cell r="E411" t="str">
            <v>m2</v>
          </cell>
          <cell r="F411">
            <v>2691700</v>
          </cell>
          <cell r="G411">
            <v>25</v>
          </cell>
          <cell r="H411">
            <v>25</v>
          </cell>
        </row>
        <row r="412">
          <cell r="B412" t="str">
            <v>Song gỗ cửa sổ</v>
          </cell>
          <cell r="C412" t="str">
            <v>Song gỗ cửa sổ</v>
          </cell>
          <cell r="D412">
            <v>25</v>
          </cell>
          <cell r="E412">
            <v>25</v>
          </cell>
          <cell r="F412">
            <v>0</v>
          </cell>
          <cell r="G412">
            <v>25</v>
          </cell>
          <cell r="H412">
            <v>25</v>
          </cell>
        </row>
        <row r="413">
          <cell r="B413" t="str">
            <v>CỬA GỖ</v>
          </cell>
          <cell r="C413" t="str">
            <v>Cửa gỗ dổi</v>
          </cell>
          <cell r="D413">
            <v>25</v>
          </cell>
          <cell r="E413">
            <v>25</v>
          </cell>
          <cell r="F413">
            <v>25</v>
          </cell>
          <cell r="G413">
            <v>25</v>
          </cell>
          <cell r="H413">
            <v>25</v>
          </cell>
        </row>
        <row r="414">
          <cell r="B414" t="str">
            <v>KC gỗ dổi (Kép)</v>
          </cell>
          <cell r="C414" t="str">
            <v>Khuôn cửa gỗ dổi, khuôn kép</v>
          </cell>
          <cell r="D414" t="str">
            <v>250x60mm</v>
          </cell>
          <cell r="E414" t="str">
            <v>md</v>
          </cell>
          <cell r="F414">
            <v>1100000</v>
          </cell>
          <cell r="G414">
            <v>25</v>
          </cell>
          <cell r="H414">
            <v>25</v>
          </cell>
        </row>
        <row r="415">
          <cell r="B415" t="str">
            <v>KC gỗ dổi (Đơn)</v>
          </cell>
          <cell r="C415" t="str">
            <v>Khuôn cửa gỗ dổi, khuôn đơn</v>
          </cell>
          <cell r="D415" t="str">
            <v>130x60mm</v>
          </cell>
          <cell r="E415" t="str">
            <v>md</v>
          </cell>
          <cell r="F415">
            <v>693000</v>
          </cell>
          <cell r="G415">
            <v>25</v>
          </cell>
          <cell r="H415">
            <v>25</v>
          </cell>
        </row>
        <row r="416">
          <cell r="B416" t="str">
            <v>CC gỗ dổi (cửa đi Pano đặc)</v>
          </cell>
          <cell r="C416" t="str">
            <v>Cửa đi gỗ dổi Pano đặc</v>
          </cell>
          <cell r="D416">
            <v>25</v>
          </cell>
          <cell r="E416" t="str">
            <v>m2</v>
          </cell>
          <cell r="F416">
            <v>2486000</v>
          </cell>
          <cell r="G416">
            <v>25</v>
          </cell>
          <cell r="H416">
            <v>25</v>
          </cell>
        </row>
        <row r="417">
          <cell r="B417" t="str">
            <v>CC gỗ dổi (cửa đi Pano kính)</v>
          </cell>
          <cell r="C417" t="str">
            <v>Cửa đi gỗ dổi Pano kính</v>
          </cell>
          <cell r="D417">
            <v>25</v>
          </cell>
          <cell r="E417" t="str">
            <v>m2</v>
          </cell>
          <cell r="F417">
            <v>2228600</v>
          </cell>
          <cell r="G417">
            <v>25</v>
          </cell>
          <cell r="H417">
            <v>25</v>
          </cell>
        </row>
        <row r="418">
          <cell r="B418" t="str">
            <v>CC gỗ dổi (cửa sổ Pano kính)</v>
          </cell>
          <cell r="C418" t="str">
            <v>Cửa sổ gỗ dổi Pano kính</v>
          </cell>
          <cell r="D418">
            <v>25</v>
          </cell>
          <cell r="E418" t="str">
            <v>m2</v>
          </cell>
          <cell r="F418">
            <v>2228600</v>
          </cell>
          <cell r="G418">
            <v>25</v>
          </cell>
          <cell r="H418">
            <v>25</v>
          </cell>
        </row>
        <row r="419">
          <cell r="B419" t="str">
            <v>CC gỗ dổi (cửa chớp)</v>
          </cell>
          <cell r="C419" t="str">
            <v>Cửa chớp gỗ dổi</v>
          </cell>
          <cell r="D419">
            <v>25</v>
          </cell>
          <cell r="E419" t="str">
            <v>m2</v>
          </cell>
          <cell r="F419">
            <v>2460700</v>
          </cell>
          <cell r="G419">
            <v>25</v>
          </cell>
          <cell r="H419">
            <v>25</v>
          </cell>
        </row>
        <row r="420">
          <cell r="B420" t="str">
            <v>CỬA NHÔM</v>
          </cell>
          <cell r="C420" t="str">
            <v>Cửa nhôm hệ Xingfa</v>
          </cell>
          <cell r="D420">
            <v>25</v>
          </cell>
          <cell r="E420">
            <v>25</v>
          </cell>
          <cell r="F420">
            <v>25</v>
          </cell>
          <cell r="G420">
            <v>25</v>
          </cell>
          <cell r="H420">
            <v>25</v>
          </cell>
        </row>
        <row r="421">
          <cell r="B421" t="str">
            <v>Của đi nhôm XF (1 cánh mở quay)-01</v>
          </cell>
          <cell r="C421" t="str">
            <v>Cửa đi 1 cánh mở quay XF55 thanh nhôm dày 2.0mm; kính an toàn 6,38mm; KT  700-900x2100-2400; phụ kiện đồng bộ</v>
          </cell>
          <cell r="D421">
            <v>25</v>
          </cell>
          <cell r="E421" t="str">
            <v>m2</v>
          </cell>
          <cell r="F421">
            <v>3685000.0000000005</v>
          </cell>
          <cell r="G421">
            <v>25</v>
          </cell>
          <cell r="H421">
            <v>25</v>
          </cell>
        </row>
        <row r="422">
          <cell r="B422" t="str">
            <v>Của đi nhôm XF (2 cánh mở quay)-02</v>
          </cell>
          <cell r="C422" t="str">
            <v>Cửa đi 2 cánh mở quay XF55 thanh nhôm dày 2.0mm; kính an toàn 6,38mm; KT  1200-1800x2100-2400; phụ kiện đồng bộ</v>
          </cell>
          <cell r="D422">
            <v>25</v>
          </cell>
          <cell r="E422" t="str">
            <v>m2</v>
          </cell>
          <cell r="F422">
            <v>3806000.0000000005</v>
          </cell>
          <cell r="G422">
            <v>25</v>
          </cell>
          <cell r="H422">
            <v>25</v>
          </cell>
        </row>
        <row r="423">
          <cell r="B423" t="str">
            <v>Của sổ nhôm XF (1 cánh mở quay)</v>
          </cell>
          <cell r="C423" t="str">
            <v>Cửa sổ 1 cánh mở quay XF55 thanh nhôm dày 1.4mm; kính an toàn 6,38mm; KT  600-1000x1000-1600; phụ kiện đồng bộ</v>
          </cell>
          <cell r="D423">
            <v>25</v>
          </cell>
          <cell r="E423" t="str">
            <v>m2</v>
          </cell>
          <cell r="F423">
            <v>3223000.0000000005</v>
          </cell>
          <cell r="G423">
            <v>25</v>
          </cell>
          <cell r="H423">
            <v>25</v>
          </cell>
        </row>
        <row r="424">
          <cell r="B424" t="str">
            <v>Của sổ nhôm XF (2 cánh mở quay)</v>
          </cell>
          <cell r="C424" t="str">
            <v>Cửa sổ 2 cánh mở quay XF55 thanh nhôm dày 1.4mm; kính an toàn 6,38mm; KT  1200-2000x1000-1600; phụ kiện đồng bộ</v>
          </cell>
          <cell r="D424">
            <v>25</v>
          </cell>
          <cell r="E424" t="str">
            <v>m2</v>
          </cell>
          <cell r="F424">
            <v>2761000</v>
          </cell>
          <cell r="G424">
            <v>25</v>
          </cell>
          <cell r="H424">
            <v>25</v>
          </cell>
        </row>
        <row r="425">
          <cell r="B425" t="str">
            <v>CỬA NHÔM</v>
          </cell>
          <cell r="C425" t="str">
            <v>Cửa nhôm hệ Việt Pháp</v>
          </cell>
          <cell r="D425">
            <v>25</v>
          </cell>
          <cell r="E425">
            <v>25</v>
          </cell>
          <cell r="F425">
            <v>25</v>
          </cell>
          <cell r="G425">
            <v>25</v>
          </cell>
          <cell r="H425">
            <v>25</v>
          </cell>
        </row>
        <row r="426">
          <cell r="B426" t="str">
            <v>Của đi nhôm VP (1 cánh mở quay)</v>
          </cell>
          <cell r="C426" t="str">
            <v>Cửa đi 1 cánh mở quay hệ Việt Pháp EU450 thanh nhôm dày 1,2mm; kính an toàn 6,38mm; KT 700-1000x2100-2400; phụ kiện đồng bộ</v>
          </cell>
          <cell r="D426">
            <v>25</v>
          </cell>
          <cell r="E426" t="str">
            <v>m2</v>
          </cell>
          <cell r="F426">
            <v>3025000.0000000005</v>
          </cell>
          <cell r="G426">
            <v>25</v>
          </cell>
          <cell r="H426">
            <v>25</v>
          </cell>
        </row>
        <row r="427">
          <cell r="B427" t="str">
            <v>Của đi nhôm VP (2 cánh mở quay)</v>
          </cell>
          <cell r="C427" t="str">
            <v>Cửa đi 2 cánh mở quay hệ Việt Pháp EU450 thanh nhôm dày 1,2mm; kính an toàn 6,38mm; KT 1200-1800x2100-2400; phụ kiện đồng bộ</v>
          </cell>
          <cell r="D427">
            <v>25</v>
          </cell>
          <cell r="E427" t="str">
            <v>m2</v>
          </cell>
          <cell r="F427">
            <v>3322000.0000000005</v>
          </cell>
          <cell r="G427">
            <v>25</v>
          </cell>
          <cell r="H427">
            <v>25</v>
          </cell>
        </row>
        <row r="428">
          <cell r="B428" t="str">
            <v>Của sổ nhôm VP (1 cánh mở quay)</v>
          </cell>
          <cell r="C428" t="str">
            <v>Cửa sổ 1 cánh mở quay hệ Việt Pháp EU4400 thanh nhôm dày 1,2mm; kính an toàn 6,38mm; KT 600-1000x1000-1600; phụ kiện đồng bộ</v>
          </cell>
          <cell r="D428">
            <v>25</v>
          </cell>
          <cell r="E428" t="str">
            <v>m2</v>
          </cell>
          <cell r="F428">
            <v>2123000</v>
          </cell>
          <cell r="G428">
            <v>25</v>
          </cell>
          <cell r="H428">
            <v>25</v>
          </cell>
        </row>
        <row r="429">
          <cell r="B429" t="str">
            <v>Của sổ nhôm VP (2 cánh mở quay)</v>
          </cell>
          <cell r="C429" t="str">
            <v>Cửa sổ 1 cánh mở quay hệ Việt Pháp EU4400 thanh nhôm dày 1,2mm; kính an toàn 6,38mm; KT 1200-2000x1000-1600; phụ kiện đồng bộ</v>
          </cell>
          <cell r="D429">
            <v>25</v>
          </cell>
          <cell r="E429" t="str">
            <v>m2</v>
          </cell>
          <cell r="F429">
            <v>2332000</v>
          </cell>
          <cell r="G429">
            <v>25</v>
          </cell>
          <cell r="H429">
            <v>25</v>
          </cell>
        </row>
        <row r="430">
          <cell r="B430" t="str">
            <v>CỬA NHỰA</v>
          </cell>
          <cell r="C430" t="str">
            <v>Cửa nhựa lõi thép Shide Đông Á</v>
          </cell>
          <cell r="D430">
            <v>25</v>
          </cell>
          <cell r="E430">
            <v>25</v>
          </cell>
          <cell r="F430">
            <v>25</v>
          </cell>
          <cell r="G430">
            <v>25</v>
          </cell>
          <cell r="H430">
            <v>25</v>
          </cell>
        </row>
        <row r="431">
          <cell r="B431" t="str">
            <v>Của nhựa ĐA (1 cánh mở quay)</v>
          </cell>
          <cell r="C431" t="str">
            <v>Cửa nhựa lõi thép Shide Đông Á, 1 cánh mở quay, kính an toàn 6,38mm. Phụ kiện GQ đồng bộ</v>
          </cell>
          <cell r="D431">
            <v>25</v>
          </cell>
          <cell r="E431" t="str">
            <v>m2</v>
          </cell>
          <cell r="F431">
            <v>3509000.0000000005</v>
          </cell>
          <cell r="G431">
            <v>25</v>
          </cell>
          <cell r="H431">
            <v>25</v>
          </cell>
        </row>
        <row r="432">
          <cell r="B432">
            <v>25</v>
          </cell>
          <cell r="C432" t="str">
            <v>Kết cấu chống nóng</v>
          </cell>
          <cell r="D432">
            <v>25</v>
          </cell>
          <cell r="E432">
            <v>25</v>
          </cell>
          <cell r="F432">
            <v>25</v>
          </cell>
          <cell r="G432">
            <v>25</v>
          </cell>
          <cell r="H432">
            <v>25</v>
          </cell>
        </row>
        <row r="433">
          <cell r="B433" t="str">
            <v>Chống nóng mái Fibroximang</v>
          </cell>
          <cell r="C433" t="str">
            <v>Chống nóng mái bằng tấm fibroximang</v>
          </cell>
          <cell r="D433">
            <v>25</v>
          </cell>
          <cell r="E433" t="str">
            <v>m2</v>
          </cell>
          <cell r="F433">
            <v>86900</v>
          </cell>
          <cell r="G433">
            <v>25</v>
          </cell>
          <cell r="H433">
            <v>25</v>
          </cell>
        </row>
        <row r="434">
          <cell r="B434" t="str">
            <v>Chống nóng mái tôn</v>
          </cell>
          <cell r="C434" t="str">
            <v>Chống nóng mái bằng tôn mạ màu</v>
          </cell>
          <cell r="D434">
            <v>25</v>
          </cell>
          <cell r="E434" t="str">
            <v>m2</v>
          </cell>
          <cell r="F434">
            <v>269500</v>
          </cell>
          <cell r="G434">
            <v>25</v>
          </cell>
          <cell r="H434">
            <v>25</v>
          </cell>
        </row>
        <row r="435">
          <cell r="B435">
            <v>25</v>
          </cell>
          <cell r="C435" t="str">
            <v>Thiết bị nước, thiết bị vệ sinh</v>
          </cell>
          <cell r="D435">
            <v>25</v>
          </cell>
          <cell r="E435">
            <v>25</v>
          </cell>
          <cell r="F435">
            <v>25</v>
          </cell>
          <cell r="G435">
            <v>25</v>
          </cell>
          <cell r="H435">
            <v>25</v>
          </cell>
        </row>
        <row r="436">
          <cell r="B436" t="str">
            <v>Tiểu nam</v>
          </cell>
          <cell r="C436" t="str">
            <v>Tiểu nam</v>
          </cell>
          <cell r="D436">
            <v>25</v>
          </cell>
          <cell r="E436" t="str">
            <v>bộ</v>
          </cell>
          <cell r="F436">
            <v>486750.00000000006</v>
          </cell>
          <cell r="G436">
            <v>10</v>
          </cell>
          <cell r="H436">
            <v>0.8</v>
          </cell>
        </row>
        <row r="437">
          <cell r="B437" t="str">
            <v>Sen vòi</v>
          </cell>
          <cell r="C437" t="str">
            <v>Sen vòi</v>
          </cell>
          <cell r="D437">
            <v>0.79999971389770508</v>
          </cell>
          <cell r="E437" t="str">
            <v>bộ</v>
          </cell>
          <cell r="F437">
            <v>1750000</v>
          </cell>
          <cell r="G437">
            <v>10</v>
          </cell>
          <cell r="H437">
            <v>0.8</v>
          </cell>
        </row>
        <row r="438">
          <cell r="B438" t="str">
            <v>Téc nhựa đứng 500L</v>
          </cell>
          <cell r="C438" t="str">
            <v>Téc nhựa đứng 500L</v>
          </cell>
          <cell r="D438">
            <v>0.79999971389770508</v>
          </cell>
          <cell r="E438" t="str">
            <v>cái</v>
          </cell>
          <cell r="F438">
            <v>1969000.0000000002</v>
          </cell>
          <cell r="G438">
            <v>10</v>
          </cell>
          <cell r="H438">
            <v>0.2</v>
          </cell>
        </row>
        <row r="439">
          <cell r="B439" t="str">
            <v>Téc nhựa đứng 1000L</v>
          </cell>
          <cell r="C439" t="str">
            <v>Téc nhựa đứng 1000L</v>
          </cell>
          <cell r="D439">
            <v>0.19999992847442627</v>
          </cell>
          <cell r="E439" t="str">
            <v>cái</v>
          </cell>
          <cell r="F439">
            <v>3329000</v>
          </cell>
          <cell r="G439">
            <v>10</v>
          </cell>
          <cell r="H439">
            <v>0.2</v>
          </cell>
        </row>
        <row r="440">
          <cell r="B440" t="str">
            <v>Téc nhựa đứng 1500L</v>
          </cell>
          <cell r="C440" t="str">
            <v>Téc nhựa đứng 1500L</v>
          </cell>
          <cell r="D440">
            <v>0.19999992847442627</v>
          </cell>
          <cell r="E440" t="str">
            <v>cái</v>
          </cell>
          <cell r="F440">
            <v>5049000</v>
          </cell>
          <cell r="G440">
            <v>10</v>
          </cell>
          <cell r="H440">
            <v>0.2</v>
          </cell>
        </row>
        <row r="441">
          <cell r="B441" t="str">
            <v>Téc nhựa đứng 2000L</v>
          </cell>
          <cell r="C441" t="str">
            <v>Téc nhựa đứng 2000L</v>
          </cell>
          <cell r="D441">
            <v>0.19999992847442627</v>
          </cell>
          <cell r="E441" t="str">
            <v>cái</v>
          </cell>
          <cell r="F441">
            <v>6559000</v>
          </cell>
          <cell r="G441">
            <v>10</v>
          </cell>
          <cell r="H441">
            <v>0.2</v>
          </cell>
        </row>
        <row r="442">
          <cell r="B442" t="str">
            <v>Téc nhựa ngang 500L</v>
          </cell>
          <cell r="C442" t="str">
            <v>Téc nhựa ngang 500L</v>
          </cell>
          <cell r="D442">
            <v>0.19999992847442627</v>
          </cell>
          <cell r="E442" t="str">
            <v>cái</v>
          </cell>
          <cell r="F442">
            <v>2049000</v>
          </cell>
          <cell r="G442">
            <v>10</v>
          </cell>
          <cell r="H442">
            <v>0.2</v>
          </cell>
        </row>
        <row r="443">
          <cell r="B443" t="str">
            <v>Téc nhựa ngang 1000L</v>
          </cell>
          <cell r="C443" t="str">
            <v>Téc nhựa ngang 1000L</v>
          </cell>
          <cell r="D443">
            <v>0.19999992847442627</v>
          </cell>
          <cell r="E443" t="str">
            <v>cái</v>
          </cell>
          <cell r="F443">
            <v>3928999.8000000003</v>
          </cell>
          <cell r="G443">
            <v>10</v>
          </cell>
          <cell r="H443">
            <v>0.2</v>
          </cell>
        </row>
        <row r="444">
          <cell r="B444" t="str">
            <v>Téc nhựa ngang 1500L</v>
          </cell>
          <cell r="C444" t="str">
            <v>Téc nhựa ngang 1500L</v>
          </cell>
          <cell r="D444">
            <v>0.19999992847442627</v>
          </cell>
          <cell r="E444" t="str">
            <v>cái</v>
          </cell>
          <cell r="F444">
            <v>6149000.0000000009</v>
          </cell>
          <cell r="G444">
            <v>10</v>
          </cell>
          <cell r="H444">
            <v>0.2</v>
          </cell>
        </row>
        <row r="445">
          <cell r="B445" t="str">
            <v>Téc nhựa ngang 2000L</v>
          </cell>
          <cell r="C445" t="str">
            <v>Téc nhựa ngang 2000L</v>
          </cell>
          <cell r="D445">
            <v>0.19999992847442627</v>
          </cell>
          <cell r="E445" t="str">
            <v>cái</v>
          </cell>
          <cell r="F445">
            <v>7959000</v>
          </cell>
          <cell r="G445">
            <v>10</v>
          </cell>
          <cell r="H445">
            <v>0.2</v>
          </cell>
        </row>
        <row r="446">
          <cell r="B446" t="str">
            <v>Téc Inox đứng 500L</v>
          </cell>
          <cell r="C446" t="str">
            <v>Téc inox đứng 500L</v>
          </cell>
          <cell r="D446">
            <v>0.19999992847442627</v>
          </cell>
          <cell r="E446" t="str">
            <v>cái</v>
          </cell>
          <cell r="F446">
            <v>2789000</v>
          </cell>
          <cell r="G446">
            <v>10</v>
          </cell>
          <cell r="H446">
            <v>0.2</v>
          </cell>
        </row>
        <row r="447">
          <cell r="B447" t="str">
            <v>Téc Inox đứng 1000L</v>
          </cell>
          <cell r="C447" t="str">
            <v>Téc inox đứng 1000L</v>
          </cell>
          <cell r="D447">
            <v>0.19999992847442627</v>
          </cell>
          <cell r="E447" t="str">
            <v>cái</v>
          </cell>
          <cell r="F447">
            <v>4619000</v>
          </cell>
          <cell r="G447">
            <v>10</v>
          </cell>
          <cell r="H447">
            <v>0.2</v>
          </cell>
        </row>
        <row r="448">
          <cell r="B448" t="str">
            <v>Téc Inox đứng 1500L</v>
          </cell>
          <cell r="C448" t="str">
            <v>Téc inox đứng 1500L</v>
          </cell>
          <cell r="D448">
            <v>0.19999992847442627</v>
          </cell>
          <cell r="E448" t="str">
            <v>cái</v>
          </cell>
          <cell r="F448">
            <v>7079000</v>
          </cell>
          <cell r="G448">
            <v>10</v>
          </cell>
          <cell r="H448">
            <v>0.2</v>
          </cell>
        </row>
        <row r="449">
          <cell r="B449" t="str">
            <v>Téc Inox đứng 2000L</v>
          </cell>
          <cell r="C449" t="str">
            <v>Téc inox đứng 2000L</v>
          </cell>
          <cell r="D449">
            <v>0.19999992847442627</v>
          </cell>
          <cell r="E449" t="str">
            <v>cái</v>
          </cell>
          <cell r="F449">
            <v>9239000</v>
          </cell>
          <cell r="G449">
            <v>10</v>
          </cell>
          <cell r="H449">
            <v>0.2</v>
          </cell>
        </row>
        <row r="450">
          <cell r="B450" t="str">
            <v>Téc Inox ngang 500L</v>
          </cell>
          <cell r="C450" t="str">
            <v>Téc inox ngang 500L</v>
          </cell>
          <cell r="D450">
            <v>0.19999992847442627</v>
          </cell>
          <cell r="E450" t="str">
            <v>cái</v>
          </cell>
          <cell r="F450">
            <v>2939000</v>
          </cell>
          <cell r="G450">
            <v>10</v>
          </cell>
          <cell r="H450">
            <v>0.2</v>
          </cell>
        </row>
        <row r="451">
          <cell r="B451" t="str">
            <v>Téc Inox ngang 1000L</v>
          </cell>
          <cell r="C451" t="str">
            <v>Téc inox ngang 1000L</v>
          </cell>
          <cell r="D451">
            <v>0.19999992847442627</v>
          </cell>
          <cell r="E451" t="str">
            <v>cái</v>
          </cell>
          <cell r="F451">
            <v>4819000</v>
          </cell>
          <cell r="G451">
            <v>10</v>
          </cell>
          <cell r="H451">
            <v>0.2</v>
          </cell>
        </row>
        <row r="452">
          <cell r="B452" t="str">
            <v>Téc Inox ngang 1500L</v>
          </cell>
          <cell r="C452" t="str">
            <v>Téc inox ngang 1500L</v>
          </cell>
          <cell r="D452">
            <v>0.19999992847442627</v>
          </cell>
          <cell r="E452" t="str">
            <v>cái</v>
          </cell>
          <cell r="F452">
            <v>7329000</v>
          </cell>
          <cell r="G452">
            <v>10</v>
          </cell>
          <cell r="H452">
            <v>0.2</v>
          </cell>
        </row>
        <row r="453">
          <cell r="B453" t="str">
            <v>Téc Inox ngang 2000L</v>
          </cell>
          <cell r="C453" t="str">
            <v>Téc inox ngang 2000L</v>
          </cell>
          <cell r="D453">
            <v>0.19999992847442627</v>
          </cell>
          <cell r="E453" t="str">
            <v>cái</v>
          </cell>
          <cell r="F453">
            <v>9589000</v>
          </cell>
          <cell r="G453">
            <v>10</v>
          </cell>
          <cell r="H453">
            <v>0.2</v>
          </cell>
        </row>
        <row r="454">
          <cell r="B454" t="str">
            <v>MÁI</v>
          </cell>
          <cell r="C454">
            <v>0.19999992847442627</v>
          </cell>
          <cell r="D454">
            <v>0.19999992847442627</v>
          </cell>
          <cell r="E454">
            <v>0.19999992847442627</v>
          </cell>
          <cell r="F454">
            <v>0.19999992847442627</v>
          </cell>
          <cell r="G454">
            <v>0.19999992847442627</v>
          </cell>
          <cell r="H454">
            <v>0.19999992847442627</v>
          </cell>
        </row>
        <row r="455">
          <cell r="B455" t="str">
            <v>Mái ngói 01</v>
          </cell>
          <cell r="C455" t="str">
            <v>Mái ngói đỏ Hạ Long (22v/m2)</v>
          </cell>
          <cell r="D455">
            <v>0.19999992847442627</v>
          </cell>
          <cell r="E455" t="str">
            <v>m2</v>
          </cell>
          <cell r="F455">
            <v>275396.00000000006</v>
          </cell>
          <cell r="G455">
            <v>25</v>
          </cell>
          <cell r="H455">
            <v>0.8</v>
          </cell>
        </row>
        <row r="456">
          <cell r="B456" t="str">
            <v>Mái ngói 02</v>
          </cell>
          <cell r="C456" t="str">
            <v>Mái ngói mũi hài Hạ Long (85v/m2)</v>
          </cell>
          <cell r="D456">
            <v>0.79999971389770508</v>
          </cell>
          <cell r="E456" t="str">
            <v>m2</v>
          </cell>
          <cell r="F456">
            <v>319770</v>
          </cell>
          <cell r="G456">
            <v>25</v>
          </cell>
          <cell r="H456">
            <v>0.8</v>
          </cell>
        </row>
        <row r="457">
          <cell r="B457">
            <v>0.79999971389770508</v>
          </cell>
          <cell r="C457" t="str">
            <v>Cột tuýp</v>
          </cell>
          <cell r="D457">
            <v>0.79999971389770508</v>
          </cell>
          <cell r="E457">
            <v>0.79999971389770508</v>
          </cell>
          <cell r="F457">
            <v>0.79999971389770508</v>
          </cell>
          <cell r="G457">
            <v>0.79999971389770508</v>
          </cell>
          <cell r="H457">
            <v>0.79999971389770508</v>
          </cell>
        </row>
        <row r="458">
          <cell r="B458" t="str">
            <v>Tuyp21</v>
          </cell>
          <cell r="C458" t="str">
            <v>Cột tuýp ɸ21 dày 1.8mm</v>
          </cell>
          <cell r="D458">
            <v>0.79999971389770508</v>
          </cell>
          <cell r="E458" t="str">
            <v>kg</v>
          </cell>
          <cell r="F458">
            <v>37180</v>
          </cell>
          <cell r="G458">
            <v>37180</v>
          </cell>
          <cell r="H458">
            <v>0.2</v>
          </cell>
          <cell r="I458">
            <v>0.9073</v>
          </cell>
        </row>
        <row r="459">
          <cell r="B459" t="str">
            <v>Tuyp27</v>
          </cell>
          <cell r="C459" t="str">
            <v>Cột tuýp ɸ27 dày 1.8mm</v>
          </cell>
          <cell r="D459">
            <v>0.90729999542236328</v>
          </cell>
          <cell r="E459" t="str">
            <v>kg</v>
          </cell>
          <cell r="F459">
            <v>37180</v>
          </cell>
          <cell r="G459">
            <v>37180</v>
          </cell>
          <cell r="H459">
            <v>0.2</v>
          </cell>
          <cell r="I459">
            <v>1.173</v>
          </cell>
        </row>
        <row r="460">
          <cell r="B460" t="str">
            <v>Tuyp34</v>
          </cell>
          <cell r="C460" t="str">
            <v>Cột tuýp ɸ34 dày 1.8mm</v>
          </cell>
          <cell r="D460">
            <v>1.172999382019043</v>
          </cell>
          <cell r="E460" t="str">
            <v>kg</v>
          </cell>
          <cell r="F460">
            <v>37180</v>
          </cell>
          <cell r="G460">
            <v>37180</v>
          </cell>
          <cell r="H460">
            <v>0.2</v>
          </cell>
          <cell r="I460">
            <v>1.484</v>
          </cell>
        </row>
        <row r="461">
          <cell r="B461" t="str">
            <v>Tuyp42</v>
          </cell>
          <cell r="C461" t="str">
            <v>Cột tuýp ɸ42 dày 1.8mm</v>
          </cell>
          <cell r="D461">
            <v>1.4839992523193359</v>
          </cell>
          <cell r="E461" t="str">
            <v>kg</v>
          </cell>
          <cell r="F461">
            <v>37180</v>
          </cell>
          <cell r="G461">
            <v>37180</v>
          </cell>
          <cell r="H461">
            <v>0.2</v>
          </cell>
          <cell r="I461">
            <v>1.839</v>
          </cell>
        </row>
        <row r="462">
          <cell r="B462" t="str">
            <v>Tuyp48</v>
          </cell>
          <cell r="C462" t="str">
            <v>Cột tuýp ɸ48 dày 1.8mm</v>
          </cell>
          <cell r="D462">
            <v>1.8389997482299805</v>
          </cell>
          <cell r="E462" t="str">
            <v>kg</v>
          </cell>
          <cell r="F462">
            <v>36960</v>
          </cell>
          <cell r="G462">
            <v>36960</v>
          </cell>
          <cell r="H462">
            <v>0.2</v>
          </cell>
          <cell r="I462">
            <v>2.15</v>
          </cell>
        </row>
        <row r="463">
          <cell r="B463" t="str">
            <v>Tuyp60</v>
          </cell>
          <cell r="C463" t="str">
            <v>Cột tuýp ɸ60 dày 1.8mm</v>
          </cell>
          <cell r="D463">
            <v>2.1499996185302734</v>
          </cell>
          <cell r="E463" t="str">
            <v>kg</v>
          </cell>
          <cell r="F463">
            <v>36960</v>
          </cell>
          <cell r="G463">
            <v>36960</v>
          </cell>
          <cell r="H463">
            <v>0.2</v>
          </cell>
          <cell r="I463">
            <v>2.6379999999999999</v>
          </cell>
        </row>
        <row r="464">
          <cell r="B464" t="str">
            <v>Tuyp76</v>
          </cell>
          <cell r="C464" t="str">
            <v>Cột tuýp ɸ76 dày1.8mm</v>
          </cell>
          <cell r="D464">
            <v>2.6379985809326172</v>
          </cell>
          <cell r="E464" t="str">
            <v>kg</v>
          </cell>
          <cell r="F464">
            <v>36960</v>
          </cell>
          <cell r="G464">
            <v>36960</v>
          </cell>
          <cell r="H464">
            <v>0.2</v>
          </cell>
          <cell r="I464">
            <v>3.8085</v>
          </cell>
        </row>
        <row r="465">
          <cell r="B465" t="str">
            <v>Tuyp90</v>
          </cell>
          <cell r="C465" t="str">
            <v>Cột tuýp ɸ90 dày 1.8mm</v>
          </cell>
          <cell r="D465">
            <v>3.8084983825683594</v>
          </cell>
          <cell r="E465" t="str">
            <v>kg</v>
          </cell>
          <cell r="F465">
            <v>36960</v>
          </cell>
          <cell r="G465">
            <v>36960</v>
          </cell>
          <cell r="H465">
            <v>0.2</v>
          </cell>
          <cell r="I465">
            <v>4.4664999999999999</v>
          </cell>
        </row>
        <row r="466">
          <cell r="B466" t="str">
            <v>Sắt hộp</v>
          </cell>
          <cell r="C466">
            <v>4.4664993286132813</v>
          </cell>
          <cell r="D466">
            <v>4.4664993286132813</v>
          </cell>
          <cell r="E466" t="str">
            <v>kg</v>
          </cell>
          <cell r="F466">
            <v>29590.000000000004</v>
          </cell>
          <cell r="G466">
            <v>29590</v>
          </cell>
          <cell r="H466">
            <v>0.2</v>
          </cell>
        </row>
        <row r="467">
          <cell r="B467">
            <v>0.19999992847442627</v>
          </cell>
          <cell r="C467" t="str">
            <v>Ống nước</v>
          </cell>
          <cell r="D467">
            <v>0.19999992847442627</v>
          </cell>
          <cell r="E467">
            <v>0.19999992847442627</v>
          </cell>
          <cell r="F467">
            <v>0.19999992847442627</v>
          </cell>
          <cell r="G467">
            <v>0.19999992847442627</v>
          </cell>
          <cell r="H467">
            <v>0.19999992847442627</v>
          </cell>
        </row>
        <row r="468">
          <cell r="B468" t="str">
            <v>PVCD27</v>
          </cell>
          <cell r="C468" t="str">
            <v>Ống thoát nước PVC D27 Pn10</v>
          </cell>
          <cell r="D468">
            <v>0.19999992847442627</v>
          </cell>
          <cell r="E468" t="str">
            <v>m</v>
          </cell>
          <cell r="F468">
            <v>13999.7</v>
          </cell>
          <cell r="G468">
            <v>13999.6953125</v>
          </cell>
          <cell r="H468">
            <v>0.8</v>
          </cell>
        </row>
        <row r="469">
          <cell r="B469" t="str">
            <v>PVCD34</v>
          </cell>
          <cell r="C469" t="str">
            <v>Ống thoát nước PVC D34 Pn10</v>
          </cell>
          <cell r="D469">
            <v>0.79999971389770508</v>
          </cell>
          <cell r="E469" t="str">
            <v>m</v>
          </cell>
          <cell r="F469">
            <v>21499.5</v>
          </cell>
          <cell r="G469">
            <v>21499.5</v>
          </cell>
          <cell r="H469">
            <v>0.8</v>
          </cell>
        </row>
        <row r="470">
          <cell r="B470" t="str">
            <v>PVCD48</v>
          </cell>
          <cell r="C470" t="str">
            <v>Ống thoát nước PVC D48 Pn10</v>
          </cell>
          <cell r="D470">
            <v>0.79999971389770508</v>
          </cell>
          <cell r="E470" t="str">
            <v>m</v>
          </cell>
          <cell r="F470">
            <v>40199.5</v>
          </cell>
          <cell r="G470">
            <v>40199.5</v>
          </cell>
          <cell r="H470">
            <v>0.8</v>
          </cell>
        </row>
        <row r="471">
          <cell r="B471" t="str">
            <v>PVCD110</v>
          </cell>
          <cell r="C471" t="str">
            <v>Ống thoát nước PVC D110 Pn10</v>
          </cell>
          <cell r="D471">
            <v>0.79999971389770508</v>
          </cell>
          <cell r="E471" t="str">
            <v>m</v>
          </cell>
          <cell r="F471">
            <v>182099.50000000003</v>
          </cell>
          <cell r="G471">
            <v>182099.5</v>
          </cell>
          <cell r="H471">
            <v>0.8</v>
          </cell>
        </row>
        <row r="472">
          <cell r="B472">
            <v>0.79999971389770508</v>
          </cell>
          <cell r="C472" t="str">
            <v>Dây điện</v>
          </cell>
          <cell r="D472">
            <v>0.79999971389770508</v>
          </cell>
          <cell r="E472">
            <v>0.79999971389770508</v>
          </cell>
          <cell r="F472">
            <v>0.79999971389770508</v>
          </cell>
          <cell r="G472">
            <v>0.79999971389770508</v>
          </cell>
          <cell r="H472">
            <v>0.79999971389770508</v>
          </cell>
        </row>
        <row r="473">
          <cell r="B473" t="str">
            <v>DĐ 2x2,5mm</v>
          </cell>
          <cell r="C473" t="str">
            <v>Dây điện 2x2,5mm</v>
          </cell>
          <cell r="D473">
            <v>0.79999971389770508</v>
          </cell>
          <cell r="E473" t="str">
            <v>m</v>
          </cell>
          <cell r="F473">
            <v>20403</v>
          </cell>
          <cell r="G473">
            <v>20403</v>
          </cell>
          <cell r="H473">
            <v>0.2</v>
          </cell>
        </row>
        <row r="474">
          <cell r="B474" t="str">
            <v>DĐ an90</v>
          </cell>
          <cell r="C474" t="str">
            <v>Dây điện AN90</v>
          </cell>
          <cell r="D474">
            <v>0.19999992847442627</v>
          </cell>
          <cell r="E474" t="str">
            <v>m</v>
          </cell>
          <cell r="F474">
            <v>81010</v>
          </cell>
          <cell r="G474">
            <v>81010</v>
          </cell>
          <cell r="H474">
            <v>0.2</v>
          </cell>
        </row>
        <row r="475">
          <cell r="B475" t="str">
            <v>DĐ ac90</v>
          </cell>
          <cell r="C475" t="str">
            <v>Dây điện AC90</v>
          </cell>
          <cell r="D475">
            <v>0.19999992847442627</v>
          </cell>
          <cell r="E475" t="str">
            <v>m</v>
          </cell>
          <cell r="F475">
            <v>81010</v>
          </cell>
          <cell r="G475">
            <v>81010</v>
          </cell>
          <cell r="H475">
            <v>0.2</v>
          </cell>
        </row>
        <row r="476">
          <cell r="B476">
            <v>0.19999992847442627</v>
          </cell>
          <cell r="C476" t="str">
            <v>Khác</v>
          </cell>
          <cell r="D476">
            <v>0.19999992847442627</v>
          </cell>
          <cell r="E476">
            <v>0.19999992847442627</v>
          </cell>
          <cell r="F476">
            <v>0.19999992847442627</v>
          </cell>
          <cell r="G476">
            <v>0.19999992847442627</v>
          </cell>
          <cell r="H476">
            <v>0.19999992847442627</v>
          </cell>
        </row>
        <row r="477">
          <cell r="B477" t="str">
            <v>Gác xép WC mái BTCT</v>
          </cell>
          <cell r="C477" t="str">
            <v>Gác xép nhà vệ sinh mái BTCT</v>
          </cell>
          <cell r="D477">
            <v>0.19999992847442627</v>
          </cell>
          <cell r="E477" t="str">
            <v>m2</v>
          </cell>
          <cell r="F477">
            <v>1847450.0000000002</v>
          </cell>
          <cell r="G477">
            <v>25</v>
          </cell>
          <cell r="H477">
            <v>0.8</v>
          </cell>
        </row>
        <row r="478">
          <cell r="B478" t="str">
            <v>Tôn quây</v>
          </cell>
          <cell r="C478" t="str">
            <v>Tôn quây EK106 (6 sóng) dày 0,4mm</v>
          </cell>
          <cell r="D478">
            <v>0.79999971389770508</v>
          </cell>
          <cell r="E478" t="str">
            <v>m2</v>
          </cell>
          <cell r="F478">
            <v>135999.6</v>
          </cell>
          <cell r="G478">
            <v>135999.5</v>
          </cell>
          <cell r="H478">
            <v>0.8</v>
          </cell>
        </row>
        <row r="479">
          <cell r="B479" t="str">
            <v>Dây thép gai</v>
          </cell>
          <cell r="C479" t="str">
            <v>Dây thép gai</v>
          </cell>
          <cell r="D479">
            <v>0.79999971389770508</v>
          </cell>
          <cell r="E479" t="str">
            <v>kg</v>
          </cell>
          <cell r="F479">
            <v>16357.000000000002</v>
          </cell>
          <cell r="G479">
            <v>10</v>
          </cell>
          <cell r="H479">
            <v>0.8</v>
          </cell>
        </row>
        <row r="480">
          <cell r="B480" t="str">
            <v>CỐNG</v>
          </cell>
          <cell r="C480" t="str">
            <v>Cống tròn rung ép</v>
          </cell>
          <cell r="D480">
            <v>0.79999971389770508</v>
          </cell>
          <cell r="E480">
            <v>0.79999971389770508</v>
          </cell>
          <cell r="F480">
            <v>0.79999971389770508</v>
          </cell>
          <cell r="G480">
            <v>0.79999971389770508</v>
          </cell>
          <cell r="H480">
            <v>0.79999971389770508</v>
          </cell>
        </row>
        <row r="481">
          <cell r="B481" t="str">
            <v>Cống D300</v>
          </cell>
          <cell r="C481" t="str">
            <v>Cống D300 M300</v>
          </cell>
          <cell r="D481">
            <v>0.79999971389770508</v>
          </cell>
          <cell r="E481" t="str">
            <v>m</v>
          </cell>
          <cell r="F481">
            <v>311300</v>
          </cell>
          <cell r="G481">
            <v>311300</v>
          </cell>
          <cell r="H481">
            <v>0.8</v>
          </cell>
        </row>
        <row r="482">
          <cell r="B482" t="str">
            <v>Cống D400</v>
          </cell>
          <cell r="C482" t="str">
            <v>Cống D400 M300</v>
          </cell>
          <cell r="D482">
            <v>0.79999971389770508</v>
          </cell>
          <cell r="E482" t="str">
            <v>m</v>
          </cell>
          <cell r="F482">
            <v>344300</v>
          </cell>
          <cell r="G482">
            <v>344300</v>
          </cell>
          <cell r="H482">
            <v>0.8</v>
          </cell>
        </row>
        <row r="483">
          <cell r="B483" t="str">
            <v>Cống D500</v>
          </cell>
          <cell r="C483" t="str">
            <v>Cống D500 M300</v>
          </cell>
          <cell r="D483">
            <v>0.79999971389770508</v>
          </cell>
          <cell r="E483" t="str">
            <v>m</v>
          </cell>
          <cell r="F483">
            <v>513700.00000000006</v>
          </cell>
          <cell r="G483">
            <v>513700</v>
          </cell>
          <cell r="H483">
            <v>0.8</v>
          </cell>
        </row>
        <row r="484">
          <cell r="B484" t="str">
            <v>Cống D600</v>
          </cell>
          <cell r="C484" t="str">
            <v>Cống D600 M300</v>
          </cell>
          <cell r="D484">
            <v>0.79999971389770508</v>
          </cell>
          <cell r="E484" t="str">
            <v>m</v>
          </cell>
          <cell r="F484">
            <v>586300</v>
          </cell>
          <cell r="G484">
            <v>586300</v>
          </cell>
          <cell r="H484">
            <v>0.8</v>
          </cell>
        </row>
        <row r="485">
          <cell r="B485" t="str">
            <v>Cống D800</v>
          </cell>
          <cell r="C485" t="str">
            <v>Cống D800 M300</v>
          </cell>
          <cell r="D485">
            <v>0.79999971389770508</v>
          </cell>
          <cell r="E485" t="str">
            <v>m</v>
          </cell>
          <cell r="F485">
            <v>1075800</v>
          </cell>
          <cell r="G485">
            <v>1075800</v>
          </cell>
          <cell r="H485">
            <v>0.8</v>
          </cell>
        </row>
        <row r="486">
          <cell r="B486" t="str">
            <v>Cống D1000</v>
          </cell>
          <cell r="C486" t="str">
            <v>Cống D1000 M300</v>
          </cell>
          <cell r="D486">
            <v>0.79999971389770508</v>
          </cell>
          <cell r="E486" t="str">
            <v>m</v>
          </cell>
          <cell r="F486">
            <v>1461900.0000000002</v>
          </cell>
          <cell r="G486">
            <v>1461900</v>
          </cell>
          <cell r="H486">
            <v>0.8</v>
          </cell>
        </row>
        <row r="487">
          <cell r="B487" t="str">
            <v>Cống D1250</v>
          </cell>
          <cell r="C487" t="str">
            <v>Cống D1250 M300</v>
          </cell>
          <cell r="D487">
            <v>0.79999971389770508</v>
          </cell>
          <cell r="E487" t="str">
            <v>m</v>
          </cell>
          <cell r="F487">
            <v>2281400</v>
          </cell>
          <cell r="G487">
            <v>2281400</v>
          </cell>
          <cell r="H487">
            <v>0.8</v>
          </cell>
        </row>
        <row r="488">
          <cell r="C488">
            <v>0.79999971389770508</v>
          </cell>
          <cell r="D488">
            <v>0.79999971389770508</v>
          </cell>
          <cell r="E488">
            <v>0.79999971389770508</v>
          </cell>
          <cell r="F488">
            <v>0.79999971389770508</v>
          </cell>
          <cell r="G488">
            <v>0.79999971389770508</v>
          </cell>
          <cell r="H488">
            <v>0.79999971389770508</v>
          </cell>
        </row>
        <row r="489">
          <cell r="C489">
            <v>0.79999971389770508</v>
          </cell>
          <cell r="D489">
            <v>0.79999971389770508</v>
          </cell>
          <cell r="E489">
            <v>0.79999971389770508</v>
          </cell>
          <cell r="F489">
            <v>0.79999971389770508</v>
          </cell>
          <cell r="G489">
            <v>0.79999971389770508</v>
          </cell>
          <cell r="H489">
            <v>0.79999971389770508</v>
          </cell>
        </row>
        <row r="490">
          <cell r="C490">
            <v>0.79999971389770508</v>
          </cell>
          <cell r="D490">
            <v>0.79999971389770508</v>
          </cell>
          <cell r="E490">
            <v>0.79999971389770508</v>
          </cell>
          <cell r="F490">
            <v>0.79999971389770508</v>
          </cell>
          <cell r="G490">
            <v>0.79999971389770508</v>
          </cell>
          <cell r="H490">
            <v>0.79999971389770508</v>
          </cell>
        </row>
        <row r="491">
          <cell r="C491">
            <v>0.79999971389770508</v>
          </cell>
          <cell r="D491">
            <v>0.79999971389770508</v>
          </cell>
          <cell r="E491">
            <v>0.79999971389770508</v>
          </cell>
          <cell r="F491">
            <v>0.79999971389770508</v>
          </cell>
          <cell r="G491">
            <v>0.79999971389770508</v>
          </cell>
          <cell r="H491">
            <v>0.79999971389770508</v>
          </cell>
        </row>
        <row r="492">
          <cell r="C492">
            <v>0.79999971389770508</v>
          </cell>
          <cell r="D492">
            <v>0.79999971389770508</v>
          </cell>
          <cell r="E492">
            <v>0.79999971389770508</v>
          </cell>
          <cell r="F492">
            <v>0.79999971389770508</v>
          </cell>
          <cell r="G492">
            <v>0.79999971389770508</v>
          </cell>
          <cell r="H492">
            <v>0.79999971389770508</v>
          </cell>
        </row>
        <row r="493">
          <cell r="C493">
            <v>0.79999971389770508</v>
          </cell>
          <cell r="D493">
            <v>0.79999971389770508</v>
          </cell>
          <cell r="E493">
            <v>0.79999971389770508</v>
          </cell>
          <cell r="F493">
            <v>0.79999971389770508</v>
          </cell>
          <cell r="G493">
            <v>0.79999971389770508</v>
          </cell>
          <cell r="H493">
            <v>0.79999971389770508</v>
          </cell>
        </row>
        <row r="494">
          <cell r="C494">
            <v>0.79999971389770508</v>
          </cell>
          <cell r="D494">
            <v>0.79999971389770508</v>
          </cell>
          <cell r="E494">
            <v>0.79999971389770508</v>
          </cell>
          <cell r="F494">
            <v>0.79999971389770508</v>
          </cell>
          <cell r="G494">
            <v>0.79999971389770508</v>
          </cell>
          <cell r="H494">
            <v>0.79999971389770508</v>
          </cell>
        </row>
        <row r="495">
          <cell r="C495">
            <v>0.79999971389770508</v>
          </cell>
          <cell r="D495">
            <v>0.79999971389770508</v>
          </cell>
          <cell r="E495">
            <v>0.79999971389770508</v>
          </cell>
          <cell r="F495">
            <v>0.79999971389770508</v>
          </cell>
          <cell r="G495">
            <v>0.79999971389770508</v>
          </cell>
          <cell r="H495">
            <v>0.79999971389770508</v>
          </cell>
        </row>
        <row r="496">
          <cell r="C496">
            <v>0.79999971389770508</v>
          </cell>
          <cell r="D496">
            <v>0.79999971389770508</v>
          </cell>
          <cell r="E496">
            <v>0.79999971389770508</v>
          </cell>
          <cell r="F496">
            <v>0.79999971389770508</v>
          </cell>
          <cell r="G496">
            <v>0.79999971389770508</v>
          </cell>
          <cell r="H496">
            <v>0.79999971389770508</v>
          </cell>
        </row>
        <row r="497">
          <cell r="C497">
            <v>0.79999971389770508</v>
          </cell>
          <cell r="D497">
            <v>0.79999971389770508</v>
          </cell>
          <cell r="E497">
            <v>0.79999971389770508</v>
          </cell>
          <cell r="F497">
            <v>0.79999971389770508</v>
          </cell>
          <cell r="G497">
            <v>0.79999971389770508</v>
          </cell>
          <cell r="H497">
            <v>0.79999971389770508</v>
          </cell>
        </row>
        <row r="498">
          <cell r="C498">
            <v>0.79999971389770508</v>
          </cell>
          <cell r="D498">
            <v>0.79999971389770508</v>
          </cell>
          <cell r="E498">
            <v>0.79999971389770508</v>
          </cell>
          <cell r="F498">
            <v>0.79999971389770508</v>
          </cell>
          <cell r="G498">
            <v>0.79999971389770508</v>
          </cell>
          <cell r="H498">
            <v>0.79999971389770508</v>
          </cell>
        </row>
        <row r="499">
          <cell r="C499">
            <v>0.79999971389770508</v>
          </cell>
          <cell r="D499">
            <v>0.79999971389770508</v>
          </cell>
          <cell r="E499">
            <v>0.79999971389770508</v>
          </cell>
          <cell r="F499">
            <v>0.79999971389770508</v>
          </cell>
          <cell r="G499">
            <v>0.79999971389770508</v>
          </cell>
          <cell r="H499">
            <v>0.79999971389770508</v>
          </cell>
        </row>
        <row r="500">
          <cell r="C500">
            <v>0.79999971389770508</v>
          </cell>
          <cell r="D500">
            <v>0.79999971389770508</v>
          </cell>
          <cell r="E500">
            <v>0.79999971389770508</v>
          </cell>
          <cell r="F500">
            <v>0.79999971389770508</v>
          </cell>
          <cell r="G500">
            <v>0.79999971389770508</v>
          </cell>
          <cell r="H500">
            <v>0.79999971389770508</v>
          </cell>
        </row>
        <row r="501">
          <cell r="C501">
            <v>0.79999971389770508</v>
          </cell>
          <cell r="D501">
            <v>0.79999971389770508</v>
          </cell>
          <cell r="E501">
            <v>0.79999971389770508</v>
          </cell>
          <cell r="F501">
            <v>0.79999971389770508</v>
          </cell>
          <cell r="G501">
            <v>0.79999971389770508</v>
          </cell>
          <cell r="H501">
            <v>0.79999971389770508</v>
          </cell>
        </row>
        <row r="502">
          <cell r="C502">
            <v>0.79999971389770508</v>
          </cell>
          <cell r="D502">
            <v>0.79999971389770508</v>
          </cell>
          <cell r="E502">
            <v>0.79999971389770508</v>
          </cell>
          <cell r="F502">
            <v>0.79999971389770508</v>
          </cell>
          <cell r="G502">
            <v>0.79999971389770508</v>
          </cell>
          <cell r="H502">
            <v>0.79999971389770508</v>
          </cell>
        </row>
        <row r="503">
          <cell r="C503">
            <v>0.79999971389770508</v>
          </cell>
          <cell r="D503">
            <v>0.79999971389770508</v>
          </cell>
          <cell r="E503">
            <v>0.79999971389770508</v>
          </cell>
          <cell r="F503">
            <v>0.79999971389770508</v>
          </cell>
          <cell r="G503">
            <v>0.79999971389770508</v>
          </cell>
          <cell r="H503">
            <v>0.79999971389770508</v>
          </cell>
        </row>
        <row r="504">
          <cell r="C504">
            <v>0.79999971389770508</v>
          </cell>
          <cell r="D504">
            <v>0.79999971389770508</v>
          </cell>
          <cell r="E504">
            <v>0.79999971389770508</v>
          </cell>
          <cell r="F504">
            <v>0.79999971389770508</v>
          </cell>
          <cell r="G504">
            <v>0.79999971389770508</v>
          </cell>
          <cell r="H504">
            <v>0.79999971389770508</v>
          </cell>
        </row>
        <row r="505">
          <cell r="C505">
            <v>0.79999971389770508</v>
          </cell>
          <cell r="D505">
            <v>0.79999971389770508</v>
          </cell>
          <cell r="E505">
            <v>0.79999971389770508</v>
          </cell>
          <cell r="F505">
            <v>0.79999971389770508</v>
          </cell>
          <cell r="G505">
            <v>0.79999971389770508</v>
          </cell>
          <cell r="H505">
            <v>0.79999971389770508</v>
          </cell>
        </row>
        <row r="506">
          <cell r="C506">
            <v>0.79999971389770508</v>
          </cell>
          <cell r="D506">
            <v>0.79999971389770508</v>
          </cell>
          <cell r="E506">
            <v>0.79999971389770508</v>
          </cell>
          <cell r="F506">
            <v>0.79999971389770508</v>
          </cell>
          <cell r="G506">
            <v>0.79999971389770508</v>
          </cell>
          <cell r="H506">
            <v>0.79999971389770508</v>
          </cell>
        </row>
        <row r="507">
          <cell r="C507">
            <v>0.79999971389770508</v>
          </cell>
          <cell r="D507">
            <v>0.79999971389770508</v>
          </cell>
          <cell r="E507">
            <v>0.79999971389770508</v>
          </cell>
          <cell r="F507">
            <v>0.79999971389770508</v>
          </cell>
          <cell r="G507">
            <v>0.79999971389770508</v>
          </cell>
          <cell r="H507">
            <v>0.79999971389770508</v>
          </cell>
        </row>
        <row r="508">
          <cell r="C508">
            <v>0.79999971389770508</v>
          </cell>
          <cell r="D508">
            <v>0.79999971389770508</v>
          </cell>
          <cell r="E508">
            <v>0.79999971389770508</v>
          </cell>
          <cell r="F508">
            <v>0.79999971389770508</v>
          </cell>
          <cell r="G508">
            <v>0.79999971389770508</v>
          </cell>
          <cell r="H508">
            <v>0.79999971389770508</v>
          </cell>
        </row>
        <row r="509">
          <cell r="C509">
            <v>0.79999971389770508</v>
          </cell>
          <cell r="D509">
            <v>0.79999971389770508</v>
          </cell>
          <cell r="E509">
            <v>0.79999971389770508</v>
          </cell>
          <cell r="F509">
            <v>0.79999971389770508</v>
          </cell>
          <cell r="G509">
            <v>0.79999971389770508</v>
          </cell>
          <cell r="H509">
            <v>0.79999971389770508</v>
          </cell>
        </row>
        <row r="510">
          <cell r="C510">
            <v>0.79999971389770508</v>
          </cell>
          <cell r="D510">
            <v>0.79999971389770508</v>
          </cell>
          <cell r="E510">
            <v>0.79999971389770508</v>
          </cell>
          <cell r="F510">
            <v>0.79999971389770508</v>
          </cell>
          <cell r="G510">
            <v>0.79999971389770508</v>
          </cell>
          <cell r="H510">
            <v>0.79999971389770508</v>
          </cell>
        </row>
        <row r="511">
          <cell r="C511">
            <v>0.79999971389770508</v>
          </cell>
          <cell r="D511">
            <v>0.79999971389770508</v>
          </cell>
          <cell r="E511">
            <v>0.79999971389770508</v>
          </cell>
          <cell r="F511">
            <v>0.79999971389770508</v>
          </cell>
          <cell r="G511">
            <v>0.79999971389770508</v>
          </cell>
          <cell r="H511">
            <v>0.79999971389770508</v>
          </cell>
        </row>
        <row r="512">
          <cell r="C512">
            <v>0.79999971389770508</v>
          </cell>
          <cell r="D512">
            <v>0.79999971389770508</v>
          </cell>
          <cell r="E512">
            <v>0.79999971389770508</v>
          </cell>
          <cell r="F512">
            <v>0.79999971389770508</v>
          </cell>
          <cell r="G512">
            <v>0.79999971389770508</v>
          </cell>
          <cell r="H512">
            <v>0.79999971389770508</v>
          </cell>
        </row>
        <row r="513">
          <cell r="C513">
            <v>0.79999971389770508</v>
          </cell>
          <cell r="D513">
            <v>0.79999971389770508</v>
          </cell>
          <cell r="E513">
            <v>0.79999971389770508</v>
          </cell>
          <cell r="F513">
            <v>0.79999971389770508</v>
          </cell>
          <cell r="G513">
            <v>0.79999971389770508</v>
          </cell>
          <cell r="H513">
            <v>0.79999971389770508</v>
          </cell>
        </row>
        <row r="514">
          <cell r="C514">
            <v>0.79999971389770508</v>
          </cell>
          <cell r="D514">
            <v>0.79999971389770508</v>
          </cell>
          <cell r="E514">
            <v>0.79999971389770508</v>
          </cell>
          <cell r="F514">
            <v>0.79999971389770508</v>
          </cell>
          <cell r="G514">
            <v>0.79999971389770508</v>
          </cell>
          <cell r="H514">
            <v>0.79999971389770508</v>
          </cell>
        </row>
        <row r="515">
          <cell r="C515">
            <v>0.79999971389770508</v>
          </cell>
          <cell r="D515">
            <v>0.79999971389770508</v>
          </cell>
          <cell r="E515">
            <v>0.79999971389770508</v>
          </cell>
          <cell r="F515">
            <v>0.79999971389770508</v>
          </cell>
          <cell r="G515">
            <v>0.79999971389770508</v>
          </cell>
          <cell r="H515">
            <v>0.79999971389770508</v>
          </cell>
        </row>
        <row r="516">
          <cell r="C516">
            <v>0.79999971389770508</v>
          </cell>
          <cell r="D516">
            <v>0.79999971389770508</v>
          </cell>
          <cell r="E516">
            <v>0.79999971389770508</v>
          </cell>
          <cell r="F516">
            <v>0.79999971389770508</v>
          </cell>
          <cell r="G516">
            <v>0.79999971389770508</v>
          </cell>
          <cell r="H516">
            <v>0.79999971389770508</v>
          </cell>
        </row>
        <row r="517">
          <cell r="C517">
            <v>0.79999971389770508</v>
          </cell>
          <cell r="D517">
            <v>0.79999971389770508</v>
          </cell>
          <cell r="E517">
            <v>0.79999971389770508</v>
          </cell>
          <cell r="F517">
            <v>0.79999971389770508</v>
          </cell>
          <cell r="G517">
            <v>0.79999971389770508</v>
          </cell>
          <cell r="H517">
            <v>0.79999971389770508</v>
          </cell>
        </row>
        <row r="518">
          <cell r="C518">
            <v>0.79999971389770508</v>
          </cell>
          <cell r="D518">
            <v>0.79999971389770508</v>
          </cell>
          <cell r="E518">
            <v>0.79999971389770508</v>
          </cell>
          <cell r="F518">
            <v>0.79999971389770508</v>
          </cell>
          <cell r="G518">
            <v>0.79999971389770508</v>
          </cell>
          <cell r="H518">
            <v>0.79999971389770508</v>
          </cell>
        </row>
        <row r="519">
          <cell r="C519">
            <v>0.79999971389770508</v>
          </cell>
          <cell r="D519">
            <v>0.79999971389770508</v>
          </cell>
          <cell r="E519">
            <v>0.79999971389770508</v>
          </cell>
          <cell r="F519">
            <v>0.79999971389770508</v>
          </cell>
          <cell r="G519">
            <v>0.79999971389770508</v>
          </cell>
          <cell r="H519">
            <v>0.79999971389770508</v>
          </cell>
        </row>
        <row r="520">
          <cell r="C520">
            <v>0.79999971389770508</v>
          </cell>
          <cell r="D520">
            <v>0.79999971389770508</v>
          </cell>
          <cell r="E520">
            <v>0.79999971389770508</v>
          </cell>
          <cell r="F520">
            <v>0.79999971389770508</v>
          </cell>
          <cell r="G520">
            <v>0.79999971389770508</v>
          </cell>
          <cell r="H520">
            <v>0.79999971389770508</v>
          </cell>
        </row>
        <row r="521">
          <cell r="C521">
            <v>0.79999971389770508</v>
          </cell>
          <cell r="D521">
            <v>0.79999971389770508</v>
          </cell>
          <cell r="E521">
            <v>0.79999971389770508</v>
          </cell>
          <cell r="F521">
            <v>0.79999971389770508</v>
          </cell>
          <cell r="G521">
            <v>0.79999971389770508</v>
          </cell>
          <cell r="H521">
            <v>0.79999971389770508</v>
          </cell>
        </row>
        <row r="522">
          <cell r="C522">
            <v>0.79999971389770508</v>
          </cell>
          <cell r="D522">
            <v>0.79999971389770508</v>
          </cell>
          <cell r="E522">
            <v>0.79999971389770508</v>
          </cell>
          <cell r="F522">
            <v>0.79999971389770508</v>
          </cell>
          <cell r="G522">
            <v>0.79999971389770508</v>
          </cell>
          <cell r="H522">
            <v>0.79999971389770508</v>
          </cell>
        </row>
        <row r="523">
          <cell r="C523">
            <v>0.79999971389770508</v>
          </cell>
          <cell r="D523">
            <v>0.79999971389770508</v>
          </cell>
          <cell r="E523">
            <v>0.79999971389770508</v>
          </cell>
          <cell r="F523">
            <v>0.79999971389770508</v>
          </cell>
          <cell r="G523">
            <v>0.79999971389770508</v>
          </cell>
          <cell r="H523">
            <v>0.79999971389770508</v>
          </cell>
        </row>
        <row r="524">
          <cell r="C524">
            <v>0.79999971389770508</v>
          </cell>
          <cell r="D524">
            <v>0.79999971389770508</v>
          </cell>
          <cell r="E524">
            <v>0.79999971389770508</v>
          </cell>
          <cell r="F524">
            <v>0.79999971389770508</v>
          </cell>
          <cell r="G524">
            <v>0.79999971389770508</v>
          </cell>
          <cell r="H524">
            <v>0.79999971389770508</v>
          </cell>
        </row>
        <row r="525">
          <cell r="C525">
            <v>0.79999971389770508</v>
          </cell>
          <cell r="D525">
            <v>0.79999971389770508</v>
          </cell>
          <cell r="E525">
            <v>0.79999971389770508</v>
          </cell>
          <cell r="F525">
            <v>0.79999971389770508</v>
          </cell>
          <cell r="G525">
            <v>0.79999971389770508</v>
          </cell>
          <cell r="H525">
            <v>0.79999971389770508</v>
          </cell>
        </row>
        <row r="526">
          <cell r="C526">
            <v>0.79999971389770508</v>
          </cell>
          <cell r="D526">
            <v>0.79999971389770508</v>
          </cell>
          <cell r="E526">
            <v>0.79999971389770508</v>
          </cell>
          <cell r="F526">
            <v>0.79999971389770508</v>
          </cell>
          <cell r="G526">
            <v>0.79999971389770508</v>
          </cell>
          <cell r="H526">
            <v>0.79999971389770508</v>
          </cell>
        </row>
        <row r="527">
          <cell r="C527">
            <v>0.79999971389770508</v>
          </cell>
          <cell r="D527">
            <v>0.79999971389770508</v>
          </cell>
          <cell r="E527">
            <v>0.79999971389770508</v>
          </cell>
          <cell r="F527">
            <v>0.79999971389770508</v>
          </cell>
          <cell r="G527">
            <v>0.79999971389770508</v>
          </cell>
          <cell r="H527">
            <v>0.79999971389770508</v>
          </cell>
        </row>
        <row r="528">
          <cell r="C528">
            <v>0.79999971389770508</v>
          </cell>
          <cell r="D528">
            <v>0.79999971389770508</v>
          </cell>
          <cell r="E528">
            <v>0.79999971389770508</v>
          </cell>
          <cell r="F528">
            <v>0.79999971389770508</v>
          </cell>
          <cell r="G528">
            <v>0.79999971389770508</v>
          </cell>
          <cell r="H528">
            <v>0.79999971389770508</v>
          </cell>
        </row>
        <row r="529">
          <cell r="C529">
            <v>0.79999971389770508</v>
          </cell>
          <cell r="D529">
            <v>0.79999971389770508</v>
          </cell>
          <cell r="E529">
            <v>0.79999971389770508</v>
          </cell>
          <cell r="F529">
            <v>0.79999971389770508</v>
          </cell>
          <cell r="G529">
            <v>0.79999971389770508</v>
          </cell>
          <cell r="H529">
            <v>0.79999971389770508</v>
          </cell>
        </row>
        <row r="530">
          <cell r="C530">
            <v>0.79999971389770508</v>
          </cell>
          <cell r="D530">
            <v>0.79999971389770508</v>
          </cell>
          <cell r="E530">
            <v>0.79999971389770508</v>
          </cell>
          <cell r="F530">
            <v>0.79999971389770508</v>
          </cell>
          <cell r="G530">
            <v>0.79999971389770508</v>
          </cell>
          <cell r="H530">
            <v>0.79999971389770508</v>
          </cell>
        </row>
        <row r="531">
          <cell r="C531">
            <v>0.79999971389770508</v>
          </cell>
          <cell r="D531">
            <v>0.79999971389770508</v>
          </cell>
          <cell r="E531">
            <v>0.79999971389770508</v>
          </cell>
          <cell r="F531">
            <v>0.79999971389770508</v>
          </cell>
          <cell r="G531">
            <v>0.79999971389770508</v>
          </cell>
          <cell r="H531">
            <v>0.79999971389770508</v>
          </cell>
        </row>
        <row r="532">
          <cell r="C532">
            <v>0.79999971389770508</v>
          </cell>
          <cell r="D532">
            <v>0.79999971389770508</v>
          </cell>
          <cell r="E532">
            <v>0.79999971389770508</v>
          </cell>
          <cell r="F532">
            <v>0.79999971389770508</v>
          </cell>
          <cell r="G532">
            <v>0.79999971389770508</v>
          </cell>
          <cell r="H532">
            <v>0.79999971389770508</v>
          </cell>
        </row>
        <row r="533">
          <cell r="C533">
            <v>0.79999971389770508</v>
          </cell>
          <cell r="D533">
            <v>0.79999971389770508</v>
          </cell>
          <cell r="E533">
            <v>0.79999971389770508</v>
          </cell>
          <cell r="F533">
            <v>0.79999971389770508</v>
          </cell>
          <cell r="G533">
            <v>0.79999971389770508</v>
          </cell>
          <cell r="H533">
            <v>0.79999971389770508</v>
          </cell>
        </row>
        <row r="534">
          <cell r="C534">
            <v>0.79999971389770508</v>
          </cell>
          <cell r="D534">
            <v>0.79999971389770508</v>
          </cell>
          <cell r="E534">
            <v>0.79999971389770508</v>
          </cell>
          <cell r="F534">
            <v>0.79999971389770508</v>
          </cell>
          <cell r="G534">
            <v>0.79999971389770508</v>
          </cell>
          <cell r="H534">
            <v>0.79999971389770508</v>
          </cell>
        </row>
        <row r="535">
          <cell r="C535">
            <v>0.79999971389770508</v>
          </cell>
          <cell r="D535">
            <v>0.79999971389770508</v>
          </cell>
          <cell r="E535">
            <v>0.79999971389770508</v>
          </cell>
          <cell r="F535">
            <v>0.79999971389770508</v>
          </cell>
          <cell r="G535">
            <v>0.79999971389770508</v>
          </cell>
          <cell r="H535">
            <v>0.79999971389770508</v>
          </cell>
        </row>
        <row r="536">
          <cell r="C536">
            <v>0.79999971389770508</v>
          </cell>
          <cell r="D536">
            <v>0.79999971389770508</v>
          </cell>
          <cell r="E536">
            <v>0.79999971389770508</v>
          </cell>
          <cell r="F536">
            <v>0.79999971389770508</v>
          </cell>
          <cell r="G536">
            <v>0.79999971389770508</v>
          </cell>
          <cell r="H536">
            <v>0.79999971389770508</v>
          </cell>
        </row>
        <row r="537">
          <cell r="C537">
            <v>0.79999971389770508</v>
          </cell>
          <cell r="D537">
            <v>0.79999971389770508</v>
          </cell>
          <cell r="E537">
            <v>0.79999971389770508</v>
          </cell>
          <cell r="F537">
            <v>0.79999971389770508</v>
          </cell>
          <cell r="G537">
            <v>0.79999971389770508</v>
          </cell>
          <cell r="H537">
            <v>0.79999971389770508</v>
          </cell>
        </row>
        <row r="538">
          <cell r="C538">
            <v>0.79999971389770508</v>
          </cell>
          <cell r="D538">
            <v>0.79999971389770508</v>
          </cell>
          <cell r="E538">
            <v>0.79999971389770508</v>
          </cell>
          <cell r="F538">
            <v>0.79999971389770508</v>
          </cell>
          <cell r="G538">
            <v>0.79999971389770508</v>
          </cell>
          <cell r="H538">
            <v>0.79999971389770508</v>
          </cell>
        </row>
        <row r="539">
          <cell r="C539">
            <v>0.79999971389770508</v>
          </cell>
          <cell r="D539">
            <v>0.79999971389770508</v>
          </cell>
          <cell r="E539">
            <v>0.79999971389770508</v>
          </cell>
          <cell r="F539">
            <v>0.79999971389770508</v>
          </cell>
          <cell r="G539">
            <v>0.79999971389770508</v>
          </cell>
          <cell r="H539">
            <v>0.79999971389770508</v>
          </cell>
        </row>
        <row r="540">
          <cell r="C540">
            <v>0.79999971389770508</v>
          </cell>
          <cell r="D540">
            <v>0.79999971389770508</v>
          </cell>
          <cell r="E540">
            <v>0.79999971389770508</v>
          </cell>
          <cell r="F540">
            <v>0.79999971389770508</v>
          </cell>
          <cell r="G540">
            <v>0.79999971389770508</v>
          </cell>
          <cell r="H540">
            <v>0.79999971389770508</v>
          </cell>
        </row>
        <row r="541">
          <cell r="D541">
            <v>0.79999971389770508</v>
          </cell>
          <cell r="F541">
            <v>0.79999971389770508</v>
          </cell>
          <cell r="G541">
            <v>0.79999971389770508</v>
          </cell>
        </row>
        <row r="542">
          <cell r="D542">
            <v>0.79999971389770508</v>
          </cell>
          <cell r="F542">
            <v>0.79999971389770508</v>
          </cell>
          <cell r="G542">
            <v>0.79999971389770508</v>
          </cell>
        </row>
        <row r="543">
          <cell r="D543">
            <v>0.79999971389770508</v>
          </cell>
          <cell r="F543">
            <v>0.79999971389770508</v>
          </cell>
          <cell r="G543">
            <v>0.79999971389770508</v>
          </cell>
        </row>
        <row r="544">
          <cell r="D544">
            <v>0.79999971389770508</v>
          </cell>
          <cell r="F544">
            <v>0.79999971389770508</v>
          </cell>
          <cell r="G544">
            <v>0.79999971389770508</v>
          </cell>
        </row>
        <row r="545">
          <cell r="D545">
            <v>0.79999971389770508</v>
          </cell>
          <cell r="F545">
            <v>0.79999971389770508</v>
          </cell>
          <cell r="G545">
            <v>0.79999971389770508</v>
          </cell>
        </row>
        <row r="546">
          <cell r="D546">
            <v>0.79999971389770508</v>
          </cell>
          <cell r="F546">
            <v>0.79999971389770508</v>
          </cell>
          <cell r="G546">
            <v>0.79999971389770508</v>
          </cell>
        </row>
        <row r="547">
          <cell r="D547">
            <v>0.79999971389770508</v>
          </cell>
          <cell r="F547">
            <v>0.79999971389770508</v>
          </cell>
          <cell r="G547">
            <v>0.79999971389770508</v>
          </cell>
        </row>
        <row r="548">
          <cell r="D548">
            <v>0.79999971389770508</v>
          </cell>
          <cell r="F548">
            <v>0.79999971389770508</v>
          </cell>
          <cell r="G548">
            <v>0.79999971389770508</v>
          </cell>
        </row>
        <row r="549">
          <cell r="D549">
            <v>0.79999971389770508</v>
          </cell>
          <cell r="F549">
            <v>0.79999971389770508</v>
          </cell>
          <cell r="G549">
            <v>0.79999971389770508</v>
          </cell>
        </row>
        <row r="550">
          <cell r="D550">
            <v>0.79999971389770508</v>
          </cell>
          <cell r="F550">
            <v>0.79999971389770508</v>
          </cell>
          <cell r="G550">
            <v>0.79999971389770508</v>
          </cell>
        </row>
        <row r="551">
          <cell r="D551">
            <v>0.79999971389770508</v>
          </cell>
          <cell r="F551">
            <v>0.79999971389770508</v>
          </cell>
          <cell r="G551">
            <v>0.79999971389770508</v>
          </cell>
        </row>
        <row r="552">
          <cell r="D552">
            <v>0.79999971389770508</v>
          </cell>
          <cell r="F552">
            <v>0.79999971389770508</v>
          </cell>
          <cell r="G552">
            <v>0.79999971389770508</v>
          </cell>
        </row>
        <row r="553">
          <cell r="B553">
            <v>0.79999971389770508</v>
          </cell>
          <cell r="C553">
            <v>0.79999971389770508</v>
          </cell>
          <cell r="D553">
            <v>0.79999971389770508</v>
          </cell>
          <cell r="E553">
            <v>0.79999971389770508</v>
          </cell>
          <cell r="F553">
            <v>0.79999971389770508</v>
          </cell>
          <cell r="G553">
            <v>0.79999971389770508</v>
          </cell>
          <cell r="I553">
            <v>0.79999971389770508</v>
          </cell>
        </row>
        <row r="554">
          <cell r="B554">
            <v>0.79999971389770508</v>
          </cell>
          <cell r="C554">
            <v>0.79999971389770508</v>
          </cell>
          <cell r="D554">
            <v>0.79999971389770508</v>
          </cell>
          <cell r="E554">
            <v>0.79999971389770508</v>
          </cell>
          <cell r="F554">
            <v>0.79999971389770508</v>
          </cell>
          <cell r="G554">
            <v>0.79999971389770508</v>
          </cell>
          <cell r="I554">
            <v>0.79999971389770508</v>
          </cell>
        </row>
        <row r="555">
          <cell r="B555">
            <v>0.79999971389770508</v>
          </cell>
          <cell r="C555">
            <v>0.79999971389770508</v>
          </cell>
          <cell r="D555">
            <v>0.79999971389770508</v>
          </cell>
          <cell r="E555">
            <v>0.79999971389770508</v>
          </cell>
          <cell r="F555">
            <v>0.79999971389770508</v>
          </cell>
          <cell r="G555">
            <v>0.79999971389770508</v>
          </cell>
          <cell r="I555">
            <v>0.79999971389770508</v>
          </cell>
        </row>
        <row r="556">
          <cell r="B556">
            <v>0.79999971389770508</v>
          </cell>
          <cell r="C556">
            <v>0.79999971389770508</v>
          </cell>
          <cell r="D556">
            <v>0.79999971389770508</v>
          </cell>
          <cell r="E556">
            <v>0.79999971389770508</v>
          </cell>
          <cell r="F556">
            <v>0.79999971389770508</v>
          </cell>
          <cell r="G556">
            <v>0.79999971389770508</v>
          </cell>
          <cell r="I556">
            <v>0.79999971389770508</v>
          </cell>
        </row>
        <row r="557">
          <cell r="B557">
            <v>0.79999971389770508</v>
          </cell>
          <cell r="C557">
            <v>0.79999971389770508</v>
          </cell>
          <cell r="D557">
            <v>0.79999971389770508</v>
          </cell>
          <cell r="E557">
            <v>0.79999971389770508</v>
          </cell>
          <cell r="F557">
            <v>0.79999971389770508</v>
          </cell>
          <cell r="G557">
            <v>0.79999971389770508</v>
          </cell>
          <cell r="I557">
            <v>0.79999971389770508</v>
          </cell>
        </row>
        <row r="558">
          <cell r="B558">
            <v>0.79999971389770508</v>
          </cell>
          <cell r="C558">
            <v>0.79999971389770508</v>
          </cell>
          <cell r="D558">
            <v>0.79999971389770508</v>
          </cell>
          <cell r="E558">
            <v>0.79999971389770508</v>
          </cell>
          <cell r="F558">
            <v>0.79999971389770508</v>
          </cell>
          <cell r="G558">
            <v>0.79999971389770508</v>
          </cell>
          <cell r="I558">
            <v>0.79999971389770508</v>
          </cell>
        </row>
        <row r="559">
          <cell r="B559">
            <v>0.79999971389770508</v>
          </cell>
          <cell r="C559">
            <v>0.79999971389770508</v>
          </cell>
          <cell r="D559">
            <v>0.79999971389770508</v>
          </cell>
          <cell r="E559">
            <v>0.79999971389770508</v>
          </cell>
          <cell r="F559">
            <v>0.79999971389770508</v>
          </cell>
          <cell r="G559">
            <v>0.79999971389770508</v>
          </cell>
          <cell r="I559">
            <v>0.79999971389770508</v>
          </cell>
        </row>
        <row r="560">
          <cell r="B560">
            <v>0.79999971389770508</v>
          </cell>
          <cell r="C560">
            <v>0.79999971389770508</v>
          </cell>
          <cell r="D560">
            <v>0.79999971389770508</v>
          </cell>
          <cell r="E560">
            <v>0.79999971389770508</v>
          </cell>
          <cell r="F560">
            <v>0.79999971389770508</v>
          </cell>
          <cell r="G560">
            <v>0.79999971389770508</v>
          </cell>
          <cell r="I560">
            <v>0.79999971389770508</v>
          </cell>
        </row>
        <row r="561">
          <cell r="B561">
            <v>0.79999971389770508</v>
          </cell>
          <cell r="C561">
            <v>0.79999971389770508</v>
          </cell>
          <cell r="D561">
            <v>0.79999971389770508</v>
          </cell>
          <cell r="E561">
            <v>0.79999971389770508</v>
          </cell>
          <cell r="F561">
            <v>0.79999971389770508</v>
          </cell>
          <cell r="G561">
            <v>0.79999971389770508</v>
          </cell>
          <cell r="I561">
            <v>0.79999971389770508</v>
          </cell>
        </row>
        <row r="562">
          <cell r="B562">
            <v>0.79999971389770508</v>
          </cell>
          <cell r="C562">
            <v>0.79999971389770508</v>
          </cell>
          <cell r="D562">
            <v>0.79999971389770508</v>
          </cell>
          <cell r="E562">
            <v>0.79999971389770508</v>
          </cell>
          <cell r="F562">
            <v>0.79999971389770508</v>
          </cell>
          <cell r="G562">
            <v>0.79999971389770508</v>
          </cell>
          <cell r="I562">
            <v>0.79999971389770508</v>
          </cell>
        </row>
        <row r="563">
          <cell r="B563">
            <v>0.79999971389770508</v>
          </cell>
          <cell r="C563">
            <v>0.79999971389770508</v>
          </cell>
          <cell r="D563">
            <v>0.79999971389770508</v>
          </cell>
          <cell r="E563">
            <v>0.79999971389770508</v>
          </cell>
          <cell r="F563">
            <v>0.79999971389770508</v>
          </cell>
          <cell r="G563">
            <v>0.79999971389770508</v>
          </cell>
          <cell r="I563">
            <v>0.79999971389770508</v>
          </cell>
        </row>
        <row r="564">
          <cell r="B564">
            <v>0.79999971389770508</v>
          </cell>
          <cell r="C564">
            <v>0.79999971389770508</v>
          </cell>
          <cell r="D564">
            <v>0.79999971389770508</v>
          </cell>
          <cell r="E564">
            <v>0.79999971389770508</v>
          </cell>
          <cell r="F564">
            <v>0.79999971389770508</v>
          </cell>
          <cell r="G564">
            <v>0.79999971389770508</v>
          </cell>
          <cell r="I564">
            <v>0.79999971389770508</v>
          </cell>
        </row>
        <row r="565">
          <cell r="B565">
            <v>0.79999971389770508</v>
          </cell>
          <cell r="C565">
            <v>0.79999971389770508</v>
          </cell>
          <cell r="D565">
            <v>0.79999971389770508</v>
          </cell>
          <cell r="E565">
            <v>0.79999971389770508</v>
          </cell>
          <cell r="F565">
            <v>0.79999971389770508</v>
          </cell>
          <cell r="G565">
            <v>0.79999971389770508</v>
          </cell>
          <cell r="I565">
            <v>0.79999971389770508</v>
          </cell>
        </row>
        <row r="566">
          <cell r="B566">
            <v>0.79999971389770508</v>
          </cell>
          <cell r="C566">
            <v>0.79999971389770508</v>
          </cell>
          <cell r="D566">
            <v>0.79999971389770508</v>
          </cell>
          <cell r="E566">
            <v>0.79999971389770508</v>
          </cell>
          <cell r="F566">
            <v>0.79999971389770508</v>
          </cell>
          <cell r="G566">
            <v>0.79999971389770508</v>
          </cell>
          <cell r="I566">
            <v>0.79999971389770508</v>
          </cell>
        </row>
        <row r="567">
          <cell r="B567">
            <v>0.79999971389770508</v>
          </cell>
          <cell r="C567">
            <v>0.79999971389770508</v>
          </cell>
          <cell r="D567">
            <v>0.79999971389770508</v>
          </cell>
          <cell r="E567">
            <v>0.79999971389770508</v>
          </cell>
          <cell r="F567">
            <v>0.79999971389770508</v>
          </cell>
          <cell r="G567">
            <v>0.79999971389770508</v>
          </cell>
          <cell r="I567">
            <v>0.79999971389770508</v>
          </cell>
        </row>
        <row r="568">
          <cell r="B568">
            <v>0.79999971389770508</v>
          </cell>
          <cell r="C568">
            <v>0.79999971389770508</v>
          </cell>
          <cell r="D568">
            <v>0.79999971389770508</v>
          </cell>
          <cell r="E568">
            <v>0.79999971389770508</v>
          </cell>
          <cell r="F568">
            <v>0.79999971389770508</v>
          </cell>
          <cell r="G568">
            <v>0.79999971389770508</v>
          </cell>
          <cell r="I568">
            <v>0.79999971389770508</v>
          </cell>
        </row>
        <row r="569">
          <cell r="B569">
            <v>0.79999971389770508</v>
          </cell>
          <cell r="C569">
            <v>0.79999971389770508</v>
          </cell>
          <cell r="D569">
            <v>0.79999971389770508</v>
          </cell>
          <cell r="E569">
            <v>0.79999971389770508</v>
          </cell>
          <cell r="F569">
            <v>0.79999971389770508</v>
          </cell>
          <cell r="G569">
            <v>0.79999971389770508</v>
          </cell>
          <cell r="I569">
            <v>0.79999971389770508</v>
          </cell>
        </row>
        <row r="570">
          <cell r="B570">
            <v>0.79999971389770508</v>
          </cell>
          <cell r="C570">
            <v>0.79999971389770508</v>
          </cell>
          <cell r="D570">
            <v>0.79999971389770508</v>
          </cell>
          <cell r="E570">
            <v>0.79999971389770508</v>
          </cell>
          <cell r="F570">
            <v>0.79999971389770508</v>
          </cell>
          <cell r="G570">
            <v>0.79999971389770508</v>
          </cell>
          <cell r="I570">
            <v>0.79999971389770508</v>
          </cell>
        </row>
      </sheetData>
      <sheetData sheetId="4" refreshError="1">
        <row r="4">
          <cell r="B4" t="str">
            <v>đã sửa</v>
          </cell>
          <cell r="C4" t="str">
            <v>Ổi</v>
          </cell>
          <cell r="D4">
            <v>0.79999971389770497</v>
          </cell>
          <cell r="E4">
            <v>0.79999971389770497</v>
          </cell>
          <cell r="F4">
            <v>0.79999971389770497</v>
          </cell>
          <cell r="G4">
            <v>0.79999971389770497</v>
          </cell>
          <cell r="H4">
            <v>0.79999971389770497</v>
          </cell>
          <cell r="I4">
            <v>0.79999971389770497</v>
          </cell>
        </row>
        <row r="5">
          <cell r="B5" t="str">
            <v>Ổi01</v>
          </cell>
          <cell r="C5" t="str">
            <v>Cây ổi</v>
          </cell>
          <cell r="D5" t="str">
            <v>cây giống</v>
          </cell>
          <cell r="E5">
            <v>0.79999971389770497</v>
          </cell>
          <cell r="F5" t="str">
            <v>m2</v>
          </cell>
          <cell r="G5">
            <v>70000</v>
          </cell>
          <cell r="H5">
            <v>0.8</v>
          </cell>
          <cell r="I5">
            <v>56000</v>
          </cell>
          <cell r="J5" t="str">
            <v>ĐG 01.02.2025</v>
          </cell>
        </row>
        <row r="6">
          <cell r="B6" t="str">
            <v>Ổi27</v>
          </cell>
          <cell r="C6" t="str">
            <v>Cây ổi</v>
          </cell>
          <cell r="D6" t="str">
            <v>2cm ≤ đk gốc &lt; 7cm</v>
          </cell>
          <cell r="E6">
            <v>10</v>
          </cell>
          <cell r="F6" t="str">
            <v>cây</v>
          </cell>
          <cell r="G6">
            <v>200000</v>
          </cell>
          <cell r="H6">
            <v>0.8</v>
          </cell>
          <cell r="I6">
            <v>20000</v>
          </cell>
          <cell r="J6" t="str">
            <v>ĐG 01.02.2025</v>
          </cell>
        </row>
        <row r="7">
          <cell r="B7" t="str">
            <v>Ổi712</v>
          </cell>
          <cell r="C7" t="str">
            <v>Cây ổi</v>
          </cell>
          <cell r="D7" t="str">
            <v>7cm ≤ đk gốc &lt; 12cm</v>
          </cell>
          <cell r="E7">
            <v>10</v>
          </cell>
          <cell r="F7" t="str">
            <v>cây</v>
          </cell>
          <cell r="G7">
            <v>500000</v>
          </cell>
          <cell r="H7">
            <v>0.8</v>
          </cell>
          <cell r="I7">
            <v>50000</v>
          </cell>
          <cell r="J7" t="str">
            <v>ĐG 01.02.2025</v>
          </cell>
        </row>
        <row r="8">
          <cell r="B8" t="str">
            <v>Ổi1220</v>
          </cell>
          <cell r="C8" t="str">
            <v>Cây ổi</v>
          </cell>
          <cell r="D8" t="str">
            <v>12cm ≤ đk gốc &lt; 20cm</v>
          </cell>
          <cell r="E8">
            <v>10</v>
          </cell>
          <cell r="F8" t="str">
            <v>cây</v>
          </cell>
          <cell r="G8">
            <v>600000</v>
          </cell>
          <cell r="H8">
            <v>0.8</v>
          </cell>
          <cell r="I8">
            <v>60000</v>
          </cell>
          <cell r="J8" t="str">
            <v>ĐG 01.02.2025</v>
          </cell>
        </row>
        <row r="9">
          <cell r="B9" t="str">
            <v>Ổi2030</v>
          </cell>
          <cell r="C9" t="str">
            <v>Cây ổi</v>
          </cell>
          <cell r="D9" t="str">
            <v>20cm ≤ đk gốc &lt; 30cm</v>
          </cell>
          <cell r="E9">
            <v>10</v>
          </cell>
          <cell r="F9" t="str">
            <v>cây</v>
          </cell>
          <cell r="G9">
            <v>800000</v>
          </cell>
          <cell r="H9">
            <v>0.8</v>
          </cell>
          <cell r="I9">
            <v>80000</v>
          </cell>
          <cell r="J9" t="str">
            <v>ĐG 01.02.2025</v>
          </cell>
        </row>
        <row r="10">
          <cell r="B10" t="str">
            <v>Ổi30+</v>
          </cell>
          <cell r="C10" t="str">
            <v>Cây ổi</v>
          </cell>
          <cell r="D10" t="str">
            <v>đk gốc từ 30cm trở lên</v>
          </cell>
          <cell r="E10">
            <v>10</v>
          </cell>
          <cell r="F10" t="str">
            <v>cây</v>
          </cell>
          <cell r="G10">
            <v>1000000</v>
          </cell>
          <cell r="H10">
            <v>0.8</v>
          </cell>
          <cell r="I10">
            <v>100000</v>
          </cell>
          <cell r="J10" t="str">
            <v>ĐG 01.02.2025</v>
          </cell>
        </row>
        <row r="11">
          <cell r="B11" t="str">
            <v>Ổi01vmd</v>
          </cell>
          <cell r="C11" t="str">
            <v>Cây ổi vượt mật độ</v>
          </cell>
          <cell r="D11" t="str">
            <v>cây giống</v>
          </cell>
          <cell r="E11">
            <v>100000</v>
          </cell>
          <cell r="F11" t="str">
            <v>m2</v>
          </cell>
          <cell r="G11">
            <v>70000</v>
          </cell>
          <cell r="H11">
            <v>0.4</v>
          </cell>
          <cell r="I11">
            <v>70000</v>
          </cell>
          <cell r="J11" t="str">
            <v>ĐG 01.02.2025</v>
          </cell>
        </row>
        <row r="12">
          <cell r="B12" t="str">
            <v>Ổi27vmd</v>
          </cell>
          <cell r="C12" t="str">
            <v>Cây ổi vượt mật độ</v>
          </cell>
          <cell r="D12" t="str">
            <v>2cm ≤ đk gốc &lt; 7cm</v>
          </cell>
          <cell r="E12">
            <v>10</v>
          </cell>
          <cell r="F12" t="str">
            <v>cây</v>
          </cell>
          <cell r="G12">
            <v>200000</v>
          </cell>
          <cell r="H12">
            <v>0.4</v>
          </cell>
          <cell r="I12">
            <v>20000</v>
          </cell>
          <cell r="J12" t="str">
            <v>ĐG 01.02.2025</v>
          </cell>
        </row>
        <row r="13">
          <cell r="B13" t="str">
            <v>Ổi712vmd</v>
          </cell>
          <cell r="C13" t="str">
            <v>Cây ổi vượt mật độ</v>
          </cell>
          <cell r="D13" t="str">
            <v>7cm ≤ đk gốc &lt; 12cm</v>
          </cell>
          <cell r="E13">
            <v>10</v>
          </cell>
          <cell r="F13" t="str">
            <v>cây</v>
          </cell>
          <cell r="G13">
            <v>500000</v>
          </cell>
          <cell r="H13">
            <v>0.4</v>
          </cell>
          <cell r="I13">
            <v>50000</v>
          </cell>
          <cell r="J13" t="str">
            <v>ĐG 01.02.2025</v>
          </cell>
        </row>
        <row r="14">
          <cell r="B14" t="str">
            <v>Ổi1220vmd</v>
          </cell>
          <cell r="C14" t="str">
            <v>Cây ổi vượt mật độ</v>
          </cell>
          <cell r="D14" t="str">
            <v>12cm ≤ đk gốc &lt; 20cm</v>
          </cell>
          <cell r="E14">
            <v>10</v>
          </cell>
          <cell r="F14" t="str">
            <v>cây</v>
          </cell>
          <cell r="G14">
            <v>600000</v>
          </cell>
          <cell r="H14">
            <v>0.4</v>
          </cell>
          <cell r="I14">
            <v>60000</v>
          </cell>
          <cell r="J14" t="str">
            <v>ĐG 01.02.2025</v>
          </cell>
        </row>
        <row r="15">
          <cell r="B15" t="str">
            <v>Ổi2030vmd</v>
          </cell>
          <cell r="C15" t="str">
            <v>Cây ổi vượt mật độ</v>
          </cell>
          <cell r="D15" t="str">
            <v>20cm ≤ đk gốc &lt; 30cm</v>
          </cell>
          <cell r="E15">
            <v>10</v>
          </cell>
          <cell r="F15" t="str">
            <v>cây</v>
          </cell>
          <cell r="G15">
            <v>800000</v>
          </cell>
          <cell r="H15">
            <v>0.4</v>
          </cell>
          <cell r="I15">
            <v>80000</v>
          </cell>
          <cell r="J15" t="str">
            <v>ĐG 01.02.2025</v>
          </cell>
        </row>
        <row r="16">
          <cell r="B16" t="str">
            <v>Ổi30+vmd</v>
          </cell>
          <cell r="C16" t="str">
            <v>Cây ổi vượt mật độ</v>
          </cell>
          <cell r="D16" t="str">
            <v>đk gốc từ 30cm trở lên</v>
          </cell>
          <cell r="E16">
            <v>10</v>
          </cell>
          <cell r="F16" t="str">
            <v>cây</v>
          </cell>
          <cell r="G16">
            <v>1000000</v>
          </cell>
          <cell r="H16">
            <v>0.4</v>
          </cell>
          <cell r="I16">
            <v>100000</v>
          </cell>
          <cell r="J16" t="str">
            <v>ĐG 01.02.2025</v>
          </cell>
        </row>
        <row r="17">
          <cell r="B17" t="str">
            <v>đã sửa</v>
          </cell>
          <cell r="C17" t="str">
            <v>Bưởi diễn</v>
          </cell>
          <cell r="D17">
            <v>100000</v>
          </cell>
          <cell r="E17">
            <v>100000</v>
          </cell>
          <cell r="F17">
            <v>100000</v>
          </cell>
          <cell r="G17">
            <v>100000</v>
          </cell>
          <cell r="H17">
            <v>100000</v>
          </cell>
          <cell r="I17">
            <v>100000</v>
          </cell>
          <cell r="J17">
            <v>100000</v>
          </cell>
        </row>
        <row r="18">
          <cell r="B18" t="str">
            <v>Bưởi01</v>
          </cell>
          <cell r="C18" t="str">
            <v>Cây bưởi</v>
          </cell>
          <cell r="D18" t="str">
            <v>cây giống</v>
          </cell>
          <cell r="E18">
            <v>100000</v>
          </cell>
          <cell r="F18" t="str">
            <v>m2</v>
          </cell>
          <cell r="G18">
            <v>110000</v>
          </cell>
          <cell r="H18">
            <v>0.8</v>
          </cell>
          <cell r="I18">
            <v>110000</v>
          </cell>
          <cell r="J18" t="str">
            <v>ĐG 01.02.2025</v>
          </cell>
        </row>
        <row r="19">
          <cell r="B19" t="str">
            <v>Bưởi27</v>
          </cell>
          <cell r="C19" t="str">
            <v>Cây bưởi</v>
          </cell>
          <cell r="D19" t="str">
            <v>2cm ≤ đk gốc &lt; 7cm</v>
          </cell>
          <cell r="E19">
            <v>20</v>
          </cell>
          <cell r="F19" t="str">
            <v>cây</v>
          </cell>
          <cell r="G19">
            <v>330000</v>
          </cell>
          <cell r="H19">
            <v>0.8</v>
          </cell>
          <cell r="I19">
            <v>16500</v>
          </cell>
          <cell r="J19" t="str">
            <v>ĐG 01.02.2025</v>
          </cell>
        </row>
        <row r="20">
          <cell r="B20" t="str">
            <v>Bưởi712</v>
          </cell>
          <cell r="C20" t="str">
            <v>Cây bưởi</v>
          </cell>
          <cell r="D20" t="str">
            <v>7cm ≤ đk gốc &lt; 12cm</v>
          </cell>
          <cell r="E20">
            <v>20</v>
          </cell>
          <cell r="F20" t="str">
            <v>cây</v>
          </cell>
          <cell r="G20">
            <v>1380000</v>
          </cell>
          <cell r="H20">
            <v>0.8</v>
          </cell>
          <cell r="I20">
            <v>69000</v>
          </cell>
          <cell r="J20" t="str">
            <v>ĐG 01.02.2025</v>
          </cell>
        </row>
        <row r="21">
          <cell r="B21" t="str">
            <v>Bưởi1220</v>
          </cell>
          <cell r="C21" t="str">
            <v>Cây bưởi</v>
          </cell>
          <cell r="D21" t="str">
            <v>12cm ≤ đk gốc &lt; 20cm</v>
          </cell>
          <cell r="E21">
            <v>20</v>
          </cell>
          <cell r="F21" t="str">
            <v>cây</v>
          </cell>
          <cell r="G21">
            <v>1920000</v>
          </cell>
          <cell r="H21">
            <v>0.8</v>
          </cell>
          <cell r="I21">
            <v>96000</v>
          </cell>
          <cell r="J21" t="str">
            <v>ĐG 01.02.2025</v>
          </cell>
        </row>
        <row r="22">
          <cell r="B22" t="str">
            <v>Bưởi20+</v>
          </cell>
          <cell r="C22" t="str">
            <v>Cây bưởi</v>
          </cell>
          <cell r="D22" t="str">
            <v>đk gốc từ 20cm trở lên</v>
          </cell>
          <cell r="E22">
            <v>20</v>
          </cell>
          <cell r="F22" t="str">
            <v>cây</v>
          </cell>
          <cell r="G22">
            <v>2200000</v>
          </cell>
          <cell r="H22">
            <v>0.8</v>
          </cell>
          <cell r="I22">
            <v>110000</v>
          </cell>
          <cell r="J22" t="str">
            <v>ĐG 01.02.2025</v>
          </cell>
        </row>
        <row r="23">
          <cell r="B23" t="str">
            <v>Bưởi01vmd</v>
          </cell>
          <cell r="C23" t="str">
            <v>Cây bưởi vượt mật độ</v>
          </cell>
          <cell r="D23" t="str">
            <v>cây giống</v>
          </cell>
          <cell r="E23">
            <v>110000</v>
          </cell>
          <cell r="F23" t="str">
            <v>m2</v>
          </cell>
          <cell r="G23">
            <v>110000</v>
          </cell>
          <cell r="H23">
            <v>0.4</v>
          </cell>
          <cell r="I23">
            <v>110000</v>
          </cell>
          <cell r="J23" t="str">
            <v>ĐG 01.02.2025</v>
          </cell>
        </row>
        <row r="24">
          <cell r="B24" t="str">
            <v>Bưởi27vmd</v>
          </cell>
          <cell r="C24" t="str">
            <v>Cây bưởi vượt mật độ</v>
          </cell>
          <cell r="D24" t="str">
            <v>2cm ≤ đk gốc &lt; 7cm</v>
          </cell>
          <cell r="E24">
            <v>20</v>
          </cell>
          <cell r="F24" t="str">
            <v>cây</v>
          </cell>
          <cell r="G24">
            <v>330000</v>
          </cell>
          <cell r="H24">
            <v>0.4</v>
          </cell>
          <cell r="I24">
            <v>16500</v>
          </cell>
          <cell r="J24" t="str">
            <v>ĐG 01.02.2025</v>
          </cell>
        </row>
        <row r="25">
          <cell r="B25" t="str">
            <v>Bưởi712vmd</v>
          </cell>
          <cell r="C25" t="str">
            <v>Cây bưởi vượt mật độ</v>
          </cell>
          <cell r="D25" t="str">
            <v>7cm ≤ đk gốc &lt; 12cm</v>
          </cell>
          <cell r="E25">
            <v>20</v>
          </cell>
          <cell r="F25" t="str">
            <v>cây</v>
          </cell>
          <cell r="G25">
            <v>1380000</v>
          </cell>
          <cell r="H25">
            <v>0.4</v>
          </cell>
          <cell r="I25">
            <v>69000</v>
          </cell>
          <cell r="J25" t="str">
            <v>ĐG 01.02.2025</v>
          </cell>
        </row>
        <row r="26">
          <cell r="B26" t="str">
            <v>Bưởi1220vmd</v>
          </cell>
          <cell r="C26" t="str">
            <v>Cây bưởi vượt mật độ</v>
          </cell>
          <cell r="D26" t="str">
            <v>12cm ≤ đk gốc &lt; 20cm</v>
          </cell>
          <cell r="E26">
            <v>20</v>
          </cell>
          <cell r="F26" t="str">
            <v>cây</v>
          </cell>
          <cell r="G26">
            <v>1920000</v>
          </cell>
          <cell r="H26">
            <v>0.4</v>
          </cell>
          <cell r="I26">
            <v>96000</v>
          </cell>
          <cell r="J26" t="str">
            <v>ĐG 01.02.2025</v>
          </cell>
        </row>
        <row r="27">
          <cell r="B27" t="str">
            <v>Bưởi20+vmd</v>
          </cell>
          <cell r="C27" t="str">
            <v>Cây bưởi vượt mật độ</v>
          </cell>
          <cell r="D27" t="str">
            <v>đk gốc từ 20cm trở lên</v>
          </cell>
          <cell r="E27">
            <v>20</v>
          </cell>
          <cell r="F27" t="str">
            <v>cây</v>
          </cell>
          <cell r="G27">
            <v>2200000</v>
          </cell>
          <cell r="H27">
            <v>0.4</v>
          </cell>
          <cell r="I27">
            <v>110000</v>
          </cell>
          <cell r="J27" t="str">
            <v>ĐG 01.02.2025</v>
          </cell>
        </row>
        <row r="28">
          <cell r="B28" t="str">
            <v>đã sửa</v>
          </cell>
          <cell r="C28" t="str">
            <v>Bòng</v>
          </cell>
          <cell r="D28">
            <v>110000</v>
          </cell>
          <cell r="E28">
            <v>110000</v>
          </cell>
          <cell r="F28">
            <v>110000</v>
          </cell>
          <cell r="G28">
            <v>110000</v>
          </cell>
          <cell r="H28">
            <v>110000</v>
          </cell>
          <cell r="I28">
            <v>110000</v>
          </cell>
          <cell r="J28">
            <v>110000</v>
          </cell>
        </row>
        <row r="29">
          <cell r="B29" t="str">
            <v>Bòng01</v>
          </cell>
          <cell r="C29" t="str">
            <v>Cây bòng</v>
          </cell>
          <cell r="D29" t="str">
            <v>cây giống</v>
          </cell>
          <cell r="E29">
            <v>110000</v>
          </cell>
          <cell r="F29" t="str">
            <v>m2</v>
          </cell>
          <cell r="G29">
            <v>110000</v>
          </cell>
          <cell r="H29">
            <v>0.8</v>
          </cell>
          <cell r="I29">
            <v>110000</v>
          </cell>
          <cell r="J29" t="str">
            <v>ĐG 01.02.2025</v>
          </cell>
        </row>
        <row r="30">
          <cell r="B30" t="str">
            <v>Bòng27</v>
          </cell>
          <cell r="C30" t="str">
            <v>Cây bòng</v>
          </cell>
          <cell r="D30" t="str">
            <v>2cm ≤ đk gốc &lt; 7cm</v>
          </cell>
          <cell r="E30">
            <v>20</v>
          </cell>
          <cell r="F30" t="str">
            <v>cây</v>
          </cell>
          <cell r="G30">
            <v>330000</v>
          </cell>
          <cell r="H30">
            <v>0.8</v>
          </cell>
          <cell r="I30">
            <v>16500</v>
          </cell>
          <cell r="J30" t="str">
            <v>ĐG 01.02.2025</v>
          </cell>
        </row>
        <row r="31">
          <cell r="B31" t="str">
            <v>Bòng712</v>
          </cell>
          <cell r="C31" t="str">
            <v>Cây bòng</v>
          </cell>
          <cell r="D31" t="str">
            <v>7cm ≤ đk gốc &lt; 12cm</v>
          </cell>
          <cell r="E31">
            <v>20</v>
          </cell>
          <cell r="F31" t="str">
            <v>cây</v>
          </cell>
          <cell r="G31">
            <v>1380000</v>
          </cell>
          <cell r="H31">
            <v>0.8</v>
          </cell>
          <cell r="I31">
            <v>69000</v>
          </cell>
          <cell r="J31" t="str">
            <v>ĐG 01.02.2025</v>
          </cell>
        </row>
        <row r="32">
          <cell r="B32" t="str">
            <v>Bòng1220</v>
          </cell>
          <cell r="C32" t="str">
            <v>Cây bòng</v>
          </cell>
          <cell r="D32" t="str">
            <v>12cm ≤ đk gốc &lt; 20cm</v>
          </cell>
          <cell r="E32">
            <v>20</v>
          </cell>
          <cell r="F32" t="str">
            <v>cây</v>
          </cell>
          <cell r="G32">
            <v>1920000</v>
          </cell>
          <cell r="H32">
            <v>0.8</v>
          </cell>
          <cell r="I32">
            <v>96000</v>
          </cell>
          <cell r="J32" t="str">
            <v>ĐG 01.02.2025</v>
          </cell>
        </row>
        <row r="33">
          <cell r="B33" t="str">
            <v>Bòng20+</v>
          </cell>
          <cell r="C33" t="str">
            <v>Cây bòng</v>
          </cell>
          <cell r="D33" t="str">
            <v>đk gốc từ 20cm trở lên</v>
          </cell>
          <cell r="E33">
            <v>20</v>
          </cell>
          <cell r="F33" t="str">
            <v>cây</v>
          </cell>
          <cell r="G33">
            <v>2200000</v>
          </cell>
          <cell r="H33">
            <v>0.8</v>
          </cell>
          <cell r="I33">
            <v>110000</v>
          </cell>
          <cell r="J33" t="str">
            <v>ĐG 01.02.2025</v>
          </cell>
        </row>
        <row r="34">
          <cell r="B34" t="str">
            <v>Bòng27vmd</v>
          </cell>
          <cell r="C34" t="str">
            <v>Cây bòng vượt mật độ</v>
          </cell>
          <cell r="D34" t="str">
            <v>2cm ≤ đk gốc &lt; 7cm</v>
          </cell>
          <cell r="E34">
            <v>20</v>
          </cell>
          <cell r="F34" t="str">
            <v>cây</v>
          </cell>
          <cell r="G34">
            <v>330000</v>
          </cell>
          <cell r="H34">
            <v>1</v>
          </cell>
          <cell r="I34">
            <v>330000</v>
          </cell>
          <cell r="J34" t="str">
            <v>ĐG 01.02.2025</v>
          </cell>
        </row>
        <row r="35">
          <cell r="B35" t="str">
            <v>Bòng712vmd</v>
          </cell>
          <cell r="C35" t="str">
            <v>Cây bòng vượt mật độ</v>
          </cell>
          <cell r="D35" t="str">
            <v>7cm ≤ đk gốc &lt; 12cm</v>
          </cell>
          <cell r="E35">
            <v>20</v>
          </cell>
          <cell r="F35" t="str">
            <v>cây</v>
          </cell>
          <cell r="G35">
            <v>1380000</v>
          </cell>
          <cell r="H35">
            <v>1</v>
          </cell>
          <cell r="I35">
            <v>69000</v>
          </cell>
          <cell r="J35" t="str">
            <v>ĐG 01.02.2025</v>
          </cell>
        </row>
        <row r="36">
          <cell r="B36" t="str">
            <v>Bòng1220vmd</v>
          </cell>
          <cell r="C36" t="str">
            <v>Cây bòng vượt mật độ</v>
          </cell>
          <cell r="D36" t="str">
            <v>12cm ≤ đk gốc &lt; 20cm</v>
          </cell>
          <cell r="E36">
            <v>20</v>
          </cell>
          <cell r="F36" t="str">
            <v>cây</v>
          </cell>
          <cell r="G36">
            <v>1920000</v>
          </cell>
          <cell r="H36">
            <v>1</v>
          </cell>
          <cell r="I36">
            <v>96000</v>
          </cell>
          <cell r="J36" t="str">
            <v>ĐG 01.02.2025</v>
          </cell>
        </row>
        <row r="37">
          <cell r="B37" t="str">
            <v>Bòng20+vmd</v>
          </cell>
          <cell r="C37" t="str">
            <v>Cây bòng vượt mật độ</v>
          </cell>
          <cell r="D37" t="str">
            <v>đk gốc từ 20cm trở lên</v>
          </cell>
          <cell r="E37">
            <v>20</v>
          </cell>
          <cell r="F37" t="str">
            <v>cây</v>
          </cell>
          <cell r="G37">
            <v>2200000</v>
          </cell>
          <cell r="H37">
            <v>1</v>
          </cell>
          <cell r="I37">
            <v>110000</v>
          </cell>
          <cell r="J37" t="str">
            <v>ĐG 01.02.2025</v>
          </cell>
        </row>
        <row r="38">
          <cell r="B38" t="str">
            <v>đã sửa</v>
          </cell>
          <cell r="C38" t="str">
            <v>Cam</v>
          </cell>
          <cell r="D38">
            <v>110000</v>
          </cell>
          <cell r="E38">
            <v>110000</v>
          </cell>
          <cell r="F38">
            <v>110000</v>
          </cell>
          <cell r="G38">
            <v>110000</v>
          </cell>
          <cell r="H38">
            <v>110000</v>
          </cell>
          <cell r="I38">
            <v>110000</v>
          </cell>
        </row>
        <row r="39">
          <cell r="B39" t="str">
            <v>Cam01</v>
          </cell>
          <cell r="C39" t="str">
            <v>Cây cam đường canh</v>
          </cell>
          <cell r="D39" t="str">
            <v>cây giống</v>
          </cell>
          <cell r="E39">
            <v>110000</v>
          </cell>
          <cell r="F39" t="str">
            <v>m2</v>
          </cell>
          <cell r="G39">
            <v>100000</v>
          </cell>
          <cell r="H39">
            <v>0.8</v>
          </cell>
          <cell r="I39">
            <v>100000</v>
          </cell>
          <cell r="J39" t="str">
            <v>ĐG 01.02.2025</v>
          </cell>
        </row>
        <row r="40">
          <cell r="B40" t="str">
            <v>Cam27</v>
          </cell>
          <cell r="C40" t="str">
            <v>Cây cam đường canh</v>
          </cell>
          <cell r="D40" t="str">
            <v>2cm ≤ đk gốc &lt; 7cm</v>
          </cell>
          <cell r="E40">
            <v>16.129032258064498</v>
          </cell>
          <cell r="F40" t="str">
            <v>cây</v>
          </cell>
          <cell r="G40">
            <v>300000</v>
          </cell>
          <cell r="H40">
            <v>0.8</v>
          </cell>
          <cell r="I40">
            <v>18600</v>
          </cell>
          <cell r="J40" t="str">
            <v>ĐG 01.02.2025</v>
          </cell>
        </row>
        <row r="41">
          <cell r="B41" t="str">
            <v>Cam712</v>
          </cell>
          <cell r="C41" t="str">
            <v>Cây cam đường canh</v>
          </cell>
          <cell r="D41" t="str">
            <v>7cm ≤ đk gốc &lt; 12cm</v>
          </cell>
          <cell r="E41">
            <v>16.129032258064498</v>
          </cell>
          <cell r="F41" t="str">
            <v>cây</v>
          </cell>
          <cell r="G41">
            <v>1500000</v>
          </cell>
          <cell r="H41">
            <v>0.8</v>
          </cell>
          <cell r="I41">
            <v>93000</v>
          </cell>
          <cell r="J41" t="str">
            <v>ĐG 01.02.2025</v>
          </cell>
        </row>
        <row r="42">
          <cell r="B42" t="str">
            <v>Cam1220</v>
          </cell>
          <cell r="C42" t="str">
            <v>Cây cam đường canh</v>
          </cell>
          <cell r="D42" t="str">
            <v>12cm ≤ đk gốc &lt; 20cm</v>
          </cell>
          <cell r="E42">
            <v>16.129032258064498</v>
          </cell>
          <cell r="F42" t="str">
            <v>cây</v>
          </cell>
          <cell r="G42">
            <v>2000000</v>
          </cell>
          <cell r="H42">
            <v>0.8</v>
          </cell>
          <cell r="I42">
            <v>124000</v>
          </cell>
          <cell r="J42" t="str">
            <v>ĐG 01.02.2025</v>
          </cell>
        </row>
        <row r="43">
          <cell r="B43" t="str">
            <v>Cam20+</v>
          </cell>
          <cell r="C43" t="str">
            <v>Cây cam đường canh</v>
          </cell>
          <cell r="D43" t="str">
            <v>đk gốc từ 20cm trở lên</v>
          </cell>
          <cell r="E43">
            <v>16.129032258064498</v>
          </cell>
          <cell r="F43" t="str">
            <v>cây</v>
          </cell>
          <cell r="G43">
            <v>2500000</v>
          </cell>
          <cell r="H43">
            <v>0.8</v>
          </cell>
          <cell r="I43">
            <v>155000</v>
          </cell>
          <cell r="J43" t="str">
            <v>ĐG 01.02.2025</v>
          </cell>
        </row>
        <row r="44">
          <cell r="B44" t="str">
            <v>Cam27vmd</v>
          </cell>
          <cell r="C44" t="str">
            <v>Cây cam đường canh vượt mật độ</v>
          </cell>
          <cell r="D44" t="str">
            <v>2cm ≤ đk gốc &lt; 7cm</v>
          </cell>
          <cell r="E44">
            <v>16.129032258064498</v>
          </cell>
          <cell r="F44" t="str">
            <v>cây</v>
          </cell>
          <cell r="G44">
            <v>300000</v>
          </cell>
          <cell r="H44">
            <v>0.4</v>
          </cell>
          <cell r="I44">
            <v>18600</v>
          </cell>
          <cell r="J44" t="str">
            <v>ĐG 01.02.2025</v>
          </cell>
        </row>
        <row r="45">
          <cell r="B45" t="str">
            <v>Cam712vmd</v>
          </cell>
          <cell r="C45" t="str">
            <v>Cây cam đường canh vượt mật độ</v>
          </cell>
          <cell r="D45" t="str">
            <v>7cm ≤ đk gốc &lt; 12cm</v>
          </cell>
          <cell r="E45">
            <v>16.129032258064498</v>
          </cell>
          <cell r="F45" t="str">
            <v>cây</v>
          </cell>
          <cell r="G45">
            <v>1500000</v>
          </cell>
          <cell r="H45">
            <v>0.4</v>
          </cell>
          <cell r="I45">
            <v>93000</v>
          </cell>
          <cell r="J45" t="str">
            <v>ĐG 01.02.2025</v>
          </cell>
        </row>
        <row r="46">
          <cell r="B46" t="str">
            <v>Cam1220vmd</v>
          </cell>
          <cell r="C46" t="str">
            <v>Cây cam đường canh vượt mật độ</v>
          </cell>
          <cell r="D46" t="str">
            <v>12cm ≤ đk gốc &lt; 20cm</v>
          </cell>
          <cell r="E46">
            <v>16.129032258064498</v>
          </cell>
          <cell r="F46" t="str">
            <v>cây</v>
          </cell>
          <cell r="G46">
            <v>2000000</v>
          </cell>
          <cell r="H46">
            <v>0.4</v>
          </cell>
          <cell r="I46">
            <v>124000</v>
          </cell>
          <cell r="J46" t="str">
            <v>ĐG 01.02.2025</v>
          </cell>
        </row>
        <row r="47">
          <cell r="B47" t="str">
            <v>Cam20+vmd</v>
          </cell>
          <cell r="C47" t="str">
            <v>Cây cam đường canh vượt mật độ</v>
          </cell>
          <cell r="D47" t="str">
            <v>đk gốc từ 20cm trở lên</v>
          </cell>
          <cell r="E47">
            <v>16.129032258064498</v>
          </cell>
          <cell r="F47" t="str">
            <v>cây</v>
          </cell>
          <cell r="G47">
            <v>2500000</v>
          </cell>
          <cell r="H47">
            <v>0.4</v>
          </cell>
          <cell r="I47">
            <v>155000</v>
          </cell>
          <cell r="J47" t="str">
            <v>ĐG 01.02.2025</v>
          </cell>
        </row>
        <row r="48">
          <cell r="B48">
            <v>155000</v>
          </cell>
          <cell r="C48" t="str">
            <v>Chanh</v>
          </cell>
          <cell r="D48">
            <v>155000</v>
          </cell>
          <cell r="E48">
            <v>155000</v>
          </cell>
          <cell r="F48">
            <v>155000</v>
          </cell>
          <cell r="G48">
            <v>155000</v>
          </cell>
          <cell r="H48">
            <v>155000</v>
          </cell>
          <cell r="I48">
            <v>155000</v>
          </cell>
        </row>
        <row r="49">
          <cell r="B49" t="str">
            <v>Chanh01</v>
          </cell>
          <cell r="C49" t="str">
            <v>Cây chanh</v>
          </cell>
          <cell r="D49" t="str">
            <v>cây giống</v>
          </cell>
          <cell r="E49">
            <v>155000</v>
          </cell>
          <cell r="F49" t="str">
            <v>m2</v>
          </cell>
          <cell r="G49">
            <v>70000</v>
          </cell>
          <cell r="H49">
            <v>0.8</v>
          </cell>
          <cell r="I49">
            <v>70000</v>
          </cell>
          <cell r="J49" t="str">
            <v>ĐG 01.02.2025</v>
          </cell>
        </row>
        <row r="50">
          <cell r="B50" t="str">
            <v>Chanh27</v>
          </cell>
          <cell r="C50" t="str">
            <v>Cây chanh</v>
          </cell>
          <cell r="D50" t="str">
            <v>2cm ≤ đk gốc &lt; 7cm</v>
          </cell>
          <cell r="E50">
            <v>6.25</v>
          </cell>
          <cell r="F50" t="str">
            <v>cây</v>
          </cell>
          <cell r="G50">
            <v>200000</v>
          </cell>
          <cell r="H50">
            <v>0.8</v>
          </cell>
          <cell r="I50">
            <v>32000</v>
          </cell>
          <cell r="J50" t="str">
            <v>ĐG 01.02.2025</v>
          </cell>
        </row>
        <row r="51">
          <cell r="B51" t="str">
            <v>Chanh712</v>
          </cell>
          <cell r="C51" t="str">
            <v>Cây chanh</v>
          </cell>
          <cell r="D51" t="str">
            <v>7cm ≤ đk gốc &lt; 12cm</v>
          </cell>
          <cell r="E51">
            <v>6.25</v>
          </cell>
          <cell r="F51" t="str">
            <v>cây</v>
          </cell>
          <cell r="G51">
            <v>500000</v>
          </cell>
          <cell r="H51">
            <v>0.8</v>
          </cell>
          <cell r="I51">
            <v>80000</v>
          </cell>
          <cell r="J51" t="str">
            <v>ĐG 01.02.2025</v>
          </cell>
        </row>
        <row r="52">
          <cell r="B52" t="str">
            <v>Chanh1220</v>
          </cell>
          <cell r="C52" t="str">
            <v>Cây chanh</v>
          </cell>
          <cell r="D52" t="str">
            <v>12cm ≤ đk gốc &lt; 20cm</v>
          </cell>
          <cell r="E52">
            <v>6.25</v>
          </cell>
          <cell r="F52" t="str">
            <v>cây</v>
          </cell>
          <cell r="G52">
            <v>700000</v>
          </cell>
          <cell r="H52">
            <v>0.8</v>
          </cell>
          <cell r="I52">
            <v>112000</v>
          </cell>
          <cell r="J52" t="str">
            <v>ĐG 01.02.2025</v>
          </cell>
        </row>
        <row r="53">
          <cell r="B53" t="str">
            <v>Chanh20+</v>
          </cell>
          <cell r="C53" t="str">
            <v>Cây chanh</v>
          </cell>
          <cell r="D53" t="str">
            <v>đk gốc từ 20cm trở lên</v>
          </cell>
          <cell r="E53">
            <v>6.25</v>
          </cell>
          <cell r="F53" t="str">
            <v>cây</v>
          </cell>
          <cell r="G53">
            <v>1000000</v>
          </cell>
          <cell r="H53">
            <v>0.8</v>
          </cell>
          <cell r="I53">
            <v>160000</v>
          </cell>
          <cell r="J53" t="str">
            <v>ĐG 01.02.2025</v>
          </cell>
        </row>
        <row r="54">
          <cell r="B54" t="str">
            <v>Chanh01vmd</v>
          </cell>
          <cell r="C54" t="str">
            <v>Cây chanh vượt mật độ</v>
          </cell>
          <cell r="D54" t="str">
            <v>cây giống</v>
          </cell>
          <cell r="E54">
            <v>160000</v>
          </cell>
          <cell r="F54" t="str">
            <v>m2</v>
          </cell>
          <cell r="G54">
            <v>70000</v>
          </cell>
          <cell r="H54">
            <v>0.4</v>
          </cell>
          <cell r="I54">
            <v>70000</v>
          </cell>
          <cell r="J54" t="str">
            <v>ĐG 01.02.2025</v>
          </cell>
        </row>
        <row r="55">
          <cell r="B55" t="str">
            <v>Chanh27vmd</v>
          </cell>
          <cell r="C55" t="str">
            <v>Cây chanh vượt mật độ</v>
          </cell>
          <cell r="D55" t="str">
            <v>2cm ≤ đk gốc &lt; 7cm</v>
          </cell>
          <cell r="E55">
            <v>6.25</v>
          </cell>
          <cell r="F55" t="str">
            <v>cây</v>
          </cell>
          <cell r="G55">
            <v>200000</v>
          </cell>
          <cell r="H55">
            <v>0.4</v>
          </cell>
          <cell r="I55">
            <v>32000</v>
          </cell>
          <cell r="J55" t="str">
            <v>ĐG 01.02.2025</v>
          </cell>
        </row>
        <row r="56">
          <cell r="B56" t="str">
            <v>Chanh712vmd</v>
          </cell>
          <cell r="C56" t="str">
            <v>Cây chanh vượt mật độ</v>
          </cell>
          <cell r="D56" t="str">
            <v>7cm ≤ đk gốc &lt; 12cm</v>
          </cell>
          <cell r="E56">
            <v>6.25</v>
          </cell>
          <cell r="F56" t="str">
            <v>cây</v>
          </cell>
          <cell r="G56">
            <v>500000</v>
          </cell>
          <cell r="H56">
            <v>0.4</v>
          </cell>
          <cell r="I56">
            <v>80000</v>
          </cell>
          <cell r="J56" t="str">
            <v>ĐG 01.02.2025</v>
          </cell>
        </row>
        <row r="57">
          <cell r="B57" t="str">
            <v>Chanh1220vmd</v>
          </cell>
          <cell r="C57" t="str">
            <v>Cây chanh vượt mật độ</v>
          </cell>
          <cell r="D57" t="str">
            <v>12cm ≤ đk gốc &lt; 20cm</v>
          </cell>
          <cell r="E57">
            <v>6.25</v>
          </cell>
          <cell r="F57" t="str">
            <v>cây</v>
          </cell>
          <cell r="G57">
            <v>700000</v>
          </cell>
          <cell r="H57">
            <v>0.4</v>
          </cell>
          <cell r="I57">
            <v>112000</v>
          </cell>
          <cell r="J57" t="str">
            <v>ĐG 01.02.2025</v>
          </cell>
        </row>
        <row r="58">
          <cell r="B58" t="str">
            <v>Chanh20+vmd</v>
          </cell>
          <cell r="C58" t="str">
            <v>Cây chanh vượt mật độ</v>
          </cell>
          <cell r="D58" t="str">
            <v>đk gốc từ 20cm trở lên</v>
          </cell>
          <cell r="E58">
            <v>6.25</v>
          </cell>
          <cell r="F58" t="str">
            <v>cây</v>
          </cell>
          <cell r="G58">
            <v>1000000</v>
          </cell>
          <cell r="H58">
            <v>0.4</v>
          </cell>
          <cell r="I58">
            <v>160000</v>
          </cell>
          <cell r="J58" t="str">
            <v>ĐG 01.02.2025</v>
          </cell>
        </row>
        <row r="59">
          <cell r="B59">
            <v>160000</v>
          </cell>
          <cell r="C59" t="str">
            <v>Quất</v>
          </cell>
          <cell r="D59">
            <v>160000</v>
          </cell>
          <cell r="E59">
            <v>160000</v>
          </cell>
          <cell r="F59">
            <v>160000</v>
          </cell>
          <cell r="G59">
            <v>160000</v>
          </cell>
          <cell r="H59">
            <v>160000</v>
          </cell>
          <cell r="I59">
            <v>160000</v>
          </cell>
        </row>
        <row r="60">
          <cell r="B60" t="str">
            <v>Quất01</v>
          </cell>
          <cell r="C60" t="str">
            <v>Cây quất</v>
          </cell>
          <cell r="D60" t="str">
            <v>cây giống</v>
          </cell>
          <cell r="E60">
            <v>160000</v>
          </cell>
          <cell r="F60" t="str">
            <v>m2</v>
          </cell>
          <cell r="G60">
            <v>70000</v>
          </cell>
          <cell r="H60">
            <v>0.8</v>
          </cell>
          <cell r="I60">
            <v>70000</v>
          </cell>
          <cell r="J60" t="str">
            <v>ĐG 01.02.2025</v>
          </cell>
        </row>
        <row r="61">
          <cell r="B61" t="str">
            <v>Quất27</v>
          </cell>
          <cell r="C61" t="str">
            <v>Cây quất</v>
          </cell>
          <cell r="D61" t="str">
            <v>2cm ≤ đk gốc &lt; 7cm</v>
          </cell>
          <cell r="E61">
            <v>3.8461538461538498</v>
          </cell>
          <cell r="F61" t="str">
            <v>cây</v>
          </cell>
          <cell r="G61">
            <v>200000</v>
          </cell>
          <cell r="H61">
            <v>0.8</v>
          </cell>
          <cell r="I61">
            <v>52000</v>
          </cell>
          <cell r="J61" t="str">
            <v>ĐG 01.02.2025</v>
          </cell>
        </row>
        <row r="62">
          <cell r="B62" t="str">
            <v>Quất712</v>
          </cell>
          <cell r="C62" t="str">
            <v>Cây quất</v>
          </cell>
          <cell r="D62" t="str">
            <v>7cm ≤ đk gốc &lt; 12cm</v>
          </cell>
          <cell r="E62">
            <v>3.8461538461538498</v>
          </cell>
          <cell r="F62" t="str">
            <v>cây</v>
          </cell>
          <cell r="G62">
            <v>500000</v>
          </cell>
          <cell r="H62">
            <v>0.8</v>
          </cell>
          <cell r="I62">
            <v>130000</v>
          </cell>
          <cell r="J62" t="str">
            <v>ĐG 01.02.2025</v>
          </cell>
        </row>
        <row r="63">
          <cell r="B63" t="str">
            <v>Quất1220</v>
          </cell>
          <cell r="C63" t="str">
            <v>Cây quất</v>
          </cell>
          <cell r="D63" t="str">
            <v>12cm ≤ đk gốc &lt; 20cm</v>
          </cell>
          <cell r="E63">
            <v>3.8461538461538498</v>
          </cell>
          <cell r="F63" t="str">
            <v>cây</v>
          </cell>
          <cell r="G63">
            <v>700000</v>
          </cell>
          <cell r="H63">
            <v>0.8</v>
          </cell>
          <cell r="I63">
            <v>182000</v>
          </cell>
          <cell r="J63" t="str">
            <v>ĐG 01.02.2025</v>
          </cell>
        </row>
        <row r="64">
          <cell r="B64" t="str">
            <v>Quất20+</v>
          </cell>
          <cell r="C64" t="str">
            <v>Cây quất</v>
          </cell>
          <cell r="D64" t="str">
            <v>đk gốc từ 20cm trở lên</v>
          </cell>
          <cell r="E64">
            <v>3.8461538461538498</v>
          </cell>
          <cell r="F64" t="str">
            <v>cây</v>
          </cell>
          <cell r="G64">
            <v>1000000</v>
          </cell>
          <cell r="H64">
            <v>0.8</v>
          </cell>
          <cell r="I64">
            <v>260000</v>
          </cell>
          <cell r="J64" t="str">
            <v>ĐG 01.02.2025</v>
          </cell>
        </row>
        <row r="65">
          <cell r="B65" t="str">
            <v>Quất01vmd</v>
          </cell>
          <cell r="C65" t="str">
            <v>Cây quất vượt mật độ</v>
          </cell>
          <cell r="D65" t="str">
            <v>cây giống</v>
          </cell>
          <cell r="E65">
            <v>260000</v>
          </cell>
          <cell r="F65" t="str">
            <v>m2</v>
          </cell>
          <cell r="G65">
            <v>70000</v>
          </cell>
          <cell r="H65">
            <v>0.4</v>
          </cell>
          <cell r="I65">
            <v>70000</v>
          </cell>
          <cell r="J65" t="str">
            <v>ĐG 01.02.2025</v>
          </cell>
        </row>
        <row r="66">
          <cell r="B66" t="str">
            <v>Quất27vmd</v>
          </cell>
          <cell r="C66" t="str">
            <v>Cây quất vượt mật độ</v>
          </cell>
          <cell r="D66" t="str">
            <v>2cm ≤ đk gốc &lt; 7cm</v>
          </cell>
          <cell r="E66">
            <v>3.8461538461538498</v>
          </cell>
          <cell r="F66" t="str">
            <v>cây</v>
          </cell>
          <cell r="G66">
            <v>200000</v>
          </cell>
          <cell r="H66">
            <v>0.4</v>
          </cell>
          <cell r="I66">
            <v>52000</v>
          </cell>
          <cell r="J66" t="str">
            <v>ĐG 01.02.2025</v>
          </cell>
        </row>
        <row r="67">
          <cell r="B67" t="str">
            <v>Quất712vmd</v>
          </cell>
          <cell r="C67" t="str">
            <v>Cây quất vượt mật độ</v>
          </cell>
          <cell r="D67" t="str">
            <v>7cm ≤ đk gốc &lt; 12cm</v>
          </cell>
          <cell r="E67">
            <v>3.8461538461538498</v>
          </cell>
          <cell r="F67" t="str">
            <v>cây</v>
          </cell>
          <cell r="G67">
            <v>500000</v>
          </cell>
          <cell r="H67">
            <v>0.4</v>
          </cell>
          <cell r="I67">
            <v>130000</v>
          </cell>
          <cell r="J67" t="str">
            <v>ĐG 01.02.2025</v>
          </cell>
        </row>
        <row r="68">
          <cell r="B68" t="str">
            <v>Quất1220vmd</v>
          </cell>
          <cell r="C68" t="str">
            <v>Cây quất vượt mật độ</v>
          </cell>
          <cell r="D68" t="str">
            <v>12cm ≤ đk gốc &lt; 20cm</v>
          </cell>
          <cell r="E68">
            <v>3.8461538461538498</v>
          </cell>
          <cell r="F68" t="str">
            <v>cây</v>
          </cell>
          <cell r="G68">
            <v>700000</v>
          </cell>
          <cell r="H68">
            <v>0.4</v>
          </cell>
          <cell r="I68">
            <v>182000</v>
          </cell>
          <cell r="J68" t="str">
            <v>ĐG 01.02.2025</v>
          </cell>
        </row>
        <row r="69">
          <cell r="B69" t="str">
            <v>Quất20+vmd</v>
          </cell>
          <cell r="C69" t="str">
            <v>Cây quất vượt mật độ</v>
          </cell>
          <cell r="D69" t="str">
            <v>đk gốc từ 20cm trở lên</v>
          </cell>
          <cell r="E69">
            <v>3.8461538461538498</v>
          </cell>
          <cell r="F69" t="str">
            <v>cây</v>
          </cell>
          <cell r="G69">
            <v>1000000</v>
          </cell>
          <cell r="H69">
            <v>0.4</v>
          </cell>
          <cell r="I69">
            <v>260000</v>
          </cell>
          <cell r="J69" t="str">
            <v>ĐG 01.02.2025</v>
          </cell>
        </row>
        <row r="70">
          <cell r="B70">
            <v>260000</v>
          </cell>
          <cell r="C70" t="str">
            <v>Quýt</v>
          </cell>
          <cell r="D70">
            <v>260000</v>
          </cell>
          <cell r="E70">
            <v>260000</v>
          </cell>
          <cell r="F70">
            <v>260000</v>
          </cell>
          <cell r="G70">
            <v>260000</v>
          </cell>
          <cell r="H70">
            <v>260000</v>
          </cell>
          <cell r="I70">
            <v>260000</v>
          </cell>
          <cell r="J70">
            <v>260000</v>
          </cell>
        </row>
        <row r="71">
          <cell r="B71" t="str">
            <v>Quýt01</v>
          </cell>
          <cell r="C71" t="str">
            <v>Cây quýt</v>
          </cell>
          <cell r="D71" t="str">
            <v>cây giống</v>
          </cell>
          <cell r="E71">
            <v>260000</v>
          </cell>
          <cell r="F71" t="str">
            <v>m2</v>
          </cell>
          <cell r="G71">
            <v>70000</v>
          </cell>
          <cell r="H71">
            <v>0.8</v>
          </cell>
          <cell r="I71">
            <v>70000</v>
          </cell>
          <cell r="J71" t="str">
            <v>ĐG 01.02.2025</v>
          </cell>
        </row>
        <row r="72">
          <cell r="B72" t="str">
            <v>Quýt27</v>
          </cell>
          <cell r="C72" t="str">
            <v>Cây quýt</v>
          </cell>
          <cell r="D72" t="str">
            <v>2cm ≤ đk gốc &lt; 7cm</v>
          </cell>
          <cell r="E72">
            <v>3.8461538461538498</v>
          </cell>
          <cell r="F72" t="str">
            <v>cây</v>
          </cell>
          <cell r="G72">
            <v>200000</v>
          </cell>
          <cell r="H72">
            <v>0.8</v>
          </cell>
          <cell r="I72">
            <v>52000</v>
          </cell>
          <cell r="J72" t="str">
            <v>ĐG 01.02.2025</v>
          </cell>
        </row>
        <row r="73">
          <cell r="B73" t="str">
            <v>Quýt712</v>
          </cell>
          <cell r="C73" t="str">
            <v>Cây quýt</v>
          </cell>
          <cell r="D73" t="str">
            <v>7cm ≤ đk gốc &lt; 12cm</v>
          </cell>
          <cell r="E73">
            <v>3.8461538461538498</v>
          </cell>
          <cell r="F73" t="str">
            <v>cây</v>
          </cell>
          <cell r="G73">
            <v>500000</v>
          </cell>
          <cell r="H73">
            <v>0.8</v>
          </cell>
          <cell r="I73">
            <v>130000</v>
          </cell>
          <cell r="J73" t="str">
            <v>ĐG 01.02.2025</v>
          </cell>
        </row>
        <row r="74">
          <cell r="B74" t="str">
            <v>Quýt1220</v>
          </cell>
          <cell r="C74" t="str">
            <v>Cây quýt</v>
          </cell>
          <cell r="D74" t="str">
            <v>12cm ≤ đk gốc &lt; 20cm</v>
          </cell>
          <cell r="E74">
            <v>3.8461538461538498</v>
          </cell>
          <cell r="F74" t="str">
            <v>cây</v>
          </cell>
          <cell r="G74">
            <v>700000</v>
          </cell>
          <cell r="H74">
            <v>0.8</v>
          </cell>
          <cell r="I74">
            <v>182000</v>
          </cell>
          <cell r="J74" t="str">
            <v>ĐG 01.02.2025</v>
          </cell>
        </row>
        <row r="75">
          <cell r="B75" t="str">
            <v>Quýt20+</v>
          </cell>
          <cell r="C75" t="str">
            <v>Cây quýt</v>
          </cell>
          <cell r="D75" t="str">
            <v>đk gốc từ 20cm trở lên</v>
          </cell>
          <cell r="E75">
            <v>3.8461538461538498</v>
          </cell>
          <cell r="F75" t="str">
            <v>cây</v>
          </cell>
          <cell r="G75">
            <v>1000000</v>
          </cell>
          <cell r="H75">
            <v>0.8</v>
          </cell>
          <cell r="I75">
            <v>260000</v>
          </cell>
          <cell r="J75" t="str">
            <v>ĐG 01.02.2025</v>
          </cell>
        </row>
        <row r="76">
          <cell r="B76" t="str">
            <v>Quýt01vmd</v>
          </cell>
          <cell r="C76" t="str">
            <v>Cây quýt vượt mật độ</v>
          </cell>
          <cell r="D76" t="str">
            <v>cây giống</v>
          </cell>
          <cell r="E76">
            <v>260000</v>
          </cell>
          <cell r="F76" t="str">
            <v>m2</v>
          </cell>
          <cell r="G76">
            <v>70000</v>
          </cell>
          <cell r="H76">
            <v>0.4</v>
          </cell>
          <cell r="I76">
            <v>70000</v>
          </cell>
          <cell r="J76" t="str">
            <v>ĐG 01.02.2025</v>
          </cell>
        </row>
        <row r="77">
          <cell r="B77" t="str">
            <v>Quýt27vmd</v>
          </cell>
          <cell r="C77" t="str">
            <v>Cây quýt vượt mật độ</v>
          </cell>
          <cell r="D77" t="str">
            <v>2cm ≤ đk gốc &lt; 7cm</v>
          </cell>
          <cell r="E77">
            <v>3.8461538461538498</v>
          </cell>
          <cell r="F77" t="str">
            <v>cây</v>
          </cell>
          <cell r="G77">
            <v>200000</v>
          </cell>
          <cell r="H77">
            <v>0.4</v>
          </cell>
          <cell r="I77">
            <v>52000</v>
          </cell>
          <cell r="J77" t="str">
            <v>ĐG 01.02.2025</v>
          </cell>
        </row>
        <row r="78">
          <cell r="B78" t="str">
            <v>Quýt712vmd</v>
          </cell>
          <cell r="C78" t="str">
            <v>Cây quýt vượt mật độ</v>
          </cell>
          <cell r="D78" t="str">
            <v>7cm ≤ đk gốc &lt; 12cm</v>
          </cell>
          <cell r="E78">
            <v>3.8461538461538498</v>
          </cell>
          <cell r="F78" t="str">
            <v>cây</v>
          </cell>
          <cell r="G78">
            <v>500000</v>
          </cell>
          <cell r="H78">
            <v>0.4</v>
          </cell>
          <cell r="I78">
            <v>130000</v>
          </cell>
          <cell r="J78" t="str">
            <v>ĐG 01.02.2025</v>
          </cell>
        </row>
        <row r="79">
          <cell r="B79" t="str">
            <v>Quýt1220vmd</v>
          </cell>
          <cell r="C79" t="str">
            <v>Cây quýt vượt mật độ</v>
          </cell>
          <cell r="D79" t="str">
            <v>12cm ≤ đk gốc &lt; 20cm</v>
          </cell>
          <cell r="E79">
            <v>3.8461538461538498</v>
          </cell>
          <cell r="F79" t="str">
            <v>cây</v>
          </cell>
          <cell r="G79">
            <v>700000</v>
          </cell>
          <cell r="H79">
            <v>0.4</v>
          </cell>
          <cell r="I79">
            <v>182000</v>
          </cell>
          <cell r="J79" t="str">
            <v>ĐG 01.02.2025</v>
          </cell>
        </row>
        <row r="80">
          <cell r="B80" t="str">
            <v>Quýt20+vmd</v>
          </cell>
          <cell r="C80" t="str">
            <v>Cây quýt vượt mật độ</v>
          </cell>
          <cell r="D80" t="str">
            <v>đk gốc từ 20cm trở lên</v>
          </cell>
          <cell r="E80">
            <v>3.8461538461538498</v>
          </cell>
          <cell r="F80" t="str">
            <v>cây</v>
          </cell>
          <cell r="G80">
            <v>1000000</v>
          </cell>
          <cell r="H80">
            <v>0.4</v>
          </cell>
          <cell r="I80">
            <v>260000</v>
          </cell>
          <cell r="J80" t="str">
            <v>ĐG 01.02.2025</v>
          </cell>
        </row>
        <row r="81">
          <cell r="B81">
            <v>260000</v>
          </cell>
          <cell r="C81" t="str">
            <v>Đu đủ</v>
          </cell>
          <cell r="D81">
            <v>260000</v>
          </cell>
          <cell r="E81">
            <v>260000</v>
          </cell>
          <cell r="F81">
            <v>260000</v>
          </cell>
          <cell r="G81">
            <v>260000</v>
          </cell>
          <cell r="H81">
            <v>260000</v>
          </cell>
          <cell r="I81">
            <v>260000</v>
          </cell>
        </row>
        <row r="82">
          <cell r="B82" t="str">
            <v>Đủ25.vmd</v>
          </cell>
          <cell r="C82" t="str">
            <v>Cây đu đủ vượt mật độ</v>
          </cell>
          <cell r="D82" t="str">
            <v>0,2m ≤ cao &lt; 0,5m (chưa có quả)</v>
          </cell>
          <cell r="E82">
            <v>4.5454545454545503</v>
          </cell>
          <cell r="F82" t="str">
            <v>cây</v>
          </cell>
          <cell r="G82">
            <v>15000</v>
          </cell>
          <cell r="H82">
            <v>0.4</v>
          </cell>
          <cell r="I82">
            <v>15000</v>
          </cell>
          <cell r="J82" t="str">
            <v>ĐG 01.02.2025</v>
          </cell>
        </row>
        <row r="83">
          <cell r="B83" t="str">
            <v>Đủ5+chq.vmd</v>
          </cell>
          <cell r="C83" t="str">
            <v>Cây đu đủ vượt mật độ</v>
          </cell>
          <cell r="D83" t="str">
            <v>cao ≥ 0,5m, chưa có quả</v>
          </cell>
          <cell r="E83">
            <v>4.5454545454545503</v>
          </cell>
          <cell r="F83" t="str">
            <v>cây</v>
          </cell>
          <cell r="G83">
            <v>30000</v>
          </cell>
          <cell r="H83">
            <v>0.4</v>
          </cell>
          <cell r="I83">
            <v>6600</v>
          </cell>
          <cell r="J83" t="str">
            <v>ĐG 01.02.2025</v>
          </cell>
        </row>
        <row r="84">
          <cell r="B84" t="str">
            <v>Đủ5+coq.vmd</v>
          </cell>
          <cell r="C84" t="str">
            <v>Cây đu đủ vượt mật độ</v>
          </cell>
          <cell r="D84" t="str">
            <v>cao ≥ 0,5m, đang có quả</v>
          </cell>
          <cell r="E84">
            <v>4.5454545454545503</v>
          </cell>
          <cell r="F84" t="str">
            <v>cây</v>
          </cell>
          <cell r="G84">
            <v>60000</v>
          </cell>
          <cell r="H84">
            <v>0.4</v>
          </cell>
          <cell r="I84">
            <v>13200</v>
          </cell>
          <cell r="J84" t="str">
            <v>ĐG 01.02.2025</v>
          </cell>
        </row>
        <row r="85">
          <cell r="B85" t="str">
            <v>Đủ01</v>
          </cell>
          <cell r="C85" t="str">
            <v>Cây đu đủ</v>
          </cell>
          <cell r="D85" t="str">
            <v>cây giống</v>
          </cell>
          <cell r="E85">
            <v>13199.9921875</v>
          </cell>
          <cell r="F85" t="str">
            <v>m2</v>
          </cell>
          <cell r="G85">
            <v>50000</v>
          </cell>
          <cell r="H85">
            <v>0.8</v>
          </cell>
          <cell r="I85">
            <v>50000</v>
          </cell>
          <cell r="J85" t="str">
            <v>ĐG 01.02.2025</v>
          </cell>
        </row>
        <row r="86">
          <cell r="B86" t="str">
            <v>Đủ25</v>
          </cell>
          <cell r="C86" t="str">
            <v>Cây đu đủ</v>
          </cell>
          <cell r="D86" t="str">
            <v>0,2m ≤ cao &lt; 0,5m (chưa có quả)</v>
          </cell>
          <cell r="E86">
            <v>4.5454545454545503</v>
          </cell>
          <cell r="F86" t="str">
            <v>cây</v>
          </cell>
          <cell r="G86">
            <v>15000</v>
          </cell>
          <cell r="H86">
            <v>0.8</v>
          </cell>
          <cell r="I86">
            <v>3300</v>
          </cell>
          <cell r="J86" t="str">
            <v>ĐG 01.02.2025</v>
          </cell>
        </row>
        <row r="87">
          <cell r="B87" t="str">
            <v>Đủ5+chq</v>
          </cell>
          <cell r="C87" t="str">
            <v>Cây đu đủ</v>
          </cell>
          <cell r="D87" t="str">
            <v>cao ≥ 0,5m, chưa có quả</v>
          </cell>
          <cell r="E87">
            <v>4.5454545454545503</v>
          </cell>
          <cell r="F87" t="str">
            <v>cây</v>
          </cell>
          <cell r="G87">
            <v>30000</v>
          </cell>
          <cell r="H87">
            <v>0.8</v>
          </cell>
          <cell r="I87">
            <v>6600</v>
          </cell>
          <cell r="J87" t="str">
            <v>ĐG 01.02.2025</v>
          </cell>
        </row>
        <row r="88">
          <cell r="B88" t="str">
            <v>Đủ5+coq</v>
          </cell>
          <cell r="C88" t="str">
            <v>Cây đu đủ</v>
          </cell>
          <cell r="D88" t="str">
            <v>cao ≥ 0,5m, đang có quả</v>
          </cell>
          <cell r="E88">
            <v>4.5454545454545503</v>
          </cell>
          <cell r="F88" t="str">
            <v>cây</v>
          </cell>
          <cell r="G88">
            <v>60000</v>
          </cell>
          <cell r="H88">
            <v>0.8</v>
          </cell>
          <cell r="I88">
            <v>13200</v>
          </cell>
          <cell r="J88" t="str">
            <v>ĐG 01.02.2025</v>
          </cell>
        </row>
        <row r="89">
          <cell r="B89">
            <v>13199.9921875</v>
          </cell>
          <cell r="C89" t="str">
            <v>Thanh Long</v>
          </cell>
          <cell r="D89">
            <v>13199.9921875</v>
          </cell>
          <cell r="E89">
            <v>13199.9921875</v>
          </cell>
          <cell r="F89">
            <v>13199.9921875</v>
          </cell>
          <cell r="G89">
            <v>13199.9921875</v>
          </cell>
          <cell r="H89">
            <v>13199.9921875</v>
          </cell>
          <cell r="I89">
            <v>13199.9921875</v>
          </cell>
        </row>
        <row r="90">
          <cell r="B90" t="str">
            <v>thanhlong.chq</v>
          </cell>
          <cell r="C90" t="str">
            <v>Cây thanh long</v>
          </cell>
          <cell r="D90" t="str">
            <v>chưa có quả</v>
          </cell>
          <cell r="E90">
            <v>9.0909090909090899</v>
          </cell>
          <cell r="F90" t="str">
            <v>khóm</v>
          </cell>
          <cell r="G90">
            <v>20000</v>
          </cell>
          <cell r="H90">
            <v>0.8</v>
          </cell>
          <cell r="I90">
            <v>2200</v>
          </cell>
          <cell r="J90" t="str">
            <v>ĐG 01.02.2025</v>
          </cell>
        </row>
        <row r="91">
          <cell r="B91" t="str">
            <v>thanhlong.cq</v>
          </cell>
          <cell r="C91" t="str">
            <v>Cây thanh long</v>
          </cell>
          <cell r="D91" t="str">
            <v>đang có quả</v>
          </cell>
          <cell r="E91">
            <v>9.0909090909090899</v>
          </cell>
          <cell r="F91" t="str">
            <v>khóm</v>
          </cell>
          <cell r="G91">
            <v>50000</v>
          </cell>
          <cell r="H91">
            <v>0.8</v>
          </cell>
          <cell r="I91">
            <v>5500</v>
          </cell>
          <cell r="J91" t="str">
            <v>ĐG 01.02.2025</v>
          </cell>
        </row>
        <row r="92">
          <cell r="B92" t="str">
            <v>thanhlong.chqvmd</v>
          </cell>
          <cell r="C92" t="str">
            <v>Cây thanh long vượt mật độ</v>
          </cell>
          <cell r="D92" t="str">
            <v>chưa có quả</v>
          </cell>
          <cell r="E92">
            <v>9.0909090909090899</v>
          </cell>
          <cell r="F92" t="str">
            <v>khóm</v>
          </cell>
          <cell r="G92">
            <v>20000</v>
          </cell>
          <cell r="H92">
            <v>0.4</v>
          </cell>
          <cell r="I92">
            <v>2200</v>
          </cell>
          <cell r="J92" t="str">
            <v>ĐG 01.02.2025</v>
          </cell>
        </row>
        <row r="93">
          <cell r="B93" t="str">
            <v>thanhlong.cqvmd</v>
          </cell>
          <cell r="C93" t="str">
            <v>Cây thanh long vượt mật độ</v>
          </cell>
          <cell r="D93" t="str">
            <v>đang có quả</v>
          </cell>
          <cell r="E93">
            <v>9.0909090909090899</v>
          </cell>
          <cell r="F93" t="str">
            <v>khóm</v>
          </cell>
          <cell r="G93">
            <v>50000</v>
          </cell>
          <cell r="H93">
            <v>0.4</v>
          </cell>
          <cell r="I93">
            <v>5500</v>
          </cell>
          <cell r="J93" t="str">
            <v>ĐG 01.02.2025</v>
          </cell>
        </row>
        <row r="94">
          <cell r="B94">
            <v>5499.99609375</v>
          </cell>
          <cell r="C94" t="str">
            <v>Chuối</v>
          </cell>
          <cell r="D94">
            <v>5499.99609375</v>
          </cell>
          <cell r="E94">
            <v>5499.99609375</v>
          </cell>
          <cell r="F94">
            <v>5499.99609375</v>
          </cell>
          <cell r="G94">
            <v>5499.99609375</v>
          </cell>
          <cell r="H94">
            <v>5499.99609375</v>
          </cell>
          <cell r="I94">
            <v>5499.99609375</v>
          </cell>
        </row>
        <row r="95">
          <cell r="B95" t="str">
            <v>Chuối10-</v>
          </cell>
          <cell r="C95" t="str">
            <v>Chuối</v>
          </cell>
          <cell r="D95" t="str">
            <v>đk gốc &lt; 10cm</v>
          </cell>
          <cell r="E95">
            <v>4</v>
          </cell>
          <cell r="F95" t="str">
            <v>cây</v>
          </cell>
          <cell r="G95">
            <v>30000</v>
          </cell>
          <cell r="H95">
            <v>0.8</v>
          </cell>
          <cell r="I95">
            <v>7500</v>
          </cell>
          <cell r="J95" t="str">
            <v>ĐG 01.02.2025</v>
          </cell>
        </row>
        <row r="96">
          <cell r="B96" t="str">
            <v>Chuối10+</v>
          </cell>
          <cell r="C96" t="str">
            <v>Chuối</v>
          </cell>
          <cell r="D96" t="str">
            <v>đk gốc ≥ 10cm</v>
          </cell>
          <cell r="E96">
            <v>4</v>
          </cell>
          <cell r="F96" t="str">
            <v>cây</v>
          </cell>
          <cell r="G96">
            <v>60000</v>
          </cell>
          <cell r="H96">
            <v>0.8</v>
          </cell>
          <cell r="I96">
            <v>15000</v>
          </cell>
          <cell r="J96" t="str">
            <v>ĐG 01.02.2025</v>
          </cell>
        </row>
        <row r="97">
          <cell r="B97" t="str">
            <v>Chuối10-vmd</v>
          </cell>
          <cell r="C97" t="str">
            <v>Chuối vượt mật độ</v>
          </cell>
          <cell r="D97" t="str">
            <v>đk gốc &lt; 10cm</v>
          </cell>
          <cell r="E97">
            <v>4</v>
          </cell>
          <cell r="F97" t="str">
            <v>cây</v>
          </cell>
          <cell r="G97">
            <v>30000</v>
          </cell>
          <cell r="H97">
            <v>0.4</v>
          </cell>
          <cell r="I97">
            <v>7500</v>
          </cell>
          <cell r="J97" t="str">
            <v>ĐG 01.02.2025</v>
          </cell>
        </row>
        <row r="98">
          <cell r="B98" t="str">
            <v>Chuối10+vmd</v>
          </cell>
          <cell r="C98" t="str">
            <v>Chuối vượt mật độ</v>
          </cell>
          <cell r="D98" t="str">
            <v>đk gốc ≥ 10cm</v>
          </cell>
          <cell r="E98">
            <v>4</v>
          </cell>
          <cell r="F98" t="str">
            <v>cây</v>
          </cell>
          <cell r="G98">
            <v>60000</v>
          </cell>
          <cell r="H98">
            <v>0.4</v>
          </cell>
          <cell r="I98">
            <v>15000</v>
          </cell>
          <cell r="J98" t="str">
            <v>ĐG 01.02.2025</v>
          </cell>
        </row>
        <row r="99">
          <cell r="B99">
            <v>15000</v>
          </cell>
          <cell r="C99" t="str">
            <v>Nhãn</v>
          </cell>
          <cell r="D99">
            <v>15000</v>
          </cell>
          <cell r="E99">
            <v>15000</v>
          </cell>
          <cell r="F99">
            <v>15000</v>
          </cell>
          <cell r="G99">
            <v>15000</v>
          </cell>
          <cell r="H99">
            <v>15000</v>
          </cell>
          <cell r="I99">
            <v>15000</v>
          </cell>
        </row>
        <row r="100">
          <cell r="B100" t="str">
            <v>Nhãn01</v>
          </cell>
          <cell r="C100" t="str">
            <v>Cây nhãn</v>
          </cell>
          <cell r="D100" t="str">
            <v>cây giống</v>
          </cell>
          <cell r="E100">
            <v>15000</v>
          </cell>
          <cell r="F100" t="str">
            <v>m2</v>
          </cell>
          <cell r="G100">
            <v>180000</v>
          </cell>
          <cell r="H100">
            <v>0.8</v>
          </cell>
          <cell r="I100">
            <v>180000</v>
          </cell>
          <cell r="J100" t="str">
            <v>ĐG 01.02.2025</v>
          </cell>
        </row>
        <row r="101">
          <cell r="B101" t="str">
            <v>Nhãn25</v>
          </cell>
          <cell r="C101" t="str">
            <v>Cây nhãn</v>
          </cell>
          <cell r="D101" t="str">
            <v>2cm ≤ đk gốc &lt; 5cm</v>
          </cell>
          <cell r="E101">
            <v>25</v>
          </cell>
          <cell r="F101" t="str">
            <v>cây</v>
          </cell>
          <cell r="G101">
            <v>370000</v>
          </cell>
          <cell r="H101">
            <v>0.8</v>
          </cell>
          <cell r="I101">
            <v>14800</v>
          </cell>
          <cell r="J101" t="str">
            <v>ĐG 01.02.2025</v>
          </cell>
        </row>
        <row r="102">
          <cell r="B102" t="str">
            <v>Nhãn57</v>
          </cell>
          <cell r="C102" t="str">
            <v>Cây nhãn</v>
          </cell>
          <cell r="D102" t="str">
            <v>5cm ≤ đk gốc &lt; 7cm</v>
          </cell>
          <cell r="E102">
            <v>25</v>
          </cell>
          <cell r="F102" t="str">
            <v>cây</v>
          </cell>
          <cell r="G102">
            <v>1125000</v>
          </cell>
          <cell r="H102">
            <v>0.8</v>
          </cell>
          <cell r="I102">
            <v>45000</v>
          </cell>
          <cell r="J102" t="str">
            <v>ĐG 01.02.2025</v>
          </cell>
        </row>
        <row r="103">
          <cell r="B103" t="str">
            <v>Nhãn712</v>
          </cell>
          <cell r="C103" t="str">
            <v>Cây nhãn</v>
          </cell>
          <cell r="D103" t="str">
            <v>7cm ≤ đk gốc &lt; 12cm</v>
          </cell>
          <cell r="E103">
            <v>25</v>
          </cell>
          <cell r="F103" t="str">
            <v>cây</v>
          </cell>
          <cell r="G103">
            <v>2700000</v>
          </cell>
          <cell r="H103">
            <v>0.8</v>
          </cell>
          <cell r="I103">
            <v>108000</v>
          </cell>
          <cell r="J103" t="str">
            <v>ĐG 01.02.2025</v>
          </cell>
        </row>
        <row r="104">
          <cell r="B104" t="str">
            <v>Nhãn1220</v>
          </cell>
          <cell r="C104" t="str">
            <v>Cây nhãn</v>
          </cell>
          <cell r="D104" t="str">
            <v>12cm ≤ đk gốc &lt; 20cm</v>
          </cell>
          <cell r="E104">
            <v>25</v>
          </cell>
          <cell r="F104" t="str">
            <v>cây</v>
          </cell>
          <cell r="G104">
            <v>3750000</v>
          </cell>
          <cell r="H104">
            <v>0.8</v>
          </cell>
          <cell r="I104">
            <v>150000</v>
          </cell>
          <cell r="J104" t="str">
            <v>ĐG 01.02.2025</v>
          </cell>
        </row>
        <row r="105">
          <cell r="B105" t="str">
            <v>Nhãn2030</v>
          </cell>
          <cell r="C105" t="str">
            <v>Cây nhãn</v>
          </cell>
          <cell r="D105" t="str">
            <v>20cm ≤ đk gốc &lt; 30cm</v>
          </cell>
          <cell r="E105">
            <v>25</v>
          </cell>
          <cell r="F105" t="str">
            <v>cây</v>
          </cell>
          <cell r="G105">
            <v>3850000</v>
          </cell>
          <cell r="H105">
            <v>0.8</v>
          </cell>
          <cell r="I105">
            <v>154000</v>
          </cell>
          <cell r="J105" t="str">
            <v>ĐG 01.02.2025</v>
          </cell>
        </row>
        <row r="106">
          <cell r="B106" t="str">
            <v>Nhãn30+</v>
          </cell>
          <cell r="C106" t="str">
            <v>Cây nhãn</v>
          </cell>
          <cell r="D106" t="str">
            <v>đk gốc từ 30cm trở lên</v>
          </cell>
          <cell r="E106">
            <v>25</v>
          </cell>
          <cell r="F106" t="str">
            <v>cây</v>
          </cell>
          <cell r="G106">
            <v>4500000</v>
          </cell>
          <cell r="H106">
            <v>0.8</v>
          </cell>
          <cell r="I106">
            <v>180000</v>
          </cell>
          <cell r="J106" t="str">
            <v>ĐG 01.02.2025</v>
          </cell>
        </row>
        <row r="107">
          <cell r="B107" t="str">
            <v>Nhãn01vmd</v>
          </cell>
          <cell r="C107" t="str">
            <v>Cây nhãn vượt mật độ</v>
          </cell>
          <cell r="D107" t="str">
            <v>cây giống</v>
          </cell>
          <cell r="E107">
            <v>180000</v>
          </cell>
          <cell r="F107" t="str">
            <v>m2</v>
          </cell>
          <cell r="G107">
            <v>180000</v>
          </cell>
          <cell r="H107">
            <v>0.4</v>
          </cell>
          <cell r="I107">
            <v>180000</v>
          </cell>
          <cell r="J107" t="str">
            <v>ĐG 01.02.2025</v>
          </cell>
        </row>
        <row r="108">
          <cell r="B108" t="str">
            <v>Nhãn25vmd</v>
          </cell>
          <cell r="C108" t="str">
            <v>Cây nhãn vượt mật độ</v>
          </cell>
          <cell r="D108" t="str">
            <v>2cm ≤ đk gốc &lt; 5cm</v>
          </cell>
          <cell r="E108">
            <v>25</v>
          </cell>
          <cell r="F108" t="str">
            <v>cây</v>
          </cell>
          <cell r="G108">
            <v>370000</v>
          </cell>
          <cell r="H108">
            <v>0.4</v>
          </cell>
          <cell r="I108">
            <v>14800</v>
          </cell>
          <cell r="J108" t="str">
            <v>ĐG 01.02.2025</v>
          </cell>
        </row>
        <row r="109">
          <cell r="B109" t="str">
            <v>Nhãn57vmd</v>
          </cell>
          <cell r="C109" t="str">
            <v>Cây nhãn vượt mật độ</v>
          </cell>
          <cell r="D109" t="str">
            <v>5cm ≤ đk gốc &lt; 7cm</v>
          </cell>
          <cell r="E109">
            <v>25</v>
          </cell>
          <cell r="F109" t="str">
            <v>cây</v>
          </cell>
          <cell r="G109">
            <v>1125000</v>
          </cell>
          <cell r="H109">
            <v>0.4</v>
          </cell>
          <cell r="I109">
            <v>45000</v>
          </cell>
          <cell r="J109" t="str">
            <v>ĐG 01.02.2025</v>
          </cell>
          <cell r="R109" t="str">
            <v>7cm ≤ đk gốc &lt; 12cm</v>
          </cell>
        </row>
        <row r="110">
          <cell r="B110" t="str">
            <v>Nhãn712vmd</v>
          </cell>
          <cell r="C110" t="str">
            <v>Cây nhãn vượt mật độ</v>
          </cell>
          <cell r="D110" t="str">
            <v>7cm ≤ đk gốc &lt; 12cm</v>
          </cell>
          <cell r="E110">
            <v>25</v>
          </cell>
          <cell r="F110" t="str">
            <v>cây</v>
          </cell>
          <cell r="G110">
            <v>2700000</v>
          </cell>
          <cell r="H110">
            <v>0.4</v>
          </cell>
          <cell r="I110">
            <v>108000</v>
          </cell>
          <cell r="J110" t="str">
            <v>ĐG 01.02.2025</v>
          </cell>
        </row>
        <row r="111">
          <cell r="B111" t="str">
            <v>Nhãn1220vmd</v>
          </cell>
          <cell r="C111" t="str">
            <v>Cây nhãn vượt mật độ</v>
          </cell>
          <cell r="D111" t="str">
            <v>12cm ≤ đk gốc &lt; 20cm</v>
          </cell>
          <cell r="E111">
            <v>25</v>
          </cell>
          <cell r="F111" t="str">
            <v>cây</v>
          </cell>
          <cell r="G111">
            <v>3750000</v>
          </cell>
          <cell r="H111">
            <v>0.4</v>
          </cell>
          <cell r="I111">
            <v>150000</v>
          </cell>
          <cell r="J111" t="str">
            <v>ĐG 01.02.2025</v>
          </cell>
        </row>
        <row r="112">
          <cell r="B112" t="str">
            <v>Nhãn2030vmd</v>
          </cell>
          <cell r="C112" t="str">
            <v>Cây nhãn vượt mật độ</v>
          </cell>
          <cell r="D112" t="str">
            <v>20cm ≤ đk gốc &lt; 30cm</v>
          </cell>
          <cell r="E112">
            <v>25</v>
          </cell>
          <cell r="F112" t="str">
            <v>cây</v>
          </cell>
          <cell r="G112">
            <v>3850000</v>
          </cell>
          <cell r="H112">
            <v>0.4</v>
          </cell>
          <cell r="I112">
            <v>154000</v>
          </cell>
          <cell r="J112" t="str">
            <v>ĐG 01.02.2025</v>
          </cell>
        </row>
        <row r="113">
          <cell r="B113" t="str">
            <v>Nhãn30+vmd</v>
          </cell>
          <cell r="C113" t="str">
            <v>Cây nhãn vượt mật độ</v>
          </cell>
          <cell r="D113" t="str">
            <v>đk gốc từ 30cm trở lên</v>
          </cell>
          <cell r="E113">
            <v>25</v>
          </cell>
          <cell r="F113" t="str">
            <v>cây</v>
          </cell>
          <cell r="G113">
            <v>4500000</v>
          </cell>
          <cell r="H113">
            <v>0.4</v>
          </cell>
          <cell r="I113">
            <v>180000</v>
          </cell>
          <cell r="J113" t="str">
            <v>ĐG 01.02.2025</v>
          </cell>
        </row>
        <row r="114">
          <cell r="B114">
            <v>180000</v>
          </cell>
          <cell r="C114" t="str">
            <v>Cây vải</v>
          </cell>
          <cell r="D114">
            <v>180000</v>
          </cell>
          <cell r="E114">
            <v>180000</v>
          </cell>
          <cell r="F114">
            <v>180000</v>
          </cell>
          <cell r="G114">
            <v>180000</v>
          </cell>
          <cell r="H114">
            <v>180000</v>
          </cell>
          <cell r="I114">
            <v>180000</v>
          </cell>
          <cell r="J114">
            <v>180000</v>
          </cell>
        </row>
        <row r="115">
          <cell r="B115" t="str">
            <v>Vải01</v>
          </cell>
          <cell r="C115" t="str">
            <v>Cây vải</v>
          </cell>
          <cell r="D115" t="str">
            <v>cây giống</v>
          </cell>
          <cell r="E115">
            <v>180000</v>
          </cell>
          <cell r="F115" t="str">
            <v>m2</v>
          </cell>
          <cell r="G115">
            <v>180000</v>
          </cell>
          <cell r="H115">
            <v>0.8</v>
          </cell>
          <cell r="I115">
            <v>180000</v>
          </cell>
          <cell r="J115" t="str">
            <v>ĐG 01.02.2025</v>
          </cell>
        </row>
        <row r="116">
          <cell r="B116" t="str">
            <v>Vải25</v>
          </cell>
          <cell r="C116" t="str">
            <v>Cây vải</v>
          </cell>
          <cell r="D116" t="str">
            <v>2cm ≤ đk gốc &lt; 5cm</v>
          </cell>
          <cell r="E116">
            <v>25</v>
          </cell>
          <cell r="F116" t="str">
            <v>cây</v>
          </cell>
          <cell r="G116">
            <v>370000</v>
          </cell>
          <cell r="H116">
            <v>0.8</v>
          </cell>
          <cell r="I116">
            <v>14800</v>
          </cell>
          <cell r="J116" t="str">
            <v>ĐG 01.02.2025</v>
          </cell>
        </row>
        <row r="117">
          <cell r="B117" t="str">
            <v>Vải57</v>
          </cell>
          <cell r="C117" t="str">
            <v>Cây vải</v>
          </cell>
          <cell r="D117" t="str">
            <v>5cm ≤ đk gốc &lt; 7cm</v>
          </cell>
          <cell r="E117">
            <v>25</v>
          </cell>
          <cell r="F117" t="str">
            <v>cây</v>
          </cell>
          <cell r="G117">
            <v>1125000</v>
          </cell>
          <cell r="H117">
            <v>0.8</v>
          </cell>
          <cell r="I117">
            <v>45000</v>
          </cell>
          <cell r="J117" t="str">
            <v>ĐG 01.02.2025</v>
          </cell>
        </row>
        <row r="118">
          <cell r="B118" t="str">
            <v>Vải712</v>
          </cell>
          <cell r="C118" t="str">
            <v>Cây vải</v>
          </cell>
          <cell r="D118" t="str">
            <v>7cm ≤ đk gốc &lt; 12cm</v>
          </cell>
          <cell r="E118">
            <v>25</v>
          </cell>
          <cell r="F118" t="str">
            <v>cây</v>
          </cell>
          <cell r="G118">
            <v>2700000</v>
          </cell>
          <cell r="H118">
            <v>0.8</v>
          </cell>
          <cell r="I118">
            <v>108000</v>
          </cell>
          <cell r="J118" t="str">
            <v>ĐG 01.02.2025</v>
          </cell>
        </row>
        <row r="119">
          <cell r="B119" t="str">
            <v>Vải1220</v>
          </cell>
          <cell r="C119" t="str">
            <v>Cây vải</v>
          </cell>
          <cell r="D119" t="str">
            <v>12cm ≤ đk gốc &lt; 20cm</v>
          </cell>
          <cell r="E119">
            <v>25</v>
          </cell>
          <cell r="F119" t="str">
            <v>cây</v>
          </cell>
          <cell r="G119">
            <v>3750000</v>
          </cell>
          <cell r="H119">
            <v>0.8</v>
          </cell>
          <cell r="I119">
            <v>150000</v>
          </cell>
          <cell r="J119" t="str">
            <v>ĐG 01.02.2025</v>
          </cell>
        </row>
        <row r="120">
          <cell r="B120" t="str">
            <v>Vải2030</v>
          </cell>
          <cell r="C120" t="str">
            <v>Cây vải</v>
          </cell>
          <cell r="D120" t="str">
            <v>20cm ≤ đk gốc &lt; 30cm</v>
          </cell>
          <cell r="E120">
            <v>25</v>
          </cell>
          <cell r="F120" t="str">
            <v>cây</v>
          </cell>
          <cell r="G120">
            <v>3850000</v>
          </cell>
          <cell r="H120">
            <v>0.8</v>
          </cell>
          <cell r="I120">
            <v>154000</v>
          </cell>
          <cell r="J120" t="str">
            <v>ĐG 01.02.2025</v>
          </cell>
        </row>
        <row r="121">
          <cell r="B121" t="str">
            <v>Vải30+</v>
          </cell>
          <cell r="C121" t="str">
            <v>Cây vải</v>
          </cell>
          <cell r="D121" t="str">
            <v>đk gốc từ trên 30cm</v>
          </cell>
          <cell r="E121">
            <v>25</v>
          </cell>
          <cell r="F121" t="str">
            <v>cây</v>
          </cell>
          <cell r="G121">
            <v>4500000</v>
          </cell>
          <cell r="H121">
            <v>0.8</v>
          </cell>
          <cell r="I121">
            <v>0.79999971389770497</v>
          </cell>
          <cell r="J121" t="str">
            <v>ĐG 01.02.2025</v>
          </cell>
        </row>
        <row r="122">
          <cell r="B122" t="str">
            <v>Vải25vmd</v>
          </cell>
          <cell r="C122" t="str">
            <v>Cây vải vượt mật độ</v>
          </cell>
          <cell r="D122" t="str">
            <v>2cm ≤ đk gốc &lt; 5cm</v>
          </cell>
          <cell r="E122">
            <v>25</v>
          </cell>
          <cell r="F122" t="str">
            <v>cây</v>
          </cell>
          <cell r="G122">
            <v>370000</v>
          </cell>
          <cell r="H122">
            <v>0.4</v>
          </cell>
          <cell r="I122">
            <v>14800</v>
          </cell>
          <cell r="J122" t="str">
            <v>ĐG 01.02.2025</v>
          </cell>
        </row>
        <row r="123">
          <cell r="B123" t="str">
            <v>Vải57vmd</v>
          </cell>
          <cell r="C123" t="str">
            <v>Cây vải vượt mật độ</v>
          </cell>
          <cell r="D123" t="str">
            <v>5cm ≤ đk gốc &lt; 7cm</v>
          </cell>
          <cell r="E123">
            <v>25</v>
          </cell>
          <cell r="F123" t="str">
            <v>cây</v>
          </cell>
          <cell r="G123">
            <v>1125000</v>
          </cell>
          <cell r="H123">
            <v>0.4</v>
          </cell>
          <cell r="I123">
            <v>0.39999985694885298</v>
          </cell>
          <cell r="J123" t="str">
            <v>ĐG 01.02.2025</v>
          </cell>
        </row>
        <row r="124">
          <cell r="B124" t="str">
            <v>Vải712vmd</v>
          </cell>
          <cell r="C124" t="str">
            <v>Cây vải vượt mật độ</v>
          </cell>
          <cell r="D124" t="str">
            <v>7cm ≤ đk gốc &lt; 12cm</v>
          </cell>
          <cell r="E124">
            <v>25</v>
          </cell>
          <cell r="F124" t="str">
            <v>cây</v>
          </cell>
          <cell r="G124">
            <v>2700000</v>
          </cell>
          <cell r="H124">
            <v>0.4</v>
          </cell>
          <cell r="I124">
            <v>108000</v>
          </cell>
          <cell r="J124" t="str">
            <v>ĐG 01.02.2025</v>
          </cell>
        </row>
        <row r="125">
          <cell r="B125" t="str">
            <v>Vải1220vmd</v>
          </cell>
          <cell r="C125" t="str">
            <v>Cây vải vượt mật độ</v>
          </cell>
          <cell r="D125" t="str">
            <v>12cm ≤ đk gốc &lt; 20cm</v>
          </cell>
          <cell r="E125">
            <v>25</v>
          </cell>
          <cell r="F125" t="str">
            <v>cây</v>
          </cell>
          <cell r="G125">
            <v>3750000</v>
          </cell>
          <cell r="H125">
            <v>0.4</v>
          </cell>
          <cell r="I125">
            <v>150000</v>
          </cell>
          <cell r="J125" t="str">
            <v>ĐG 01.02.2025</v>
          </cell>
        </row>
        <row r="126">
          <cell r="B126" t="str">
            <v>Vải2030vmd</v>
          </cell>
          <cell r="C126" t="str">
            <v>Cây vải vượt mật độ</v>
          </cell>
          <cell r="D126" t="str">
            <v>20cm ≤ đk gốc &lt; 30cm</v>
          </cell>
          <cell r="E126">
            <v>25</v>
          </cell>
          <cell r="F126" t="str">
            <v>cây</v>
          </cell>
          <cell r="G126">
            <v>3850000</v>
          </cell>
          <cell r="H126">
            <v>0.4</v>
          </cell>
          <cell r="I126">
            <v>154000</v>
          </cell>
          <cell r="J126" t="str">
            <v>ĐG 01.02.2025</v>
          </cell>
        </row>
        <row r="127">
          <cell r="B127" t="str">
            <v>Vải30+vmd</v>
          </cell>
          <cell r="C127" t="str">
            <v>Cây vải vượt mật độ</v>
          </cell>
          <cell r="D127" t="str">
            <v>đk gốc từ trên 30cm</v>
          </cell>
          <cell r="E127">
            <v>25</v>
          </cell>
          <cell r="F127" t="str">
            <v>cây</v>
          </cell>
          <cell r="G127">
            <v>4500000</v>
          </cell>
          <cell r="H127">
            <v>0.4</v>
          </cell>
          <cell r="I127">
            <v>180000</v>
          </cell>
          <cell r="J127" t="str">
            <v>ĐG 01.02.2025</v>
          </cell>
        </row>
        <row r="128">
          <cell r="B128">
            <v>180000</v>
          </cell>
          <cell r="C128" t="str">
            <v>Hồng xiêm</v>
          </cell>
          <cell r="D128">
            <v>180000</v>
          </cell>
          <cell r="E128">
            <v>180000</v>
          </cell>
          <cell r="F128">
            <v>180000</v>
          </cell>
          <cell r="G128">
            <v>180000</v>
          </cell>
          <cell r="H128">
            <v>180000</v>
          </cell>
          <cell r="I128">
            <v>180000</v>
          </cell>
        </row>
        <row r="129">
          <cell r="B129" t="str">
            <v>Hx01</v>
          </cell>
          <cell r="C129" t="str">
            <v>Hồng xiêm</v>
          </cell>
          <cell r="D129" t="str">
            <v>cây giống</v>
          </cell>
          <cell r="E129">
            <v>180000</v>
          </cell>
          <cell r="F129" t="str">
            <v>m2</v>
          </cell>
          <cell r="G129">
            <v>100000</v>
          </cell>
          <cell r="H129">
            <v>0.8</v>
          </cell>
          <cell r="I129">
            <v>100000</v>
          </cell>
          <cell r="J129" t="str">
            <v>ĐG 01.02.2025</v>
          </cell>
        </row>
        <row r="130">
          <cell r="B130" t="str">
            <v>Hx27</v>
          </cell>
          <cell r="C130" t="str">
            <v>Hồng xiêm</v>
          </cell>
          <cell r="D130" t="str">
            <v>2cm ≤ đk gốc &lt; 7cm</v>
          </cell>
          <cell r="E130">
            <v>25</v>
          </cell>
          <cell r="F130" t="str">
            <v>cây</v>
          </cell>
          <cell r="G130">
            <v>220000</v>
          </cell>
          <cell r="H130">
            <v>0.8</v>
          </cell>
          <cell r="I130">
            <v>8800</v>
          </cell>
          <cell r="J130" t="str">
            <v>ĐG 01.02.2025</v>
          </cell>
        </row>
        <row r="131">
          <cell r="B131" t="str">
            <v>Hx712</v>
          </cell>
          <cell r="C131" t="str">
            <v>Hồng xiêm</v>
          </cell>
          <cell r="D131" t="str">
            <v>7cm ≤ đk gốc &lt; 12cm</v>
          </cell>
          <cell r="E131">
            <v>25</v>
          </cell>
          <cell r="F131" t="str">
            <v>cây</v>
          </cell>
          <cell r="G131">
            <v>370000</v>
          </cell>
          <cell r="H131">
            <v>0.8</v>
          </cell>
          <cell r="I131">
            <v>14800</v>
          </cell>
          <cell r="J131" t="str">
            <v>ĐG 01.02.2025</v>
          </cell>
        </row>
        <row r="132">
          <cell r="B132" t="str">
            <v>Hx1220</v>
          </cell>
          <cell r="C132" t="str">
            <v>Hồng xiêm</v>
          </cell>
          <cell r="D132" t="str">
            <v>12cm ≤ đk gốc &lt; 20cm</v>
          </cell>
          <cell r="E132">
            <v>25</v>
          </cell>
          <cell r="F132" t="str">
            <v>cây</v>
          </cell>
          <cell r="G132">
            <v>520000</v>
          </cell>
          <cell r="H132">
            <v>0.8</v>
          </cell>
          <cell r="I132">
            <v>20800</v>
          </cell>
          <cell r="J132" t="str">
            <v>ĐG 01.02.2025</v>
          </cell>
        </row>
        <row r="133">
          <cell r="B133" t="str">
            <v>Hx2030</v>
          </cell>
          <cell r="C133" t="str">
            <v>Hồng xiêm</v>
          </cell>
          <cell r="D133" t="str">
            <v>20cm ≤ đk gốc &lt; 30cm</v>
          </cell>
          <cell r="E133">
            <v>25</v>
          </cell>
          <cell r="F133" t="str">
            <v>cây</v>
          </cell>
          <cell r="G133">
            <v>600000</v>
          </cell>
          <cell r="H133">
            <v>0.8</v>
          </cell>
          <cell r="I133">
            <v>24000</v>
          </cell>
          <cell r="J133" t="str">
            <v>ĐG 01.02.2025</v>
          </cell>
        </row>
        <row r="134">
          <cell r="B134" t="str">
            <v>Hx30+</v>
          </cell>
          <cell r="C134" t="str">
            <v>Hồng xiêm</v>
          </cell>
          <cell r="D134" t="str">
            <v>đk gốc từ 30cm trở lên</v>
          </cell>
          <cell r="E134">
            <v>25</v>
          </cell>
          <cell r="F134" t="str">
            <v>cây</v>
          </cell>
          <cell r="G134">
            <v>750000</v>
          </cell>
          <cell r="H134">
            <v>0.8</v>
          </cell>
          <cell r="I134">
            <v>30000</v>
          </cell>
          <cell r="J134" t="str">
            <v>ĐG 01.02.2025</v>
          </cell>
        </row>
        <row r="135">
          <cell r="B135" t="str">
            <v>Hx27vmd</v>
          </cell>
          <cell r="C135" t="str">
            <v>Hồng xiêm vượt mật độ</v>
          </cell>
          <cell r="D135" t="str">
            <v>2cm ≤ đk gốc &lt; 7cm</v>
          </cell>
          <cell r="E135">
            <v>25</v>
          </cell>
          <cell r="F135" t="str">
            <v>cây</v>
          </cell>
          <cell r="G135">
            <v>220000</v>
          </cell>
          <cell r="H135">
            <v>0.4</v>
          </cell>
          <cell r="I135">
            <v>8800</v>
          </cell>
          <cell r="J135" t="str">
            <v>ĐG 01.02.2025</v>
          </cell>
        </row>
        <row r="136">
          <cell r="B136" t="str">
            <v>Hx712vmd</v>
          </cell>
          <cell r="C136" t="str">
            <v>Hồng xiêm vượt mật độ</v>
          </cell>
          <cell r="D136" t="str">
            <v>7cm ≤ đk gốc &lt; 12cm</v>
          </cell>
          <cell r="E136">
            <v>25</v>
          </cell>
          <cell r="F136" t="str">
            <v>cây</v>
          </cell>
          <cell r="G136">
            <v>370000</v>
          </cell>
          <cell r="H136">
            <v>0.4</v>
          </cell>
          <cell r="I136">
            <v>14800</v>
          </cell>
          <cell r="J136" t="str">
            <v>ĐG 01.02.2025</v>
          </cell>
        </row>
        <row r="137">
          <cell r="B137" t="str">
            <v>Hx1220vmd</v>
          </cell>
          <cell r="C137" t="str">
            <v>Hồng xiêm vượt mật độ</v>
          </cell>
          <cell r="D137" t="str">
            <v>12cm ≤ đk gốc &lt; 20cm</v>
          </cell>
          <cell r="E137">
            <v>25</v>
          </cell>
          <cell r="F137" t="str">
            <v>cây</v>
          </cell>
          <cell r="G137">
            <v>520000</v>
          </cell>
          <cell r="H137">
            <v>0.4</v>
          </cell>
          <cell r="I137">
            <v>20800</v>
          </cell>
          <cell r="J137" t="str">
            <v>ĐG 01.02.2025</v>
          </cell>
        </row>
        <row r="138">
          <cell r="B138" t="str">
            <v>Hx2030vmd</v>
          </cell>
          <cell r="C138" t="str">
            <v>Hồng xiêm vượt mật độ</v>
          </cell>
          <cell r="D138" t="str">
            <v>20cm ≤ đk gốc &lt; 30cm</v>
          </cell>
          <cell r="E138">
            <v>25</v>
          </cell>
          <cell r="F138" t="str">
            <v>cây</v>
          </cell>
          <cell r="G138">
            <v>600000</v>
          </cell>
          <cell r="H138">
            <v>0.4</v>
          </cell>
          <cell r="I138">
            <v>24000</v>
          </cell>
          <cell r="J138" t="str">
            <v>ĐG 01.02.2025</v>
          </cell>
        </row>
        <row r="139">
          <cell r="B139" t="str">
            <v>Hx30+vmd</v>
          </cell>
          <cell r="C139" t="str">
            <v>Hồng xiêm vượt mật độ</v>
          </cell>
          <cell r="D139" t="str">
            <v>đk gốc từ 30cm trở lên</v>
          </cell>
          <cell r="E139">
            <v>25</v>
          </cell>
          <cell r="F139" t="str">
            <v>cây</v>
          </cell>
          <cell r="G139">
            <v>750000</v>
          </cell>
          <cell r="H139">
            <v>0.4</v>
          </cell>
          <cell r="I139">
            <v>30000</v>
          </cell>
          <cell r="J139" t="str">
            <v>ĐG 01.02.2025</v>
          </cell>
        </row>
        <row r="140">
          <cell r="B140">
            <v>30000</v>
          </cell>
          <cell r="C140" t="str">
            <v>Cây khế</v>
          </cell>
          <cell r="D140">
            <v>30000</v>
          </cell>
          <cell r="E140">
            <v>30000</v>
          </cell>
          <cell r="F140">
            <v>30000</v>
          </cell>
          <cell r="G140">
            <v>30000</v>
          </cell>
          <cell r="H140">
            <v>30000</v>
          </cell>
          <cell r="I140">
            <v>30000</v>
          </cell>
        </row>
        <row r="141">
          <cell r="B141" t="str">
            <v>Khế01</v>
          </cell>
          <cell r="C141" t="str">
            <v>Cây Khế</v>
          </cell>
          <cell r="D141" t="str">
            <v>cây giống</v>
          </cell>
          <cell r="E141">
            <v>30000</v>
          </cell>
          <cell r="F141" t="str">
            <v>m2</v>
          </cell>
          <cell r="G141">
            <v>100000</v>
          </cell>
          <cell r="H141">
            <v>0.8</v>
          </cell>
          <cell r="I141">
            <v>100000</v>
          </cell>
          <cell r="J141" t="str">
            <v>ĐG 01.02.2025</v>
          </cell>
        </row>
        <row r="142">
          <cell r="B142" t="str">
            <v>Khế27</v>
          </cell>
          <cell r="C142" t="str">
            <v>Cây Khế</v>
          </cell>
          <cell r="D142" t="str">
            <v>2cm ≤ đk gốc &lt; 7cm</v>
          </cell>
          <cell r="E142">
            <v>30.303030303030301</v>
          </cell>
          <cell r="F142" t="str">
            <v>cây</v>
          </cell>
          <cell r="G142">
            <v>220000</v>
          </cell>
          <cell r="H142">
            <v>0.8</v>
          </cell>
          <cell r="I142">
            <v>7260</v>
          </cell>
          <cell r="J142" t="str">
            <v>ĐG 01.02.2025</v>
          </cell>
        </row>
        <row r="143">
          <cell r="B143" t="str">
            <v>Khế712</v>
          </cell>
          <cell r="C143" t="str">
            <v>Cây Khế</v>
          </cell>
          <cell r="D143" t="str">
            <v>7cm ≤ đk gốc &lt; 12cm</v>
          </cell>
          <cell r="E143">
            <v>30.303030303030301</v>
          </cell>
          <cell r="F143" t="str">
            <v>cây</v>
          </cell>
          <cell r="G143">
            <v>370000</v>
          </cell>
          <cell r="H143">
            <v>0.8</v>
          </cell>
          <cell r="I143">
            <v>12210</v>
          </cell>
          <cell r="J143" t="str">
            <v>ĐG 01.02.2025</v>
          </cell>
        </row>
        <row r="144">
          <cell r="B144" t="str">
            <v>Khế1220</v>
          </cell>
          <cell r="C144" t="str">
            <v>Cây Khế</v>
          </cell>
          <cell r="D144" t="str">
            <v>12cm ≤ đk gốc &lt; 20cm</v>
          </cell>
          <cell r="E144">
            <v>30.303030303030301</v>
          </cell>
          <cell r="F144" t="str">
            <v>cây</v>
          </cell>
          <cell r="G144">
            <v>520000</v>
          </cell>
          <cell r="H144">
            <v>0.8</v>
          </cell>
          <cell r="I144">
            <v>17160</v>
          </cell>
          <cell r="J144" t="str">
            <v>ĐG 01.02.2025</v>
          </cell>
        </row>
        <row r="145">
          <cell r="B145" t="str">
            <v>Khế2030</v>
          </cell>
          <cell r="C145" t="str">
            <v>Cây Khế</v>
          </cell>
          <cell r="D145" t="str">
            <v>20cm ≤ đk gốc &lt; 30cm</v>
          </cell>
          <cell r="E145">
            <v>30.303030303030301</v>
          </cell>
          <cell r="F145" t="str">
            <v>cây</v>
          </cell>
          <cell r="G145">
            <v>600000</v>
          </cell>
          <cell r="H145">
            <v>0.8</v>
          </cell>
          <cell r="I145">
            <v>19800</v>
          </cell>
          <cell r="J145" t="str">
            <v>ĐG 01.02.2025</v>
          </cell>
        </row>
        <row r="146">
          <cell r="B146" t="str">
            <v>Khế30+</v>
          </cell>
          <cell r="C146" t="str">
            <v>Cây Khế</v>
          </cell>
          <cell r="D146" t="str">
            <v>đk gốc từ trên 30cm</v>
          </cell>
          <cell r="E146">
            <v>30.303030303030301</v>
          </cell>
          <cell r="F146" t="str">
            <v>cây</v>
          </cell>
          <cell r="G146">
            <v>750000</v>
          </cell>
          <cell r="H146">
            <v>0.8</v>
          </cell>
          <cell r="I146">
            <v>24750</v>
          </cell>
          <cell r="J146" t="str">
            <v>ĐG 01.02.2025</v>
          </cell>
        </row>
        <row r="147">
          <cell r="B147" t="str">
            <v>Khế27vmd</v>
          </cell>
          <cell r="C147" t="str">
            <v>Cây Khế vượt mật độ</v>
          </cell>
          <cell r="D147" t="str">
            <v>2cm ≤ đk gốc &lt; 7cm</v>
          </cell>
          <cell r="E147">
            <v>30.303030303030301</v>
          </cell>
          <cell r="F147" t="str">
            <v>cây</v>
          </cell>
          <cell r="G147">
            <v>220000</v>
          </cell>
          <cell r="H147">
            <v>0.4</v>
          </cell>
          <cell r="I147">
            <v>7260</v>
          </cell>
          <cell r="J147" t="str">
            <v>ĐG 01.02.2025</v>
          </cell>
        </row>
        <row r="148">
          <cell r="B148" t="str">
            <v>Khế712vmd</v>
          </cell>
          <cell r="C148" t="str">
            <v>Cây Khế vượt mật độ</v>
          </cell>
          <cell r="D148" t="str">
            <v>7cm ≤ đk gốc &lt; 12cm</v>
          </cell>
          <cell r="E148">
            <v>30.303030303030301</v>
          </cell>
          <cell r="F148" t="str">
            <v>cây</v>
          </cell>
          <cell r="G148">
            <v>370000</v>
          </cell>
          <cell r="H148">
            <v>0.4</v>
          </cell>
          <cell r="I148">
            <v>12210</v>
          </cell>
          <cell r="J148" t="str">
            <v>ĐG 01.02.2025</v>
          </cell>
        </row>
        <row r="149">
          <cell r="B149" t="str">
            <v>Khế1220vmd</v>
          </cell>
          <cell r="C149" t="str">
            <v>Cây Khế vượt mật độ</v>
          </cell>
          <cell r="D149" t="str">
            <v>12cm ≤ đk gốc &lt; 20cm</v>
          </cell>
          <cell r="E149">
            <v>30.303030303030301</v>
          </cell>
          <cell r="F149" t="str">
            <v>cây</v>
          </cell>
          <cell r="G149">
            <v>520000</v>
          </cell>
          <cell r="H149">
            <v>0.4</v>
          </cell>
          <cell r="I149">
            <v>17160</v>
          </cell>
          <cell r="J149" t="str">
            <v>ĐG 01.02.2025</v>
          </cell>
        </row>
        <row r="150">
          <cell r="B150" t="str">
            <v>Khế2030vmd</v>
          </cell>
          <cell r="C150" t="str">
            <v>Cây Khế vượt mật độ</v>
          </cell>
          <cell r="D150" t="str">
            <v>20cm ≤ đk gốc &lt; 30cm</v>
          </cell>
          <cell r="E150">
            <v>30.303030303030301</v>
          </cell>
          <cell r="F150" t="str">
            <v>cây</v>
          </cell>
          <cell r="G150">
            <v>600000</v>
          </cell>
          <cell r="H150">
            <v>0.4</v>
          </cell>
          <cell r="I150">
            <v>19800</v>
          </cell>
          <cell r="J150" t="str">
            <v>ĐG 01.02.2025</v>
          </cell>
        </row>
        <row r="151">
          <cell r="B151" t="str">
            <v>Khế30+vmd</v>
          </cell>
          <cell r="C151" t="str">
            <v>Cây Khế vượt mật độ</v>
          </cell>
          <cell r="D151" t="str">
            <v>đk gốc từ trên 30cm</v>
          </cell>
          <cell r="E151">
            <v>30.303030303030301</v>
          </cell>
          <cell r="F151" t="str">
            <v>cây</v>
          </cell>
          <cell r="G151">
            <v>750000</v>
          </cell>
          <cell r="H151">
            <v>0.4</v>
          </cell>
          <cell r="I151">
            <v>24750</v>
          </cell>
          <cell r="J151" t="str">
            <v>ĐG 01.02.2025</v>
          </cell>
        </row>
        <row r="152">
          <cell r="B152">
            <v>24750</v>
          </cell>
          <cell r="C152" t="str">
            <v>Cây Bơ</v>
          </cell>
          <cell r="D152">
            <v>24750</v>
          </cell>
          <cell r="E152">
            <v>24750</v>
          </cell>
          <cell r="F152">
            <v>24750</v>
          </cell>
          <cell r="G152">
            <v>24750</v>
          </cell>
          <cell r="H152">
            <v>24750</v>
          </cell>
          <cell r="I152">
            <v>24750</v>
          </cell>
        </row>
        <row r="153">
          <cell r="B153" t="str">
            <v>Bơ01</v>
          </cell>
          <cell r="C153" t="str">
            <v>Cây Bơ</v>
          </cell>
          <cell r="D153" t="str">
            <v>cây giống</v>
          </cell>
          <cell r="E153">
            <v>24750</v>
          </cell>
          <cell r="F153" t="str">
            <v>m2</v>
          </cell>
          <cell r="G153">
            <v>36000</v>
          </cell>
          <cell r="H153">
            <v>0.8</v>
          </cell>
          <cell r="I153">
            <v>36000</v>
          </cell>
          <cell r="J153" t="str">
            <v>ĐG 30.12.2022</v>
          </cell>
        </row>
        <row r="154">
          <cell r="B154" t="str">
            <v>Bơ27</v>
          </cell>
          <cell r="C154" t="str">
            <v>Cây Bơ</v>
          </cell>
          <cell r="D154" t="str">
            <v>2cm ≤ đk gốc &lt; 7cm</v>
          </cell>
          <cell r="E154">
            <v>5</v>
          </cell>
          <cell r="F154" t="str">
            <v>cây</v>
          </cell>
          <cell r="G154">
            <v>48000</v>
          </cell>
          <cell r="H154">
            <v>0.8</v>
          </cell>
          <cell r="I154">
            <v>9600</v>
          </cell>
          <cell r="J154" t="str">
            <v>ĐG 30.12.2022</v>
          </cell>
        </row>
        <row r="155">
          <cell r="B155" t="str">
            <v>Bơ712</v>
          </cell>
          <cell r="C155" t="str">
            <v>Cây Bơ</v>
          </cell>
          <cell r="D155" t="str">
            <v>7cm ≤ đk gốc &lt; 12cm</v>
          </cell>
          <cell r="E155">
            <v>6.6666666666666696</v>
          </cell>
          <cell r="F155" t="str">
            <v>cây</v>
          </cell>
          <cell r="G155">
            <v>85000</v>
          </cell>
          <cell r="H155">
            <v>0.8</v>
          </cell>
          <cell r="I155">
            <v>12750</v>
          </cell>
          <cell r="J155" t="str">
            <v>ĐG 30.12.2022</v>
          </cell>
        </row>
        <row r="156">
          <cell r="B156" t="str">
            <v>Bơ1220</v>
          </cell>
          <cell r="C156" t="str">
            <v>Cây Bơ</v>
          </cell>
          <cell r="D156" t="str">
            <v>12cm ≤ đk gốc &lt; 20cm</v>
          </cell>
          <cell r="E156">
            <v>8.3720930232558093</v>
          </cell>
          <cell r="F156" t="str">
            <v>cây</v>
          </cell>
          <cell r="G156">
            <v>120000</v>
          </cell>
          <cell r="H156">
            <v>0.8</v>
          </cell>
          <cell r="I156">
            <v>0.79999971389770497</v>
          </cell>
          <cell r="J156" t="str">
            <v>ĐG 30.12.2022</v>
          </cell>
        </row>
        <row r="157">
          <cell r="B157" t="str">
            <v>Bơ2030</v>
          </cell>
          <cell r="C157" t="str">
            <v>Cây Bơ</v>
          </cell>
          <cell r="D157" t="str">
            <v>20cm ≤ đk gốc &lt; 30cm</v>
          </cell>
          <cell r="E157">
            <v>8.3720930232558093</v>
          </cell>
          <cell r="F157" t="str">
            <v>cây</v>
          </cell>
          <cell r="G157">
            <v>200000</v>
          </cell>
          <cell r="H157">
            <v>0.8</v>
          </cell>
          <cell r="I157">
            <v>23888.888888888901</v>
          </cell>
          <cell r="J157" t="str">
            <v>ĐG 30.12.2022</v>
          </cell>
        </row>
        <row r="158">
          <cell r="B158" t="str">
            <v>Bơ30+</v>
          </cell>
          <cell r="C158" t="str">
            <v>Cây Bơ</v>
          </cell>
          <cell r="D158" t="str">
            <v>đk gốc từ trên 30cm</v>
          </cell>
          <cell r="E158">
            <v>12.413793103448301</v>
          </cell>
          <cell r="F158" t="str">
            <v>cây</v>
          </cell>
          <cell r="G158">
            <v>360000</v>
          </cell>
          <cell r="H158">
            <v>0.8</v>
          </cell>
          <cell r="I158">
            <v>29000</v>
          </cell>
          <cell r="J158" t="str">
            <v>ĐG 30.12.2022</v>
          </cell>
        </row>
        <row r="159">
          <cell r="B159">
            <v>29000</v>
          </cell>
          <cell r="C159" t="str">
            <v>Cây Doi</v>
          </cell>
          <cell r="D159">
            <v>29000</v>
          </cell>
          <cell r="E159">
            <v>29000</v>
          </cell>
          <cell r="F159">
            <v>29000</v>
          </cell>
          <cell r="G159">
            <v>29000</v>
          </cell>
          <cell r="H159">
            <v>29000</v>
          </cell>
          <cell r="I159">
            <v>29000</v>
          </cell>
          <cell r="J159" t="str">
            <v>ĐG 30.12.2022</v>
          </cell>
        </row>
        <row r="160">
          <cell r="B160" t="str">
            <v>Doi01</v>
          </cell>
          <cell r="C160" t="str">
            <v>Cây Doi</v>
          </cell>
          <cell r="D160" t="str">
            <v>cây giống</v>
          </cell>
          <cell r="E160">
            <v>29000</v>
          </cell>
          <cell r="F160" t="str">
            <v>m2</v>
          </cell>
          <cell r="G160">
            <v>36000</v>
          </cell>
          <cell r="H160">
            <v>0.8</v>
          </cell>
          <cell r="I160">
            <v>36000</v>
          </cell>
          <cell r="J160" t="str">
            <v>ĐG 30.12.2022</v>
          </cell>
        </row>
        <row r="161">
          <cell r="B161" t="str">
            <v>Doi27</v>
          </cell>
          <cell r="C161" t="str">
            <v>Cây Doi</v>
          </cell>
          <cell r="D161" t="str">
            <v>2cm ≤ đk gốc &lt; 7cm</v>
          </cell>
          <cell r="E161">
            <v>5</v>
          </cell>
          <cell r="F161" t="str">
            <v>cây</v>
          </cell>
          <cell r="G161">
            <v>48000</v>
          </cell>
          <cell r="H161">
            <v>0.8</v>
          </cell>
          <cell r="I161">
            <v>9600</v>
          </cell>
          <cell r="J161" t="str">
            <v>ĐG 30.12.2022</v>
          </cell>
        </row>
        <row r="162">
          <cell r="B162" t="str">
            <v>Doi712</v>
          </cell>
          <cell r="C162" t="str">
            <v>Cây Doi</v>
          </cell>
          <cell r="D162" t="str">
            <v>7cm ≤ đk gốc &lt; 12cm</v>
          </cell>
          <cell r="E162">
            <v>6.6666666666666696</v>
          </cell>
          <cell r="F162" t="str">
            <v>cây</v>
          </cell>
          <cell r="G162">
            <v>85000</v>
          </cell>
          <cell r="H162">
            <v>0.8</v>
          </cell>
          <cell r="I162">
            <v>12750</v>
          </cell>
          <cell r="J162" t="str">
            <v>ĐG 30.12.2022</v>
          </cell>
        </row>
        <row r="163">
          <cell r="B163" t="str">
            <v>Doi1220</v>
          </cell>
          <cell r="C163" t="str">
            <v>Cây Doi</v>
          </cell>
          <cell r="D163" t="str">
            <v>12cm ≤ đk gốc &lt; 20cm</v>
          </cell>
          <cell r="E163">
            <v>8.3720930232558093</v>
          </cell>
          <cell r="F163" t="str">
            <v>cây</v>
          </cell>
          <cell r="G163">
            <v>120000</v>
          </cell>
          <cell r="H163">
            <v>0.8</v>
          </cell>
          <cell r="I163">
            <v>0.79999971389770497</v>
          </cell>
          <cell r="J163" t="str">
            <v>ĐG 30.12.2022</v>
          </cell>
        </row>
        <row r="164">
          <cell r="B164" t="str">
            <v>Doi2030</v>
          </cell>
          <cell r="C164" t="str">
            <v>Cây Doi</v>
          </cell>
          <cell r="D164" t="str">
            <v>20cm ≤ đk gốc &lt; 30cm</v>
          </cell>
          <cell r="E164">
            <v>8.3720930232558093</v>
          </cell>
          <cell r="F164" t="str">
            <v>cây</v>
          </cell>
          <cell r="G164">
            <v>200000</v>
          </cell>
          <cell r="H164">
            <v>0.8</v>
          </cell>
          <cell r="I164">
            <v>23888.888888888901</v>
          </cell>
          <cell r="J164" t="str">
            <v>ĐG 30.12.2022</v>
          </cell>
        </row>
        <row r="165">
          <cell r="B165" t="str">
            <v>Doi30+</v>
          </cell>
          <cell r="C165" t="str">
            <v>Cây Doi</v>
          </cell>
          <cell r="D165" t="str">
            <v>đk gốc từ trên 30cm</v>
          </cell>
          <cell r="E165">
            <v>12.413793103448301</v>
          </cell>
          <cell r="F165" t="str">
            <v>cây</v>
          </cell>
          <cell r="G165">
            <v>360000</v>
          </cell>
          <cell r="H165">
            <v>0.8</v>
          </cell>
          <cell r="I165">
            <v>29000</v>
          </cell>
          <cell r="J165" t="str">
            <v>ĐG 30.12.2022</v>
          </cell>
        </row>
        <row r="166">
          <cell r="B166">
            <v>29000</v>
          </cell>
          <cell r="C166" t="str">
            <v>Vú sữa</v>
          </cell>
          <cell r="D166">
            <v>29000</v>
          </cell>
          <cell r="E166">
            <v>29000</v>
          </cell>
          <cell r="F166">
            <v>29000</v>
          </cell>
          <cell r="G166">
            <v>29000</v>
          </cell>
          <cell r="H166">
            <v>29000</v>
          </cell>
          <cell r="I166">
            <v>29000</v>
          </cell>
        </row>
        <row r="167">
          <cell r="B167" t="str">
            <v>Vs01</v>
          </cell>
          <cell r="C167" t="str">
            <v>Vú sữa</v>
          </cell>
          <cell r="D167" t="str">
            <v>cây giống</v>
          </cell>
          <cell r="E167">
            <v>29000</v>
          </cell>
          <cell r="F167" t="str">
            <v>m2</v>
          </cell>
          <cell r="G167">
            <v>100000</v>
          </cell>
          <cell r="H167">
            <v>0.8</v>
          </cell>
          <cell r="I167">
            <v>100000</v>
          </cell>
          <cell r="J167" t="str">
            <v>ĐG 01.02.2025</v>
          </cell>
        </row>
        <row r="168">
          <cell r="B168" t="str">
            <v>Vs27</v>
          </cell>
          <cell r="C168" t="str">
            <v>Vú sữa</v>
          </cell>
          <cell r="D168" t="str">
            <v>2cm ≤ đk gốc &lt; 7cm</v>
          </cell>
          <cell r="E168">
            <v>66.6666666666667</v>
          </cell>
          <cell r="F168" t="str">
            <v>cây</v>
          </cell>
          <cell r="G168">
            <v>220000</v>
          </cell>
          <cell r="H168">
            <v>0.8</v>
          </cell>
          <cell r="I168">
            <v>3300</v>
          </cell>
          <cell r="J168" t="str">
            <v>ĐG 01.02.2025</v>
          </cell>
        </row>
        <row r="169">
          <cell r="B169" t="str">
            <v>Vs712</v>
          </cell>
          <cell r="C169" t="str">
            <v>Vú sữa</v>
          </cell>
          <cell r="D169" t="str">
            <v>7cm ≤ đk gốc &lt; 12cm</v>
          </cell>
          <cell r="E169">
            <v>66.6666666666667</v>
          </cell>
          <cell r="F169" t="str">
            <v>cây</v>
          </cell>
          <cell r="G169">
            <v>370000</v>
          </cell>
          <cell r="H169">
            <v>0.8</v>
          </cell>
          <cell r="I169">
            <v>5550</v>
          </cell>
          <cell r="J169" t="str">
            <v>ĐG 01.02.2025</v>
          </cell>
        </row>
        <row r="170">
          <cell r="B170" t="str">
            <v>Vs1220</v>
          </cell>
          <cell r="C170" t="str">
            <v>Vú sữa</v>
          </cell>
          <cell r="D170" t="str">
            <v>12cm ≤ đk gốc &lt; 20cm</v>
          </cell>
          <cell r="E170">
            <v>66.6666666666667</v>
          </cell>
          <cell r="F170" t="str">
            <v>cây</v>
          </cell>
          <cell r="G170">
            <v>520000</v>
          </cell>
          <cell r="H170">
            <v>0.8</v>
          </cell>
          <cell r="I170">
            <v>7800</v>
          </cell>
          <cell r="J170" t="str">
            <v>ĐG 01.02.2025</v>
          </cell>
        </row>
        <row r="171">
          <cell r="B171" t="str">
            <v>Vs2030</v>
          </cell>
          <cell r="C171" t="str">
            <v>Vú sữa</v>
          </cell>
          <cell r="D171" t="str">
            <v>20cm ≤ đk gốc &lt; 30cm</v>
          </cell>
          <cell r="E171">
            <v>66.6666666666667</v>
          </cell>
          <cell r="F171" t="str">
            <v>cây</v>
          </cell>
          <cell r="G171">
            <v>600000</v>
          </cell>
          <cell r="H171">
            <v>0.8</v>
          </cell>
          <cell r="I171">
            <v>9000</v>
          </cell>
          <cell r="J171" t="str">
            <v>ĐG 01.02.2025</v>
          </cell>
        </row>
        <row r="172">
          <cell r="B172" t="str">
            <v>Vs30+</v>
          </cell>
          <cell r="C172" t="str">
            <v>Vú sữa</v>
          </cell>
          <cell r="D172" t="str">
            <v>đk gốc từ trên 30cm</v>
          </cell>
          <cell r="E172">
            <v>66.6666666666667</v>
          </cell>
          <cell r="F172" t="str">
            <v>cây</v>
          </cell>
          <cell r="G172">
            <v>750000</v>
          </cell>
          <cell r="H172">
            <v>0.8</v>
          </cell>
          <cell r="I172">
            <v>11250</v>
          </cell>
          <cell r="J172" t="str">
            <v>ĐG 01.02.2025</v>
          </cell>
        </row>
        <row r="173">
          <cell r="B173" t="str">
            <v>Vs01vmd</v>
          </cell>
          <cell r="C173" t="str">
            <v>Vú sữa vượt mật độ</v>
          </cell>
          <cell r="D173" t="str">
            <v>cây giống</v>
          </cell>
          <cell r="E173">
            <v>11250</v>
          </cell>
          <cell r="F173" t="str">
            <v>m2</v>
          </cell>
          <cell r="G173">
            <v>100000</v>
          </cell>
          <cell r="H173">
            <v>0.4</v>
          </cell>
          <cell r="I173">
            <v>100000</v>
          </cell>
          <cell r="J173" t="str">
            <v>ĐG 01.02.2025</v>
          </cell>
        </row>
        <row r="174">
          <cell r="B174" t="str">
            <v>Vs27vmd</v>
          </cell>
          <cell r="C174" t="str">
            <v>Vú sữa vượt mật độ</v>
          </cell>
          <cell r="D174" t="str">
            <v>2cm ≤ đk gốc &lt; 7cm</v>
          </cell>
          <cell r="E174">
            <v>66.6666666666667</v>
          </cell>
          <cell r="F174" t="str">
            <v>cây</v>
          </cell>
          <cell r="G174">
            <v>220000</v>
          </cell>
          <cell r="H174">
            <v>0.4</v>
          </cell>
          <cell r="I174">
            <v>3300</v>
          </cell>
          <cell r="J174" t="str">
            <v>ĐG 01.02.2025</v>
          </cell>
        </row>
        <row r="175">
          <cell r="B175" t="str">
            <v>Vs712vmd</v>
          </cell>
          <cell r="C175" t="str">
            <v>Vú sữa vượt mật độ</v>
          </cell>
          <cell r="D175" t="str">
            <v>7cm ≤ đk gốc &lt; 12cm</v>
          </cell>
          <cell r="E175">
            <v>66.6666666666667</v>
          </cell>
          <cell r="F175" t="str">
            <v>cây</v>
          </cell>
          <cell r="G175">
            <v>370000</v>
          </cell>
          <cell r="H175">
            <v>0.4</v>
          </cell>
          <cell r="I175">
            <v>5550</v>
          </cell>
          <cell r="J175" t="str">
            <v>ĐG 01.02.2025</v>
          </cell>
        </row>
        <row r="176">
          <cell r="B176" t="str">
            <v>Vs1220vmd</v>
          </cell>
          <cell r="C176" t="str">
            <v>Vú sữa vượt mật độ</v>
          </cell>
          <cell r="D176" t="str">
            <v>12cm ≤ đk gốc &lt; 20cm</v>
          </cell>
          <cell r="E176">
            <v>66.6666666666667</v>
          </cell>
          <cell r="F176" t="str">
            <v>cây</v>
          </cell>
          <cell r="G176">
            <v>520000</v>
          </cell>
          <cell r="H176">
            <v>0.4</v>
          </cell>
          <cell r="I176">
            <v>7800</v>
          </cell>
          <cell r="J176" t="str">
            <v>ĐG 01.02.2025</v>
          </cell>
        </row>
        <row r="177">
          <cell r="B177" t="str">
            <v>Vs2030vmd</v>
          </cell>
          <cell r="C177" t="str">
            <v>Vú sữa vượt mật độ</v>
          </cell>
          <cell r="D177" t="str">
            <v>20cm ≤ đk gốc &lt; 30cm</v>
          </cell>
          <cell r="E177">
            <v>66.6666666666667</v>
          </cell>
          <cell r="F177" t="str">
            <v>cây</v>
          </cell>
          <cell r="G177">
            <v>600000</v>
          </cell>
          <cell r="H177">
            <v>0.4</v>
          </cell>
          <cell r="I177">
            <v>9000</v>
          </cell>
          <cell r="J177" t="str">
            <v>ĐG 01.02.2025</v>
          </cell>
        </row>
        <row r="178">
          <cell r="B178" t="str">
            <v>Vs30+vmd</v>
          </cell>
          <cell r="C178" t="str">
            <v>Vú sữa vượt mật độ</v>
          </cell>
          <cell r="D178" t="str">
            <v>đk gốc từ trên 30cm</v>
          </cell>
          <cell r="E178">
            <v>66.6666666666667</v>
          </cell>
          <cell r="F178" t="str">
            <v>cây</v>
          </cell>
          <cell r="G178">
            <v>750000</v>
          </cell>
          <cell r="H178">
            <v>0.4</v>
          </cell>
          <cell r="I178">
            <v>11250</v>
          </cell>
          <cell r="J178" t="str">
            <v>ĐG 01.02.2025</v>
          </cell>
        </row>
        <row r="179">
          <cell r="B179" t="str">
            <v>đã sửa</v>
          </cell>
          <cell r="C179" t="str">
            <v>Mít</v>
          </cell>
          <cell r="D179">
            <v>11250</v>
          </cell>
          <cell r="E179">
            <v>11250</v>
          </cell>
          <cell r="F179">
            <v>11250</v>
          </cell>
          <cell r="G179">
            <v>11250</v>
          </cell>
          <cell r="H179">
            <v>11250</v>
          </cell>
          <cell r="I179">
            <v>11250</v>
          </cell>
        </row>
        <row r="180">
          <cell r="B180" t="str">
            <v>Mít01</v>
          </cell>
          <cell r="C180" t="str">
            <v>Cây mít</v>
          </cell>
          <cell r="D180" t="str">
            <v>cây giống</v>
          </cell>
          <cell r="E180">
            <v>11250</v>
          </cell>
          <cell r="F180" t="str">
            <v>m2</v>
          </cell>
          <cell r="G180">
            <v>100000</v>
          </cell>
          <cell r="H180">
            <v>0.8</v>
          </cell>
          <cell r="I180">
            <v>100000</v>
          </cell>
          <cell r="J180" t="str">
            <v>ĐG 01.02.2025</v>
          </cell>
        </row>
        <row r="181">
          <cell r="B181" t="str">
            <v>Mít27</v>
          </cell>
          <cell r="C181" t="str">
            <v>Cây mít</v>
          </cell>
          <cell r="D181" t="str">
            <v>2cm ≤ đk gốc &lt; 7cm</v>
          </cell>
          <cell r="E181">
            <v>25</v>
          </cell>
          <cell r="F181" t="str">
            <v>cây</v>
          </cell>
          <cell r="G181">
            <v>220000</v>
          </cell>
          <cell r="H181">
            <v>0.8</v>
          </cell>
          <cell r="I181">
            <v>8800</v>
          </cell>
          <cell r="J181" t="str">
            <v>ĐG 01.02.2025</v>
          </cell>
        </row>
        <row r="182">
          <cell r="B182" t="str">
            <v>Mít712</v>
          </cell>
          <cell r="C182" t="str">
            <v>Cây mít</v>
          </cell>
          <cell r="D182" t="str">
            <v>7cm ≤ đk gốc &lt; 12cm</v>
          </cell>
          <cell r="E182">
            <v>25</v>
          </cell>
          <cell r="F182" t="str">
            <v>cây</v>
          </cell>
          <cell r="G182">
            <v>370000</v>
          </cell>
          <cell r="H182">
            <v>0.8</v>
          </cell>
          <cell r="I182">
            <v>14800</v>
          </cell>
          <cell r="J182" t="str">
            <v>ĐG 01.02.2025</v>
          </cell>
        </row>
        <row r="183">
          <cell r="B183" t="str">
            <v>Mít1220</v>
          </cell>
          <cell r="C183" t="str">
            <v>Cây mít</v>
          </cell>
          <cell r="D183" t="str">
            <v>12cm ≤ đk gốc &lt; 20cm</v>
          </cell>
          <cell r="E183">
            <v>25</v>
          </cell>
          <cell r="F183" t="str">
            <v>cây</v>
          </cell>
          <cell r="G183">
            <v>520000</v>
          </cell>
          <cell r="H183">
            <v>0.8</v>
          </cell>
          <cell r="I183">
            <v>20800</v>
          </cell>
          <cell r="J183" t="str">
            <v>ĐG 01.02.2025</v>
          </cell>
        </row>
        <row r="184">
          <cell r="B184" t="str">
            <v>Mít2030</v>
          </cell>
          <cell r="C184" t="str">
            <v>Cây mít</v>
          </cell>
          <cell r="D184" t="str">
            <v>20cm ≤ đk gốc &lt; 30cm</v>
          </cell>
          <cell r="E184">
            <v>25</v>
          </cell>
          <cell r="F184" t="str">
            <v>cây</v>
          </cell>
          <cell r="G184">
            <v>600000</v>
          </cell>
          <cell r="H184">
            <v>0.8</v>
          </cell>
          <cell r="I184">
            <v>24000</v>
          </cell>
          <cell r="J184" t="str">
            <v>ĐG 01.02.2025</v>
          </cell>
        </row>
        <row r="185">
          <cell r="B185" t="str">
            <v>Mít30+</v>
          </cell>
          <cell r="C185" t="str">
            <v>Cây mít</v>
          </cell>
          <cell r="D185" t="str">
            <v>đk gốc từ 30cm trở lên</v>
          </cell>
          <cell r="E185">
            <v>25</v>
          </cell>
          <cell r="F185" t="str">
            <v>cây</v>
          </cell>
          <cell r="G185">
            <v>750000</v>
          </cell>
          <cell r="H185">
            <v>0.8</v>
          </cell>
          <cell r="I185">
            <v>30000</v>
          </cell>
          <cell r="J185" t="str">
            <v>ĐG 01.02.2025</v>
          </cell>
        </row>
        <row r="186">
          <cell r="B186" t="str">
            <v>Mít27vmd</v>
          </cell>
          <cell r="C186" t="str">
            <v>Cây mít vượt mật độ</v>
          </cell>
          <cell r="D186" t="str">
            <v>2cm ≤ đk gốc &lt; 7cm</v>
          </cell>
          <cell r="E186">
            <v>25</v>
          </cell>
          <cell r="F186" t="str">
            <v>cây</v>
          </cell>
          <cell r="G186">
            <v>220000</v>
          </cell>
          <cell r="H186">
            <v>0.4</v>
          </cell>
          <cell r="I186">
            <v>8800</v>
          </cell>
          <cell r="J186" t="str">
            <v>ĐG 01.02.2025</v>
          </cell>
        </row>
        <row r="187">
          <cell r="B187" t="str">
            <v>Mít712vmd</v>
          </cell>
          <cell r="C187" t="str">
            <v>Cây mít vượt mật độ</v>
          </cell>
          <cell r="D187" t="str">
            <v>7cm ≤ đk gốc &lt; 12cm</v>
          </cell>
          <cell r="E187">
            <v>25</v>
          </cell>
          <cell r="F187" t="str">
            <v>cây</v>
          </cell>
          <cell r="G187">
            <v>370000</v>
          </cell>
          <cell r="H187">
            <v>0.4</v>
          </cell>
          <cell r="I187">
            <v>14800</v>
          </cell>
          <cell r="J187" t="str">
            <v>ĐG 01.02.2025</v>
          </cell>
        </row>
        <row r="188">
          <cell r="B188" t="str">
            <v>Mít1220vmd</v>
          </cell>
          <cell r="C188" t="str">
            <v>Cây mít vượt mật độ</v>
          </cell>
          <cell r="D188" t="str">
            <v>12cm ≤ đk gốc &lt; 20cm</v>
          </cell>
          <cell r="E188">
            <v>25</v>
          </cell>
          <cell r="F188" t="str">
            <v>cây</v>
          </cell>
          <cell r="G188">
            <v>520000</v>
          </cell>
          <cell r="H188">
            <v>0.4</v>
          </cell>
          <cell r="I188">
            <v>20800</v>
          </cell>
          <cell r="J188" t="str">
            <v>ĐG 01.02.2025</v>
          </cell>
        </row>
        <row r="189">
          <cell r="B189" t="str">
            <v>Mít2030vmd</v>
          </cell>
          <cell r="C189" t="str">
            <v>Cây mít vượt mật độ</v>
          </cell>
          <cell r="D189" t="str">
            <v>20cm ≤ đk gốc &lt; 30cm</v>
          </cell>
          <cell r="E189">
            <v>25</v>
          </cell>
          <cell r="F189" t="str">
            <v>cây</v>
          </cell>
          <cell r="G189">
            <v>600000</v>
          </cell>
          <cell r="H189">
            <v>0.4</v>
          </cell>
          <cell r="I189">
            <v>24000</v>
          </cell>
          <cell r="J189" t="str">
            <v>ĐG 01.02.2025</v>
          </cell>
        </row>
        <row r="190">
          <cell r="B190" t="str">
            <v>Mít30+vmd</v>
          </cell>
          <cell r="C190" t="str">
            <v>Cây mít vượt mật độ</v>
          </cell>
          <cell r="D190" t="str">
            <v>đk gốc từ 30cm trở lên</v>
          </cell>
          <cell r="E190">
            <v>25</v>
          </cell>
          <cell r="F190" t="str">
            <v>cây</v>
          </cell>
          <cell r="G190">
            <v>750000</v>
          </cell>
          <cell r="H190">
            <v>0.4</v>
          </cell>
          <cell r="I190">
            <v>30000</v>
          </cell>
          <cell r="J190" t="str">
            <v>ĐG 01.02.2025</v>
          </cell>
        </row>
        <row r="191">
          <cell r="B191">
            <v>30000</v>
          </cell>
          <cell r="C191" t="str">
            <v>Chay</v>
          </cell>
          <cell r="D191">
            <v>30000</v>
          </cell>
          <cell r="E191">
            <v>30000</v>
          </cell>
          <cell r="F191">
            <v>30000</v>
          </cell>
          <cell r="G191">
            <v>30000</v>
          </cell>
          <cell r="H191">
            <v>30000</v>
          </cell>
          <cell r="I191">
            <v>30000</v>
          </cell>
        </row>
        <row r="192">
          <cell r="B192" t="str">
            <v>chay01</v>
          </cell>
          <cell r="C192" t="str">
            <v>Cây chay</v>
          </cell>
          <cell r="D192" t="str">
            <v>cây giống</v>
          </cell>
          <cell r="E192">
            <v>30000</v>
          </cell>
          <cell r="F192" t="str">
            <v>m2</v>
          </cell>
          <cell r="G192">
            <v>100000</v>
          </cell>
          <cell r="H192">
            <v>0.8</v>
          </cell>
          <cell r="I192">
            <v>100000</v>
          </cell>
          <cell r="J192" t="str">
            <v>ĐG 01.02.2025</v>
          </cell>
        </row>
        <row r="193">
          <cell r="B193" t="str">
            <v>chay27</v>
          </cell>
          <cell r="C193" t="str">
            <v>Cây chay</v>
          </cell>
          <cell r="D193" t="str">
            <v>2cm ≤ đk gốc &lt; 7cm</v>
          </cell>
          <cell r="E193">
            <v>50</v>
          </cell>
          <cell r="F193" t="str">
            <v>cây</v>
          </cell>
          <cell r="G193">
            <v>220000</v>
          </cell>
          <cell r="H193">
            <v>0.8</v>
          </cell>
          <cell r="I193">
            <v>4400</v>
          </cell>
          <cell r="J193" t="str">
            <v>ĐG 01.02.2025</v>
          </cell>
        </row>
        <row r="194">
          <cell r="B194" t="str">
            <v>chay712</v>
          </cell>
          <cell r="C194" t="str">
            <v>Cây chay</v>
          </cell>
          <cell r="D194" t="str">
            <v>7cm ≤ đk gốc &lt; 12cm</v>
          </cell>
          <cell r="E194">
            <v>50</v>
          </cell>
          <cell r="F194" t="str">
            <v>cây</v>
          </cell>
          <cell r="G194">
            <v>370000</v>
          </cell>
          <cell r="H194">
            <v>0.8</v>
          </cell>
          <cell r="I194">
            <v>7400</v>
          </cell>
          <cell r="J194" t="str">
            <v>ĐG 01.02.2025</v>
          </cell>
        </row>
        <row r="195">
          <cell r="B195" t="str">
            <v>chay1220</v>
          </cell>
          <cell r="C195" t="str">
            <v>Cây chay</v>
          </cell>
          <cell r="D195" t="str">
            <v>12cm ≤ đk gốc &lt; 20cm</v>
          </cell>
          <cell r="E195">
            <v>50</v>
          </cell>
          <cell r="F195" t="str">
            <v>cây</v>
          </cell>
          <cell r="G195">
            <v>520000</v>
          </cell>
          <cell r="H195">
            <v>0.8</v>
          </cell>
          <cell r="I195">
            <v>10400</v>
          </cell>
          <cell r="J195" t="str">
            <v>ĐG 01.02.2025</v>
          </cell>
        </row>
        <row r="196">
          <cell r="B196" t="str">
            <v>chay2030</v>
          </cell>
          <cell r="C196" t="str">
            <v>Cây chay</v>
          </cell>
          <cell r="D196" t="str">
            <v>20cm ≤ đk gốc &lt; 30cm</v>
          </cell>
          <cell r="E196">
            <v>50</v>
          </cell>
          <cell r="F196" t="str">
            <v>cây</v>
          </cell>
          <cell r="G196">
            <v>600000</v>
          </cell>
          <cell r="H196">
            <v>0.8</v>
          </cell>
          <cell r="I196">
            <v>12000</v>
          </cell>
          <cell r="J196" t="str">
            <v>ĐG 01.02.2025</v>
          </cell>
        </row>
        <row r="197">
          <cell r="B197" t="str">
            <v>chay30+</v>
          </cell>
          <cell r="C197" t="str">
            <v>Cây chay</v>
          </cell>
          <cell r="D197" t="str">
            <v>đk gốc từ 30cm trở lên</v>
          </cell>
          <cell r="E197">
            <v>50</v>
          </cell>
          <cell r="F197" t="str">
            <v>cây</v>
          </cell>
          <cell r="G197">
            <v>750000</v>
          </cell>
          <cell r="H197">
            <v>0.8</v>
          </cell>
          <cell r="I197">
            <v>15000</v>
          </cell>
          <cell r="J197" t="str">
            <v>ĐG 01.02.2025</v>
          </cell>
        </row>
        <row r="198">
          <cell r="B198" t="str">
            <v>chay27vmd</v>
          </cell>
          <cell r="C198" t="str">
            <v>Cây chay vượt mật độ</v>
          </cell>
          <cell r="D198" t="str">
            <v>2cm ≤ đk gốc &lt; 7cm</v>
          </cell>
          <cell r="E198">
            <v>50</v>
          </cell>
          <cell r="F198" t="str">
            <v>cây</v>
          </cell>
          <cell r="G198">
            <v>220000</v>
          </cell>
          <cell r="H198">
            <v>0.4</v>
          </cell>
          <cell r="I198">
            <v>4400</v>
          </cell>
          <cell r="J198" t="str">
            <v>ĐG 01.02.2025</v>
          </cell>
        </row>
        <row r="199">
          <cell r="B199" t="str">
            <v>chay712vmd</v>
          </cell>
          <cell r="C199" t="str">
            <v>Cây chay vượt mật độ</v>
          </cell>
          <cell r="D199" t="str">
            <v>7cm ≤ đk gốc &lt; 12cm</v>
          </cell>
          <cell r="E199">
            <v>50</v>
          </cell>
          <cell r="F199" t="str">
            <v>cây</v>
          </cell>
          <cell r="G199">
            <v>370000</v>
          </cell>
          <cell r="H199">
            <v>0.4</v>
          </cell>
          <cell r="I199">
            <v>7400</v>
          </cell>
          <cell r="J199" t="str">
            <v>ĐG 01.02.2025</v>
          </cell>
        </row>
        <row r="200">
          <cell r="B200" t="str">
            <v>chay1220vmd</v>
          </cell>
          <cell r="C200" t="str">
            <v>Cây chay vượt mật độ</v>
          </cell>
          <cell r="D200" t="str">
            <v>12cm ≤ đk gốc &lt; 20cm</v>
          </cell>
          <cell r="E200">
            <v>50</v>
          </cell>
          <cell r="F200" t="str">
            <v>cây</v>
          </cell>
          <cell r="G200">
            <v>520000</v>
          </cell>
          <cell r="H200">
            <v>0.4</v>
          </cell>
          <cell r="I200">
            <v>10400</v>
          </cell>
          <cell r="J200" t="str">
            <v>ĐG 01.02.2025</v>
          </cell>
        </row>
        <row r="201">
          <cell r="B201" t="str">
            <v>chay2030vmd</v>
          </cell>
          <cell r="C201" t="str">
            <v>Cây chay vượt mật độ</v>
          </cell>
          <cell r="D201" t="str">
            <v>20cm ≤ đk gốc &lt; 30cm</v>
          </cell>
          <cell r="E201">
            <v>50</v>
          </cell>
          <cell r="F201" t="str">
            <v>cây</v>
          </cell>
          <cell r="G201">
            <v>600000</v>
          </cell>
          <cell r="H201">
            <v>0.4</v>
          </cell>
          <cell r="I201">
            <v>12000</v>
          </cell>
          <cell r="J201" t="str">
            <v>ĐG 01.02.2025</v>
          </cell>
        </row>
        <row r="202">
          <cell r="B202" t="str">
            <v>chay30+vmd</v>
          </cell>
          <cell r="C202" t="str">
            <v>Cây chay vượt mật độ</v>
          </cell>
          <cell r="D202" t="str">
            <v>đk gốc từ 30cm trở lên</v>
          </cell>
          <cell r="E202">
            <v>50</v>
          </cell>
          <cell r="F202" t="str">
            <v>cây</v>
          </cell>
          <cell r="G202">
            <v>750000</v>
          </cell>
          <cell r="H202">
            <v>0.4</v>
          </cell>
          <cell r="I202">
            <v>15000</v>
          </cell>
          <cell r="J202" t="str">
            <v>ĐG 01.02.2025</v>
          </cell>
        </row>
        <row r="203">
          <cell r="B203">
            <v>15000</v>
          </cell>
          <cell r="C203" t="str">
            <v>Sấu</v>
          </cell>
          <cell r="D203">
            <v>15000</v>
          </cell>
          <cell r="E203">
            <v>15000</v>
          </cell>
          <cell r="F203">
            <v>15000</v>
          </cell>
          <cell r="G203">
            <v>15000</v>
          </cell>
          <cell r="H203">
            <v>15000</v>
          </cell>
          <cell r="I203">
            <v>15000</v>
          </cell>
          <cell r="J203" t="str">
            <v>ĐG 30.12.2022</v>
          </cell>
        </row>
        <row r="204">
          <cell r="B204" t="str">
            <v>Sấu01</v>
          </cell>
          <cell r="C204" t="str">
            <v>Cây sấu</v>
          </cell>
          <cell r="D204" t="str">
            <v>cây giống</v>
          </cell>
          <cell r="E204">
            <v>15000</v>
          </cell>
          <cell r="F204" t="str">
            <v>m2</v>
          </cell>
          <cell r="G204">
            <v>100000</v>
          </cell>
          <cell r="H204">
            <v>0.8</v>
          </cell>
          <cell r="I204">
            <v>100000</v>
          </cell>
          <cell r="J204" t="str">
            <v>ĐG 30.12.2022</v>
          </cell>
        </row>
        <row r="205">
          <cell r="B205" t="str">
            <v>Sấu27</v>
          </cell>
          <cell r="C205" t="str">
            <v>Cây sấu</v>
          </cell>
          <cell r="D205" t="str">
            <v>2cm ≤ đk gốc &lt; 7cm</v>
          </cell>
          <cell r="E205">
            <v>8.3720930232558093</v>
          </cell>
          <cell r="F205" t="str">
            <v>cây</v>
          </cell>
          <cell r="G205">
            <v>220000</v>
          </cell>
          <cell r="H205">
            <v>0.8</v>
          </cell>
          <cell r="I205">
            <v>26277.777777777799</v>
          </cell>
          <cell r="J205" t="str">
            <v>ĐG 30.12.2022</v>
          </cell>
        </row>
        <row r="206">
          <cell r="B206" t="str">
            <v>Sấu712</v>
          </cell>
          <cell r="C206" t="str">
            <v>Cây sấu</v>
          </cell>
          <cell r="D206" t="str">
            <v>7cm ≤ đk gốc &lt; 12cm</v>
          </cell>
          <cell r="E206">
            <v>10</v>
          </cell>
          <cell r="F206" t="str">
            <v>cây</v>
          </cell>
          <cell r="G206">
            <v>370000</v>
          </cell>
          <cell r="H206">
            <v>0.8</v>
          </cell>
          <cell r="I206">
            <v>37000</v>
          </cell>
          <cell r="J206" t="str">
            <v>ĐG 30.12.2022</v>
          </cell>
        </row>
        <row r="207">
          <cell r="B207" t="str">
            <v>Sấu1220</v>
          </cell>
          <cell r="C207" t="str">
            <v>Cây sấu</v>
          </cell>
          <cell r="D207" t="str">
            <v>12cm ≤ đk gốc &lt; 20cm</v>
          </cell>
          <cell r="E207">
            <v>12.413793103448301</v>
          </cell>
          <cell r="F207" t="str">
            <v>cây</v>
          </cell>
          <cell r="G207">
            <v>520000</v>
          </cell>
          <cell r="H207">
            <v>0.8</v>
          </cell>
          <cell r="I207">
            <v>41888.888888888898</v>
          </cell>
          <cell r="J207" t="str">
            <v>ĐG 30.12.2022</v>
          </cell>
        </row>
        <row r="208">
          <cell r="B208" t="str">
            <v>Sấu2030</v>
          </cell>
          <cell r="C208" t="str">
            <v>Cây sấu</v>
          </cell>
          <cell r="D208" t="str">
            <v>20cm ≤ đk gốc &lt; 30cm</v>
          </cell>
          <cell r="E208">
            <v>12.413793103448301</v>
          </cell>
          <cell r="F208" t="str">
            <v>cây</v>
          </cell>
          <cell r="G208">
            <v>600000</v>
          </cell>
          <cell r="H208">
            <v>0.8</v>
          </cell>
          <cell r="I208">
            <v>48333.333333333299</v>
          </cell>
          <cell r="J208" t="str">
            <v>ĐG 30.12.2022</v>
          </cell>
        </row>
        <row r="209">
          <cell r="B209" t="str">
            <v>Sấu30+</v>
          </cell>
          <cell r="C209" t="str">
            <v>Cây sấu</v>
          </cell>
          <cell r="D209" t="str">
            <v>đk gốc từ trên 30cm</v>
          </cell>
          <cell r="E209">
            <v>14.4</v>
          </cell>
          <cell r="F209" t="str">
            <v>cây</v>
          </cell>
          <cell r="G209">
            <v>750000</v>
          </cell>
          <cell r="H209">
            <v>0.8</v>
          </cell>
          <cell r="I209">
            <v>52083.333333333299</v>
          </cell>
          <cell r="J209" t="str">
            <v>ĐG 30.12.2022</v>
          </cell>
        </row>
        <row r="210">
          <cell r="B210" t="str">
            <v>Sấu01vmd</v>
          </cell>
          <cell r="C210" t="str">
            <v>Cây sấu vượt mật độ</v>
          </cell>
          <cell r="D210" t="str">
            <v>cây giống</v>
          </cell>
          <cell r="E210">
            <v>52083.3125</v>
          </cell>
          <cell r="F210" t="str">
            <v>m2</v>
          </cell>
          <cell r="G210">
            <v>100000</v>
          </cell>
          <cell r="H210">
            <v>0</v>
          </cell>
          <cell r="I210">
            <v>100000</v>
          </cell>
          <cell r="J210" t="str">
            <v>ĐG 30.12.2022</v>
          </cell>
        </row>
        <row r="211">
          <cell r="B211" t="str">
            <v>Sấu27vmd</v>
          </cell>
          <cell r="C211" t="str">
            <v>Cây sấu vượt mật độ</v>
          </cell>
          <cell r="D211" t="str">
            <v>2cm ≤ đk gốc &lt; 7cm</v>
          </cell>
          <cell r="E211">
            <v>8.3720930232558093</v>
          </cell>
          <cell r="F211" t="str">
            <v>cây</v>
          </cell>
          <cell r="G211">
            <v>220000</v>
          </cell>
          <cell r="H211">
            <v>0.4</v>
          </cell>
          <cell r="I211">
            <v>26277.777777777799</v>
          </cell>
          <cell r="J211" t="str">
            <v>ĐG 30.12.2022</v>
          </cell>
        </row>
        <row r="212">
          <cell r="B212" t="str">
            <v>Sấu712vmd</v>
          </cell>
          <cell r="C212" t="str">
            <v>Cây sấu vượt mật độ</v>
          </cell>
          <cell r="D212" t="str">
            <v>7cm ≤ đk gốc &lt; 12cm</v>
          </cell>
          <cell r="E212">
            <v>10</v>
          </cell>
          <cell r="F212" t="str">
            <v>cây</v>
          </cell>
          <cell r="G212">
            <v>370000</v>
          </cell>
          <cell r="H212">
            <v>0.4</v>
          </cell>
          <cell r="I212">
            <v>37000</v>
          </cell>
          <cell r="J212" t="str">
            <v>ĐG 30.12.2022</v>
          </cell>
        </row>
        <row r="213">
          <cell r="B213" t="str">
            <v>Sấu1220vmd</v>
          </cell>
          <cell r="C213" t="str">
            <v>Cây sấu vượt mật độ</v>
          </cell>
          <cell r="D213" t="str">
            <v>12cm ≤ đk gốc &lt; 20cm</v>
          </cell>
          <cell r="E213">
            <v>12.413793103448301</v>
          </cell>
          <cell r="F213" t="str">
            <v>cây</v>
          </cell>
          <cell r="G213">
            <v>520000</v>
          </cell>
          <cell r="H213">
            <v>0.4</v>
          </cell>
          <cell r="I213">
            <v>0.39999985694885298</v>
          </cell>
          <cell r="J213" t="str">
            <v>ĐG 30.12.2022</v>
          </cell>
        </row>
        <row r="214">
          <cell r="B214" t="str">
            <v>Sấu2030vmd</v>
          </cell>
          <cell r="C214" t="str">
            <v>Cây sấu vượt mật độ</v>
          </cell>
          <cell r="D214" t="str">
            <v>20cm ≤ đk gốc &lt; 30cm</v>
          </cell>
          <cell r="E214">
            <v>12.413793103448301</v>
          </cell>
          <cell r="F214" t="str">
            <v>cây</v>
          </cell>
          <cell r="G214">
            <v>600000</v>
          </cell>
          <cell r="H214">
            <v>0.4</v>
          </cell>
          <cell r="I214">
            <v>48333.333333333299</v>
          </cell>
          <cell r="J214" t="str">
            <v>ĐG 30.12.2022</v>
          </cell>
        </row>
        <row r="215">
          <cell r="B215" t="str">
            <v>Sấu30+vmd</v>
          </cell>
          <cell r="C215" t="str">
            <v>Cây sấu vượt mật độ</v>
          </cell>
          <cell r="D215" t="str">
            <v>đk gốc từ trên 30cm</v>
          </cell>
          <cell r="E215">
            <v>14.4</v>
          </cell>
          <cell r="F215" t="str">
            <v>cây</v>
          </cell>
          <cell r="G215">
            <v>750000</v>
          </cell>
          <cell r="H215">
            <v>0.4</v>
          </cell>
          <cell r="I215">
            <v>52083.333333333299</v>
          </cell>
          <cell r="J215" t="str">
            <v>ĐG 30.12.2022</v>
          </cell>
        </row>
        <row r="216">
          <cell r="B216">
            <v>52083.3125</v>
          </cell>
          <cell r="C216" t="str">
            <v>Cau ăn quả</v>
          </cell>
          <cell r="D216">
            <v>52083.3125</v>
          </cell>
          <cell r="E216">
            <v>52083.3125</v>
          </cell>
          <cell r="F216">
            <v>52083.3125</v>
          </cell>
          <cell r="G216">
            <v>52083.3125</v>
          </cell>
          <cell r="H216">
            <v>52083.3125</v>
          </cell>
          <cell r="I216">
            <v>52083.3125</v>
          </cell>
        </row>
        <row r="217">
          <cell r="B217" t="str">
            <v>Cauaq01</v>
          </cell>
          <cell r="C217" t="str">
            <v>Cau ăn quả</v>
          </cell>
          <cell r="D217" t="str">
            <v>cây giống</v>
          </cell>
          <cell r="E217">
            <v>52083.3125</v>
          </cell>
          <cell r="F217" t="str">
            <v>m2</v>
          </cell>
          <cell r="G217">
            <v>60000</v>
          </cell>
          <cell r="H217">
            <v>0.8</v>
          </cell>
          <cell r="I217">
            <v>60000</v>
          </cell>
          <cell r="J217" t="str">
            <v>ĐG 01.02.2025</v>
          </cell>
        </row>
        <row r="218">
          <cell r="B218" t="str">
            <v>Cauaq69</v>
          </cell>
          <cell r="C218" t="str">
            <v>Cau ăn quả</v>
          </cell>
          <cell r="D218" t="str">
            <v>6cm ≤ đk gốc &lt; 9cm</v>
          </cell>
          <cell r="E218">
            <v>10</v>
          </cell>
          <cell r="F218" t="str">
            <v>cây</v>
          </cell>
          <cell r="G218">
            <v>95000</v>
          </cell>
          <cell r="H218">
            <v>0.8</v>
          </cell>
          <cell r="I218">
            <v>9500</v>
          </cell>
          <cell r="J218" t="str">
            <v>ĐG 01.02.2025</v>
          </cell>
        </row>
        <row r="219">
          <cell r="B219" t="str">
            <v>Cauaq912</v>
          </cell>
          <cell r="C219" t="str">
            <v>Cau ăn quả</v>
          </cell>
          <cell r="D219" t="str">
            <v>9cm ≤ đk gốc &lt; 12cm</v>
          </cell>
          <cell r="E219">
            <v>10</v>
          </cell>
          <cell r="F219" t="str">
            <v>cây</v>
          </cell>
          <cell r="G219">
            <v>140000</v>
          </cell>
          <cell r="H219">
            <v>0.8</v>
          </cell>
          <cell r="I219">
            <v>14000</v>
          </cell>
          <cell r="J219" t="str">
            <v>ĐG 01.02.2025</v>
          </cell>
        </row>
        <row r="220">
          <cell r="B220" t="str">
            <v>Cauaq1215</v>
          </cell>
          <cell r="C220" t="str">
            <v>Cau ăn quả</v>
          </cell>
          <cell r="D220" t="str">
            <v>12cm ≤ đk gốc &lt; 15cm</v>
          </cell>
          <cell r="E220">
            <v>10</v>
          </cell>
          <cell r="F220" t="str">
            <v>cây</v>
          </cell>
          <cell r="G220">
            <v>190000</v>
          </cell>
          <cell r="H220">
            <v>0.8</v>
          </cell>
          <cell r="I220">
            <v>19000</v>
          </cell>
          <cell r="J220" t="str">
            <v>ĐG 01.02.2025</v>
          </cell>
        </row>
        <row r="221">
          <cell r="B221" t="str">
            <v>Cauaq1520</v>
          </cell>
          <cell r="C221" t="str">
            <v>Cau ăn quả</v>
          </cell>
          <cell r="D221" t="str">
            <v>15cm ≤ đk gốc &lt; 20cm</v>
          </cell>
          <cell r="E221">
            <v>10</v>
          </cell>
          <cell r="F221" t="str">
            <v>cây</v>
          </cell>
          <cell r="G221">
            <v>240000</v>
          </cell>
          <cell r="H221">
            <v>0.8</v>
          </cell>
          <cell r="I221">
            <v>24000</v>
          </cell>
          <cell r="J221" t="str">
            <v>ĐG 01.02.2025</v>
          </cell>
        </row>
        <row r="222">
          <cell r="B222" t="str">
            <v>Cauaq2025</v>
          </cell>
          <cell r="C222" t="str">
            <v>Cau ăn quả</v>
          </cell>
          <cell r="D222" t="str">
            <v>20cm ≤ đk gốc &lt; 25cm</v>
          </cell>
          <cell r="E222">
            <v>10</v>
          </cell>
          <cell r="F222" t="str">
            <v>cây</v>
          </cell>
          <cell r="G222">
            <v>320000</v>
          </cell>
          <cell r="H222">
            <v>0.8</v>
          </cell>
          <cell r="I222">
            <v>32000</v>
          </cell>
          <cell r="J222" t="str">
            <v>ĐG 01.02.2025</v>
          </cell>
        </row>
        <row r="223">
          <cell r="B223" t="str">
            <v>Cauaq2530</v>
          </cell>
          <cell r="C223" t="str">
            <v>Cau ăn quả</v>
          </cell>
          <cell r="D223" t="str">
            <v>25cm ≤ đk gốc &lt; 30cm</v>
          </cell>
          <cell r="E223">
            <v>10</v>
          </cell>
          <cell r="F223" t="str">
            <v>cây</v>
          </cell>
          <cell r="G223">
            <v>330000</v>
          </cell>
          <cell r="H223">
            <v>0.8</v>
          </cell>
          <cell r="I223">
            <v>33000</v>
          </cell>
          <cell r="J223" t="str">
            <v>ĐG 01.02.2025</v>
          </cell>
        </row>
        <row r="224">
          <cell r="B224" t="str">
            <v>Cauaq3035</v>
          </cell>
          <cell r="C224" t="str">
            <v>Cau ăn quả</v>
          </cell>
          <cell r="D224" t="str">
            <v>30cm ≤ đk gốc &lt; 35cm</v>
          </cell>
          <cell r="E224">
            <v>10</v>
          </cell>
          <cell r="F224" t="str">
            <v>cây</v>
          </cell>
          <cell r="G224">
            <v>400000</v>
          </cell>
          <cell r="H224">
            <v>0.8</v>
          </cell>
          <cell r="I224">
            <v>40000</v>
          </cell>
          <cell r="J224" t="str">
            <v>ĐG 01.02.2025</v>
          </cell>
        </row>
        <row r="225">
          <cell r="B225" t="str">
            <v>Cauaq35+</v>
          </cell>
          <cell r="C225" t="str">
            <v>Cau ăn quả</v>
          </cell>
          <cell r="D225" t="str">
            <v>Dk từ 35cm trở lên</v>
          </cell>
          <cell r="E225">
            <v>10</v>
          </cell>
          <cell r="F225" t="str">
            <v>cây</v>
          </cell>
          <cell r="G225">
            <v>430000</v>
          </cell>
          <cell r="H225">
            <v>0.8</v>
          </cell>
          <cell r="I225">
            <v>43000</v>
          </cell>
          <cell r="J225" t="str">
            <v>ĐG 01.02.2025</v>
          </cell>
        </row>
        <row r="226">
          <cell r="B226" t="str">
            <v>Cauaq01vmd</v>
          </cell>
          <cell r="C226" t="str">
            <v>Cau ăn quả vượt mật độ</v>
          </cell>
          <cell r="D226" t="str">
            <v>cây giống</v>
          </cell>
          <cell r="E226">
            <v>43000</v>
          </cell>
          <cell r="F226" t="str">
            <v>m2</v>
          </cell>
          <cell r="G226">
            <v>60000</v>
          </cell>
          <cell r="H226">
            <v>0.4</v>
          </cell>
          <cell r="I226">
            <v>60000</v>
          </cell>
          <cell r="J226" t="str">
            <v>ĐG 01.02.2025</v>
          </cell>
        </row>
        <row r="227">
          <cell r="B227" t="str">
            <v>Cauaq69vmd</v>
          </cell>
          <cell r="C227" t="str">
            <v>Cau ăn quả vượt mật độ</v>
          </cell>
          <cell r="D227" t="str">
            <v>6cm ≤ đk gốc &lt; 9cm</v>
          </cell>
          <cell r="E227">
            <v>10</v>
          </cell>
          <cell r="F227" t="str">
            <v>cây</v>
          </cell>
          <cell r="G227">
            <v>95000</v>
          </cell>
          <cell r="H227">
            <v>0.4</v>
          </cell>
          <cell r="I227">
            <v>9500</v>
          </cell>
          <cell r="J227" t="str">
            <v>ĐG 01.02.2025</v>
          </cell>
        </row>
        <row r="228">
          <cell r="B228" t="str">
            <v>Cauaq912vmd</v>
          </cell>
          <cell r="C228" t="str">
            <v>Cau ăn quả vượt mật độ</v>
          </cell>
          <cell r="D228" t="str">
            <v>9cm ≤ đk gốc &lt; 12cm</v>
          </cell>
          <cell r="E228">
            <v>10</v>
          </cell>
          <cell r="F228" t="str">
            <v>cây</v>
          </cell>
          <cell r="G228">
            <v>140000</v>
          </cell>
          <cell r="H228">
            <v>0.4</v>
          </cell>
          <cell r="I228">
            <v>14000</v>
          </cell>
          <cell r="J228" t="str">
            <v>ĐG 01.02.2025</v>
          </cell>
        </row>
        <row r="229">
          <cell r="B229" t="str">
            <v>Cauaq1215vmd</v>
          </cell>
          <cell r="C229" t="str">
            <v>Cau ăn quả vượt mật độ</v>
          </cell>
          <cell r="D229" t="str">
            <v>12cm ≤ đk gốc &lt; 15cm</v>
          </cell>
          <cell r="E229">
            <v>10</v>
          </cell>
          <cell r="F229" t="str">
            <v>cây</v>
          </cell>
          <cell r="G229">
            <v>190000</v>
          </cell>
          <cell r="H229">
            <v>0.4</v>
          </cell>
          <cell r="I229">
            <v>19000</v>
          </cell>
          <cell r="J229" t="str">
            <v>ĐG 01.02.2025</v>
          </cell>
        </row>
        <row r="230">
          <cell r="B230" t="str">
            <v>Cauaq1520vmd</v>
          </cell>
          <cell r="C230" t="str">
            <v>Cau ăn quả vượt mật độ</v>
          </cell>
          <cell r="D230" t="str">
            <v>15cm ≤ đk gốc &lt; 20cm</v>
          </cell>
          <cell r="E230">
            <v>10</v>
          </cell>
          <cell r="F230" t="str">
            <v>cây</v>
          </cell>
          <cell r="G230">
            <v>240000</v>
          </cell>
          <cell r="H230">
            <v>0.4</v>
          </cell>
          <cell r="I230">
            <v>24000</v>
          </cell>
          <cell r="J230" t="str">
            <v>ĐG 01.02.2025</v>
          </cell>
        </row>
        <row r="231">
          <cell r="B231" t="str">
            <v>Cauaq2025vmd</v>
          </cell>
          <cell r="C231" t="str">
            <v>Cau ăn quả vượt mật độ</v>
          </cell>
          <cell r="D231" t="str">
            <v>20cm ≤ đk gốc &lt; 25cm</v>
          </cell>
          <cell r="E231">
            <v>10</v>
          </cell>
          <cell r="F231" t="str">
            <v>cây</v>
          </cell>
          <cell r="G231">
            <v>320000</v>
          </cell>
          <cell r="H231">
            <v>0.4</v>
          </cell>
          <cell r="I231">
            <v>32000</v>
          </cell>
          <cell r="J231" t="str">
            <v>ĐG 01.02.2025</v>
          </cell>
        </row>
        <row r="232">
          <cell r="B232" t="str">
            <v>Cauaq2530vmd</v>
          </cell>
          <cell r="C232" t="str">
            <v>Cau ăn quả vượt mật độ</v>
          </cell>
          <cell r="D232" t="str">
            <v>25cm ≤ đk gốc &lt; 30cm</v>
          </cell>
          <cell r="E232">
            <v>10</v>
          </cell>
          <cell r="F232" t="str">
            <v>cây</v>
          </cell>
          <cell r="G232">
            <v>330000</v>
          </cell>
          <cell r="H232">
            <v>0.4</v>
          </cell>
          <cell r="I232">
            <v>33000</v>
          </cell>
          <cell r="J232" t="str">
            <v>ĐG 01.02.2025</v>
          </cell>
        </row>
        <row r="233">
          <cell r="B233" t="str">
            <v>Cauaq3035vmd</v>
          </cell>
          <cell r="C233" t="str">
            <v>Cau ăn quả vượt mật độ</v>
          </cell>
          <cell r="D233" t="str">
            <v>30cm ≤ đk gốc &lt; 35cm</v>
          </cell>
          <cell r="E233">
            <v>10</v>
          </cell>
          <cell r="F233" t="str">
            <v>cây</v>
          </cell>
          <cell r="G233">
            <v>400000</v>
          </cell>
          <cell r="H233">
            <v>0.4</v>
          </cell>
          <cell r="I233">
            <v>40000</v>
          </cell>
          <cell r="J233" t="str">
            <v>ĐG 01.02.2025</v>
          </cell>
        </row>
        <row r="234">
          <cell r="B234" t="str">
            <v>Cauaq35+vmd</v>
          </cell>
          <cell r="C234" t="str">
            <v>Cau ăn quả vượt mật độ</v>
          </cell>
          <cell r="D234" t="str">
            <v>Dk từ 35cm trở lên</v>
          </cell>
          <cell r="E234">
            <v>10</v>
          </cell>
          <cell r="F234" t="str">
            <v>cây</v>
          </cell>
          <cell r="G234">
            <v>430000</v>
          </cell>
          <cell r="H234">
            <v>0.4</v>
          </cell>
          <cell r="I234">
            <v>43000</v>
          </cell>
          <cell r="J234" t="str">
            <v>ĐG 01.02.2025</v>
          </cell>
        </row>
        <row r="235">
          <cell r="B235">
            <v>43000</v>
          </cell>
          <cell r="C235" t="str">
            <v>Cây cau vua</v>
          </cell>
          <cell r="D235">
            <v>43000</v>
          </cell>
          <cell r="E235">
            <v>43000</v>
          </cell>
          <cell r="F235">
            <v>43000</v>
          </cell>
          <cell r="G235">
            <v>43000</v>
          </cell>
          <cell r="H235">
            <v>43000</v>
          </cell>
          <cell r="I235">
            <v>43000</v>
          </cell>
        </row>
        <row r="236">
          <cell r="B236" t="str">
            <v>Cauvua01</v>
          </cell>
          <cell r="C236" t="str">
            <v>Cau vua</v>
          </cell>
          <cell r="D236" t="str">
            <v>cây giống</v>
          </cell>
          <cell r="E236">
            <v>43000</v>
          </cell>
          <cell r="F236" t="str">
            <v>m2</v>
          </cell>
          <cell r="G236">
            <v>50000</v>
          </cell>
          <cell r="H236">
            <v>0.8</v>
          </cell>
          <cell r="I236">
            <v>50000</v>
          </cell>
          <cell r="J236" t="str">
            <v>ĐG 01.02.2025</v>
          </cell>
        </row>
        <row r="237">
          <cell r="B237" t="str">
            <v>Cauvua27</v>
          </cell>
          <cell r="C237" t="str">
            <v>Cau vua</v>
          </cell>
          <cell r="D237" t="str">
            <v>2cm ≤ đk gốc &lt; 7cm</v>
          </cell>
          <cell r="E237">
            <v>50000</v>
          </cell>
          <cell r="F237" t="str">
            <v>cây</v>
          </cell>
          <cell r="G237">
            <v>75000</v>
          </cell>
          <cell r="H237">
            <v>0.8</v>
          </cell>
          <cell r="I237" t="e">
            <v>#DIV/0!</v>
          </cell>
          <cell r="J237" t="str">
            <v>ĐG 01.02.2025</v>
          </cell>
        </row>
        <row r="238">
          <cell r="B238" t="str">
            <v>Cauvua712</v>
          </cell>
          <cell r="C238" t="str">
            <v>Cau vua</v>
          </cell>
          <cell r="D238" t="str">
            <v>7cm ≤ đk gốc &lt; 12cm</v>
          </cell>
          <cell r="E238">
            <v>0.79999971389770497</v>
          </cell>
          <cell r="F238" t="str">
            <v>cây</v>
          </cell>
          <cell r="G238">
            <v>165000</v>
          </cell>
          <cell r="H238">
            <v>0.8</v>
          </cell>
          <cell r="I238" t="e">
            <v>#DIV/0!</v>
          </cell>
          <cell r="J238" t="str">
            <v>ĐG 01.02.2025</v>
          </cell>
        </row>
        <row r="239">
          <cell r="B239" t="str">
            <v>Cauvua1217</v>
          </cell>
          <cell r="C239" t="str">
            <v>Cau vua</v>
          </cell>
          <cell r="D239" t="str">
            <v>12cm ≤ đk gốc &lt; 17cm</v>
          </cell>
          <cell r="E239">
            <v>0.79999971389770497</v>
          </cell>
          <cell r="F239" t="str">
            <v>cây</v>
          </cell>
          <cell r="G239">
            <v>195000</v>
          </cell>
          <cell r="H239">
            <v>0.8</v>
          </cell>
          <cell r="I239" t="e">
            <v>#DIV/0!</v>
          </cell>
          <cell r="J239" t="str">
            <v>ĐG 01.02.2025</v>
          </cell>
        </row>
        <row r="240">
          <cell r="B240" t="str">
            <v>Cauvua1722</v>
          </cell>
          <cell r="C240" t="str">
            <v>Cau vua</v>
          </cell>
          <cell r="D240" t="str">
            <v>17cm ≤ đk gốc &lt; 22cm</v>
          </cell>
          <cell r="E240">
            <v>0.79999971389770497</v>
          </cell>
          <cell r="F240" t="str">
            <v>cây</v>
          </cell>
          <cell r="G240">
            <v>260000</v>
          </cell>
          <cell r="H240">
            <v>0.8</v>
          </cell>
          <cell r="I240" t="e">
            <v>#DIV/0!</v>
          </cell>
          <cell r="J240" t="str">
            <v>ĐG 01.02.2025</v>
          </cell>
        </row>
        <row r="241">
          <cell r="B241" t="str">
            <v>Cauvua2227</v>
          </cell>
          <cell r="C241" t="str">
            <v>Cau vua</v>
          </cell>
          <cell r="D241" t="str">
            <v>22cm ≤ đk gốc &lt; 27cm</v>
          </cell>
          <cell r="E241">
            <v>0.79999971389770497</v>
          </cell>
          <cell r="F241" t="str">
            <v>cây</v>
          </cell>
          <cell r="G241">
            <v>320000</v>
          </cell>
          <cell r="H241">
            <v>0.8</v>
          </cell>
          <cell r="I241" t="e">
            <v>#DIV/0!</v>
          </cell>
          <cell r="J241" t="str">
            <v>ĐG 01.02.2025</v>
          </cell>
        </row>
        <row r="242">
          <cell r="B242" t="str">
            <v>Cauvua2732</v>
          </cell>
          <cell r="C242" t="str">
            <v>Cau vua</v>
          </cell>
          <cell r="D242" t="str">
            <v>27cm ≤ đk gốc &lt; 32cm</v>
          </cell>
          <cell r="E242">
            <v>0.79999971389770497</v>
          </cell>
          <cell r="F242" t="str">
            <v>cây</v>
          </cell>
          <cell r="G242">
            <v>380000</v>
          </cell>
          <cell r="H242">
            <v>0.8</v>
          </cell>
          <cell r="I242" t="e">
            <v>#DIV/0!</v>
          </cell>
          <cell r="J242" t="str">
            <v>ĐG 01.02.2025</v>
          </cell>
        </row>
        <row r="243">
          <cell r="B243" t="str">
            <v>Cauvua3235</v>
          </cell>
          <cell r="C243" t="str">
            <v>Cau vua</v>
          </cell>
          <cell r="D243" t="str">
            <v>32cm ≤ đk gốc &lt; 35cm</v>
          </cell>
          <cell r="E243">
            <v>0.79999971389770497</v>
          </cell>
          <cell r="F243" t="str">
            <v>cây</v>
          </cell>
          <cell r="G243">
            <v>450000</v>
          </cell>
          <cell r="H243">
            <v>0.8</v>
          </cell>
          <cell r="I243" t="e">
            <v>#DIV/0!</v>
          </cell>
          <cell r="J243" t="str">
            <v>ĐG 01.02.2025</v>
          </cell>
        </row>
        <row r="244">
          <cell r="B244" t="str">
            <v>Cauvua35+</v>
          </cell>
          <cell r="C244" t="str">
            <v>Cau vua</v>
          </cell>
          <cell r="D244" t="str">
            <v>đk gốc từ trên 35cm</v>
          </cell>
          <cell r="E244">
            <v>0.79999971389770497</v>
          </cell>
          <cell r="F244" t="str">
            <v>cây</v>
          </cell>
          <cell r="G244">
            <v>480000</v>
          </cell>
          <cell r="H244">
            <v>0.8</v>
          </cell>
          <cell r="I244" t="e">
            <v>#DIV/0!</v>
          </cell>
          <cell r="J244" t="str">
            <v>ĐG 01.02.2025</v>
          </cell>
        </row>
        <row r="245">
          <cell r="B245" t="str">
            <v>Cauvua27vmd</v>
          </cell>
          <cell r="C245" t="str">
            <v>Cauvua vượt mật độ</v>
          </cell>
          <cell r="D245" t="str">
            <v>2cm ≤ đk gốc &lt; 7cm</v>
          </cell>
          <cell r="E245">
            <v>0.79999971389770497</v>
          </cell>
          <cell r="F245" t="str">
            <v>cây</v>
          </cell>
          <cell r="G245">
            <v>75000</v>
          </cell>
          <cell r="H245">
            <v>0.4</v>
          </cell>
          <cell r="I245" t="e">
            <v>#DIV/0!</v>
          </cell>
          <cell r="J245" t="str">
            <v>ĐG 01.02.2025</v>
          </cell>
        </row>
        <row r="246">
          <cell r="B246" t="str">
            <v>Cauvua712vmd</v>
          </cell>
          <cell r="C246" t="str">
            <v>Cau vua vượt mật độ</v>
          </cell>
          <cell r="D246" t="str">
            <v>7cm ≤ đk gốc &lt; 12cm</v>
          </cell>
          <cell r="E246">
            <v>0.39999985694885298</v>
          </cell>
          <cell r="F246" t="str">
            <v>cây</v>
          </cell>
          <cell r="G246">
            <v>165000</v>
          </cell>
          <cell r="H246">
            <v>0.4</v>
          </cell>
          <cell r="I246" t="e">
            <v>#DIV/0!</v>
          </cell>
          <cell r="J246" t="str">
            <v>ĐG 01.02.2025</v>
          </cell>
        </row>
        <row r="247">
          <cell r="B247" t="str">
            <v>Cauvua1217vmd</v>
          </cell>
          <cell r="C247" t="str">
            <v>Cau vua vượt mật độ</v>
          </cell>
          <cell r="D247" t="str">
            <v>12cm ≤ đk gốc &lt; 17cm</v>
          </cell>
          <cell r="E247">
            <v>0.39999985694885298</v>
          </cell>
          <cell r="F247" t="str">
            <v>cây</v>
          </cell>
          <cell r="G247">
            <v>195000</v>
          </cell>
          <cell r="H247">
            <v>0.4</v>
          </cell>
          <cell r="I247" t="e">
            <v>#DIV/0!</v>
          </cell>
          <cell r="J247" t="str">
            <v>ĐG 01.02.2025</v>
          </cell>
        </row>
        <row r="248">
          <cell r="B248" t="str">
            <v>Cauvua1722vmd</v>
          </cell>
          <cell r="C248" t="str">
            <v>Cau vua vượt mật độ</v>
          </cell>
          <cell r="D248" t="str">
            <v>17cm ≤ đk gốc &lt; 22cm</v>
          </cell>
          <cell r="E248">
            <v>0.39999985694885298</v>
          </cell>
          <cell r="F248" t="str">
            <v>cây</v>
          </cell>
          <cell r="G248">
            <v>260000</v>
          </cell>
          <cell r="H248">
            <v>0.4</v>
          </cell>
          <cell r="I248" t="e">
            <v>#DIV/0!</v>
          </cell>
          <cell r="J248" t="str">
            <v>ĐG 01.02.2025</v>
          </cell>
        </row>
        <row r="249">
          <cell r="B249" t="str">
            <v>Cauvua2227vmd</v>
          </cell>
          <cell r="C249" t="str">
            <v>Cau vua vượt mật độ</v>
          </cell>
          <cell r="D249" t="str">
            <v>22cm ≤ đk gốc &lt; 27cm</v>
          </cell>
          <cell r="E249">
            <v>0.39999985694885298</v>
          </cell>
          <cell r="F249" t="str">
            <v>cây</v>
          </cell>
          <cell r="G249">
            <v>320000</v>
          </cell>
          <cell r="H249">
            <v>0.4</v>
          </cell>
          <cell r="I249" t="e">
            <v>#DIV/0!</v>
          </cell>
          <cell r="J249" t="str">
            <v>ĐG 01.02.2025</v>
          </cell>
        </row>
        <row r="250">
          <cell r="B250" t="str">
            <v>Cauvua2732vmd</v>
          </cell>
          <cell r="C250" t="str">
            <v>Cau vua vượt mật độ</v>
          </cell>
          <cell r="D250" t="str">
            <v>27cm ≤ đk gốc &lt; 32cm</v>
          </cell>
          <cell r="E250">
            <v>0.39999985694885298</v>
          </cell>
          <cell r="F250" t="str">
            <v>cây</v>
          </cell>
          <cell r="G250">
            <v>380000</v>
          </cell>
          <cell r="H250">
            <v>0.4</v>
          </cell>
          <cell r="I250" t="e">
            <v>#DIV/0!</v>
          </cell>
          <cell r="J250" t="str">
            <v>ĐG 01.02.2025</v>
          </cell>
        </row>
        <row r="251">
          <cell r="B251" t="str">
            <v>Cauvua3235vmd</v>
          </cell>
          <cell r="C251" t="str">
            <v>Cau vua vượt mật độ</v>
          </cell>
          <cell r="D251" t="str">
            <v>32cm ≤ đk gốc &lt; 35cm</v>
          </cell>
          <cell r="E251">
            <v>0.39999985694885298</v>
          </cell>
          <cell r="F251" t="str">
            <v>cây</v>
          </cell>
          <cell r="G251">
            <v>450000</v>
          </cell>
          <cell r="H251">
            <v>0.4</v>
          </cell>
          <cell r="I251" t="e">
            <v>#DIV/0!</v>
          </cell>
          <cell r="J251" t="str">
            <v>ĐG 01.02.2025</v>
          </cell>
        </row>
        <row r="252">
          <cell r="B252" t="str">
            <v>Cauvua35+vmd</v>
          </cell>
          <cell r="C252" t="str">
            <v>Cau khác vượt mật độ</v>
          </cell>
          <cell r="D252" t="str">
            <v>đk gốc từ trên 35cm</v>
          </cell>
          <cell r="E252">
            <v>0.39999985694885298</v>
          </cell>
          <cell r="F252" t="str">
            <v>cây</v>
          </cell>
          <cell r="G252">
            <v>480000</v>
          </cell>
          <cell r="H252">
            <v>0.4</v>
          </cell>
          <cell r="I252" t="e">
            <v>#DIV/0!</v>
          </cell>
          <cell r="J252" t="str">
            <v>ĐG 01.02.2025</v>
          </cell>
        </row>
        <row r="253">
          <cell r="B253">
            <v>0.39999985694885298</v>
          </cell>
          <cell r="C253" t="str">
            <v>Cây cau khác</v>
          </cell>
          <cell r="D253">
            <v>0.39999985694885298</v>
          </cell>
          <cell r="E253">
            <v>0.39999985694885298</v>
          </cell>
          <cell r="F253">
            <v>0.39999985694885298</v>
          </cell>
          <cell r="G253">
            <v>0.39999985694885298</v>
          </cell>
          <cell r="H253">
            <v>0.39999985694885298</v>
          </cell>
          <cell r="I253">
            <v>0.39999985694885298</v>
          </cell>
        </row>
        <row r="254">
          <cell r="B254" t="str">
            <v>Cau#01</v>
          </cell>
          <cell r="C254" t="str">
            <v>Cau khác</v>
          </cell>
          <cell r="D254" t="str">
            <v>cây giống</v>
          </cell>
          <cell r="E254">
            <v>0.39999985694885298</v>
          </cell>
          <cell r="F254" t="str">
            <v>m2</v>
          </cell>
          <cell r="G254">
            <v>45000</v>
          </cell>
          <cell r="H254">
            <v>0.8</v>
          </cell>
          <cell r="I254">
            <v>45000</v>
          </cell>
          <cell r="J254" t="str">
            <v>ĐG 01.02.2025</v>
          </cell>
        </row>
        <row r="255">
          <cell r="B255" t="str">
            <v>Cau#27</v>
          </cell>
          <cell r="C255" t="str">
            <v>Cau khác</v>
          </cell>
          <cell r="D255" t="str">
            <v>2cm ≤ đk gốc &lt; 7cm</v>
          </cell>
          <cell r="E255">
            <v>45000</v>
          </cell>
          <cell r="F255" t="str">
            <v>cây</v>
          </cell>
          <cell r="G255">
            <v>55000</v>
          </cell>
          <cell r="H255">
            <v>0.8</v>
          </cell>
          <cell r="I255" t="e">
            <v>#DIV/0!</v>
          </cell>
          <cell r="J255" t="str">
            <v>ĐG 01.02.2025</v>
          </cell>
        </row>
        <row r="256">
          <cell r="B256" t="str">
            <v>Cau#712</v>
          </cell>
          <cell r="C256" t="str">
            <v>Cau khác</v>
          </cell>
          <cell r="D256" t="str">
            <v>7cm ≤ đk gốc &lt; 12cm</v>
          </cell>
          <cell r="E256">
            <v>0.79999971389770497</v>
          </cell>
          <cell r="F256" t="str">
            <v>cây</v>
          </cell>
          <cell r="G256">
            <v>120000</v>
          </cell>
          <cell r="H256">
            <v>0.8</v>
          </cell>
          <cell r="I256" t="e">
            <v>#DIV/0!</v>
          </cell>
          <cell r="J256" t="str">
            <v>ĐG 01.02.2025</v>
          </cell>
        </row>
        <row r="257">
          <cell r="B257" t="str">
            <v>Cau#1217</v>
          </cell>
          <cell r="C257" t="str">
            <v>Cau khác</v>
          </cell>
          <cell r="D257" t="str">
            <v>12cm ≤ đk gốc &lt; 17cm</v>
          </cell>
          <cell r="E257">
            <v>0.79999971389770497</v>
          </cell>
          <cell r="F257" t="str">
            <v>cây</v>
          </cell>
          <cell r="G257">
            <v>145000</v>
          </cell>
          <cell r="H257">
            <v>0.8</v>
          </cell>
          <cell r="I257" t="e">
            <v>#DIV/0!</v>
          </cell>
          <cell r="J257" t="str">
            <v>ĐG 01.02.2025</v>
          </cell>
        </row>
        <row r="258">
          <cell r="B258" t="str">
            <v>Cau#1722</v>
          </cell>
          <cell r="C258" t="str">
            <v>Cau khác</v>
          </cell>
          <cell r="D258" t="str">
            <v>17cm ≤ đk gốc &lt; 22cm</v>
          </cell>
          <cell r="E258">
            <v>0.79999971389770497</v>
          </cell>
          <cell r="F258" t="str">
            <v>cây</v>
          </cell>
          <cell r="G258">
            <v>190000</v>
          </cell>
          <cell r="H258">
            <v>0.8</v>
          </cell>
          <cell r="I258" t="e">
            <v>#DIV/0!</v>
          </cell>
          <cell r="J258" t="str">
            <v>ĐG 01.02.2025</v>
          </cell>
        </row>
        <row r="259">
          <cell r="B259" t="str">
            <v>Cau#2227</v>
          </cell>
          <cell r="C259" t="str">
            <v>Cau khác</v>
          </cell>
          <cell r="D259" t="str">
            <v>22cm ≤ đk gốc &lt; 27cm</v>
          </cell>
          <cell r="E259">
            <v>0.79999971389770497</v>
          </cell>
          <cell r="F259" t="str">
            <v>cây</v>
          </cell>
          <cell r="G259">
            <v>250000</v>
          </cell>
          <cell r="H259">
            <v>0.8</v>
          </cell>
          <cell r="I259" t="e">
            <v>#DIV/0!</v>
          </cell>
          <cell r="J259" t="str">
            <v>ĐG 01.02.2025</v>
          </cell>
        </row>
        <row r="260">
          <cell r="B260" t="str">
            <v>Cau#2732</v>
          </cell>
          <cell r="C260" t="str">
            <v>Cau khác</v>
          </cell>
          <cell r="D260" t="str">
            <v>27cm ≤ đk gốc &lt; 32cm</v>
          </cell>
          <cell r="E260">
            <v>0.79999971389770497</v>
          </cell>
          <cell r="F260" t="str">
            <v>cây</v>
          </cell>
          <cell r="G260">
            <v>320000</v>
          </cell>
          <cell r="H260">
            <v>0.8</v>
          </cell>
          <cell r="I260" t="e">
            <v>#DIV/0!</v>
          </cell>
          <cell r="J260" t="str">
            <v>ĐG 01.02.2025</v>
          </cell>
        </row>
        <row r="261">
          <cell r="B261" t="str">
            <v>Cau#3235</v>
          </cell>
          <cell r="C261" t="str">
            <v>Cau khác</v>
          </cell>
          <cell r="D261" t="str">
            <v>32cm ≤ đk gốc &lt; 35cm</v>
          </cell>
          <cell r="E261">
            <v>0.79999971389770497</v>
          </cell>
          <cell r="F261" t="str">
            <v>cây</v>
          </cell>
          <cell r="G261">
            <v>380000</v>
          </cell>
          <cell r="H261">
            <v>0.8</v>
          </cell>
          <cell r="I261" t="e">
            <v>#DIV/0!</v>
          </cell>
          <cell r="J261" t="str">
            <v>ĐG 01.02.2025</v>
          </cell>
        </row>
        <row r="262">
          <cell r="B262" t="str">
            <v>Cau#35+</v>
          </cell>
          <cell r="C262" t="str">
            <v>Cau khác</v>
          </cell>
          <cell r="D262" t="str">
            <v>đk gốc từ trên 35cm</v>
          </cell>
          <cell r="E262">
            <v>0.79999971389770497</v>
          </cell>
          <cell r="F262" t="str">
            <v>cây</v>
          </cell>
          <cell r="G262">
            <v>400000</v>
          </cell>
          <cell r="H262">
            <v>0.8</v>
          </cell>
          <cell r="I262" t="e">
            <v>#DIV/0!</v>
          </cell>
          <cell r="J262" t="str">
            <v>ĐG 01.02.2025</v>
          </cell>
        </row>
        <row r="263">
          <cell r="B263" t="str">
            <v>Cau#27vmd</v>
          </cell>
          <cell r="C263" t="str">
            <v>Cau khác vượt mật độ</v>
          </cell>
          <cell r="D263" t="str">
            <v>2cm ≤ đk gốc &lt; 7cm</v>
          </cell>
          <cell r="E263">
            <v>0.79999971389770497</v>
          </cell>
          <cell r="F263" t="str">
            <v>cây</v>
          </cell>
          <cell r="G263">
            <v>55000</v>
          </cell>
          <cell r="H263">
            <v>0.4</v>
          </cell>
          <cell r="I263" t="e">
            <v>#DIV/0!</v>
          </cell>
          <cell r="J263" t="str">
            <v>ĐG 01.02.2025</v>
          </cell>
        </row>
        <row r="264">
          <cell r="B264" t="str">
            <v>Cau#712vmd</v>
          </cell>
          <cell r="C264" t="str">
            <v>Cau khác vượt mật độ</v>
          </cell>
          <cell r="D264" t="str">
            <v>7cm ≤ đk gốc &lt; 12cm</v>
          </cell>
          <cell r="E264">
            <v>0.39999985694885298</v>
          </cell>
          <cell r="F264" t="str">
            <v>cây</v>
          </cell>
          <cell r="G264">
            <v>120000</v>
          </cell>
          <cell r="H264">
            <v>0.4</v>
          </cell>
          <cell r="I264" t="e">
            <v>#DIV/0!</v>
          </cell>
          <cell r="J264" t="str">
            <v>ĐG 01.02.2025</v>
          </cell>
        </row>
        <row r="265">
          <cell r="B265" t="str">
            <v>Cau#1217vmd</v>
          </cell>
          <cell r="C265" t="str">
            <v>Cau khác vượt mật độ</v>
          </cell>
          <cell r="D265" t="str">
            <v>12cm ≤ đk gốc &lt; 17cm</v>
          </cell>
          <cell r="E265">
            <v>0.39999985694885298</v>
          </cell>
          <cell r="F265" t="str">
            <v>cây</v>
          </cell>
          <cell r="G265">
            <v>145000</v>
          </cell>
          <cell r="H265">
            <v>0.4</v>
          </cell>
          <cell r="I265" t="e">
            <v>#DIV/0!</v>
          </cell>
          <cell r="J265" t="str">
            <v>ĐG 01.02.2025</v>
          </cell>
        </row>
        <row r="266">
          <cell r="B266" t="str">
            <v>Cau#1722vmd</v>
          </cell>
          <cell r="C266" t="str">
            <v>Cau khác vượt mật độ</v>
          </cell>
          <cell r="D266" t="str">
            <v>17cm ≤ đk gốc &lt; 22cm</v>
          </cell>
          <cell r="E266">
            <v>0.39999985694885298</v>
          </cell>
          <cell r="F266" t="str">
            <v>cây</v>
          </cell>
          <cell r="G266">
            <v>190000</v>
          </cell>
          <cell r="H266">
            <v>0.4</v>
          </cell>
          <cell r="I266" t="e">
            <v>#DIV/0!</v>
          </cell>
          <cell r="J266" t="str">
            <v>ĐG 01.02.2025</v>
          </cell>
        </row>
        <row r="267">
          <cell r="B267" t="str">
            <v>Cau#2227vmd</v>
          </cell>
          <cell r="C267" t="str">
            <v>Cau khác vượt mật độ</v>
          </cell>
          <cell r="D267" t="str">
            <v>22cm ≤ đk gốc &lt; 27cm</v>
          </cell>
          <cell r="E267">
            <v>0.39999985694885298</v>
          </cell>
          <cell r="F267" t="str">
            <v>cây</v>
          </cell>
          <cell r="G267">
            <v>250000</v>
          </cell>
          <cell r="H267">
            <v>0.4</v>
          </cell>
          <cell r="I267" t="e">
            <v>#DIV/0!</v>
          </cell>
          <cell r="J267" t="str">
            <v>ĐG 01.02.2025</v>
          </cell>
        </row>
        <row r="268">
          <cell r="B268" t="str">
            <v>Cau#2732vmd</v>
          </cell>
          <cell r="C268" t="str">
            <v>Cau khác vượt mật độ</v>
          </cell>
          <cell r="D268" t="str">
            <v>27cm ≤ đk gốc &lt; 32cm</v>
          </cell>
          <cell r="E268">
            <v>0.39999985694885298</v>
          </cell>
          <cell r="F268" t="str">
            <v>cây</v>
          </cell>
          <cell r="G268">
            <v>320000</v>
          </cell>
          <cell r="H268">
            <v>0.4</v>
          </cell>
          <cell r="I268" t="e">
            <v>#DIV/0!</v>
          </cell>
          <cell r="J268" t="str">
            <v>ĐG 01.02.2025</v>
          </cell>
        </row>
        <row r="269">
          <cell r="B269" t="str">
            <v>Cau#3235vmd</v>
          </cell>
          <cell r="C269" t="str">
            <v>Cau khác vượt mật độ</v>
          </cell>
          <cell r="D269" t="str">
            <v>32cm ≤ đk gốc &lt; 35cm</v>
          </cell>
          <cell r="E269">
            <v>0.39999985694885298</v>
          </cell>
          <cell r="F269" t="str">
            <v>cây</v>
          </cell>
          <cell r="G269">
            <v>380000</v>
          </cell>
          <cell r="H269">
            <v>0.4</v>
          </cell>
          <cell r="I269" t="e">
            <v>#DIV/0!</v>
          </cell>
          <cell r="J269" t="str">
            <v>ĐG 01.02.2025</v>
          </cell>
        </row>
        <row r="270">
          <cell r="B270" t="str">
            <v>Cau#35+vmd</v>
          </cell>
          <cell r="C270" t="str">
            <v>Cau khác vượt mật độ</v>
          </cell>
          <cell r="D270" t="str">
            <v>đk gốc từ trên 35cm</v>
          </cell>
          <cell r="E270">
            <v>0.39999985694885298</v>
          </cell>
          <cell r="F270" t="str">
            <v>cây</v>
          </cell>
          <cell r="G270">
            <v>400000</v>
          </cell>
          <cell r="H270">
            <v>0.4</v>
          </cell>
          <cell r="I270" t="e">
            <v>#DIV/0!</v>
          </cell>
          <cell r="J270" t="str">
            <v>ĐG 01.02.2025</v>
          </cell>
        </row>
        <row r="271">
          <cell r="B271">
            <v>0.39999985694885298</v>
          </cell>
          <cell r="C271" t="str">
            <v>Đinh Lăng</v>
          </cell>
          <cell r="D271">
            <v>0.39999985694885298</v>
          </cell>
          <cell r="E271">
            <v>0.39999985694885298</v>
          </cell>
          <cell r="F271">
            <v>0.39999985694885298</v>
          </cell>
          <cell r="G271">
            <v>0.39999985694885298</v>
          </cell>
          <cell r="H271">
            <v>0.39999985694885298</v>
          </cell>
          <cell r="I271">
            <v>0.39999985694885298</v>
          </cell>
        </row>
        <row r="272">
          <cell r="B272" t="str">
            <v>Dinhlang05</v>
          </cell>
          <cell r="C272" t="str">
            <v>Đinh lăng</v>
          </cell>
          <cell r="D272" t="str">
            <v>đk gốc &lt; 5cm</v>
          </cell>
          <cell r="E272">
            <v>0.39999985694885298</v>
          </cell>
          <cell r="F272" t="str">
            <v>cây</v>
          </cell>
          <cell r="G272">
            <v>30000</v>
          </cell>
          <cell r="H272">
            <v>0.8</v>
          </cell>
          <cell r="I272">
            <v>30000</v>
          </cell>
          <cell r="J272" t="str">
            <v>ĐG 01.02.2025</v>
          </cell>
        </row>
        <row r="273">
          <cell r="B273" t="str">
            <v>Dinhlang510</v>
          </cell>
          <cell r="C273" t="str">
            <v>Đinh lăng</v>
          </cell>
          <cell r="D273" t="str">
            <v>5cm ≤ đk gốc &lt; 10cm</v>
          </cell>
          <cell r="E273">
            <v>30000</v>
          </cell>
          <cell r="F273" t="str">
            <v>cây</v>
          </cell>
          <cell r="G273">
            <v>60000</v>
          </cell>
          <cell r="H273">
            <v>0.8</v>
          </cell>
          <cell r="I273" t="e">
            <v>#DIV/0!</v>
          </cell>
          <cell r="J273" t="str">
            <v>ĐG 01.02.2025</v>
          </cell>
        </row>
        <row r="274">
          <cell r="B274" t="str">
            <v>Dinhlang10+</v>
          </cell>
          <cell r="C274" t="str">
            <v>Đinh lăng</v>
          </cell>
          <cell r="D274" t="str">
            <v>đk từ 10cm trở lên</v>
          </cell>
          <cell r="E274">
            <v>0.79999971389770497</v>
          </cell>
          <cell r="F274" t="str">
            <v>cây</v>
          </cell>
          <cell r="G274">
            <v>80000</v>
          </cell>
          <cell r="H274">
            <v>0.8</v>
          </cell>
          <cell r="I274" t="e">
            <v>#DIV/0!</v>
          </cell>
          <cell r="J274" t="str">
            <v>ĐG 01.02.2025</v>
          </cell>
        </row>
        <row r="275">
          <cell r="B275" t="str">
            <v>Dinhlang35vmd</v>
          </cell>
          <cell r="C275" t="str">
            <v>Đinh lăng vượt mật độ</v>
          </cell>
          <cell r="D275" t="str">
            <v>đk gốc &lt; 5cm</v>
          </cell>
          <cell r="E275">
            <v>0.79999971389770497</v>
          </cell>
          <cell r="F275" t="str">
            <v>cây</v>
          </cell>
          <cell r="G275">
            <v>30000</v>
          </cell>
          <cell r="H275">
            <v>0.4</v>
          </cell>
          <cell r="I275">
            <v>30000</v>
          </cell>
          <cell r="J275" t="str">
            <v>ĐG 01.02.2025</v>
          </cell>
        </row>
        <row r="276">
          <cell r="B276" t="str">
            <v>Dinhlang510vmd</v>
          </cell>
          <cell r="C276" t="str">
            <v>Đinh lăng vượt mật độ</v>
          </cell>
          <cell r="D276" t="str">
            <v>5cm ≤ đk gốc &lt; 10cm</v>
          </cell>
          <cell r="E276">
            <v>30000</v>
          </cell>
          <cell r="F276" t="str">
            <v>cây</v>
          </cell>
          <cell r="G276">
            <v>60000</v>
          </cell>
          <cell r="H276">
            <v>0.4</v>
          </cell>
          <cell r="I276">
            <v>0.39999985694885298</v>
          </cell>
          <cell r="J276" t="str">
            <v>ĐG 01.02.2025</v>
          </cell>
        </row>
        <row r="277">
          <cell r="B277" t="str">
            <v>Dinhlang10+vmd</v>
          </cell>
          <cell r="C277" t="str">
            <v>Đinh lăng vượt mật độ</v>
          </cell>
          <cell r="D277" t="str">
            <v>đk từ 10cm trở lên</v>
          </cell>
          <cell r="E277">
            <v>0.39999985694885298</v>
          </cell>
          <cell r="F277" t="str">
            <v>cây</v>
          </cell>
          <cell r="G277">
            <v>80000</v>
          </cell>
          <cell r="H277">
            <v>0.4</v>
          </cell>
          <cell r="I277">
            <v>0.39999985694885298</v>
          </cell>
          <cell r="J277" t="str">
            <v>ĐG 01.02.2025</v>
          </cell>
        </row>
        <row r="278">
          <cell r="B278">
            <v>0.39999985694885298</v>
          </cell>
          <cell r="C278" t="str">
            <v>Cây ngâu</v>
          </cell>
          <cell r="D278">
            <v>0.39999985694885298</v>
          </cell>
          <cell r="E278">
            <v>0.39999985694885298</v>
          </cell>
          <cell r="F278">
            <v>0.39999985694885298</v>
          </cell>
          <cell r="G278">
            <v>0.39999985694885298</v>
          </cell>
          <cell r="H278">
            <v>0.39999985694885298</v>
          </cell>
          <cell r="I278">
            <v>0.39999985694885298</v>
          </cell>
          <cell r="J278">
            <v>0.39999985694885298</v>
          </cell>
        </row>
        <row r="279">
          <cell r="B279" t="str">
            <v>Ngâu01</v>
          </cell>
          <cell r="C279" t="str">
            <v>Cây ngâu</v>
          </cell>
          <cell r="D279" t="str">
            <v>cây giống</v>
          </cell>
          <cell r="E279">
            <v>0.39999985694885298</v>
          </cell>
          <cell r="F279" t="str">
            <v>m2</v>
          </cell>
          <cell r="G279">
            <v>45000</v>
          </cell>
          <cell r="H279">
            <v>0.8</v>
          </cell>
          <cell r="I279">
            <v>0.79999971389770497</v>
          </cell>
          <cell r="J279" t="str">
            <v>ĐG 01.02.2025</v>
          </cell>
        </row>
        <row r="280">
          <cell r="B280" t="str">
            <v>Ngâu5</v>
          </cell>
          <cell r="C280" t="str">
            <v>Cây ngâu</v>
          </cell>
          <cell r="D280" t="str">
            <v>đk gốc &lt; 5cm</v>
          </cell>
          <cell r="E280">
            <v>0.79999971389770497</v>
          </cell>
          <cell r="F280" t="str">
            <v>cây</v>
          </cell>
          <cell r="G280">
            <v>80000</v>
          </cell>
          <cell r="H280">
            <v>0.8</v>
          </cell>
          <cell r="I280" t="e">
            <v>#DIV/0!</v>
          </cell>
          <cell r="J280" t="str">
            <v>ĐG 01.02.2025</v>
          </cell>
        </row>
        <row r="281">
          <cell r="B281" t="str">
            <v>Ngâu510</v>
          </cell>
          <cell r="C281" t="str">
            <v>Cây ngâu</v>
          </cell>
          <cell r="D281" t="str">
            <v>5cm ≤ đk gốc &lt; 10cm</v>
          </cell>
          <cell r="E281">
            <v>0.79999971389770497</v>
          </cell>
          <cell r="F281" t="str">
            <v>cây</v>
          </cell>
          <cell r="G281">
            <v>240000</v>
          </cell>
          <cell r="H281">
            <v>0.8</v>
          </cell>
          <cell r="I281" t="e">
            <v>#DIV/0!</v>
          </cell>
          <cell r="J281" t="str">
            <v>ĐG 01.02.2025</v>
          </cell>
        </row>
        <row r="282">
          <cell r="B282" t="str">
            <v>Ngâu1113</v>
          </cell>
          <cell r="C282" t="str">
            <v>Cây ngâu</v>
          </cell>
          <cell r="D282" t="str">
            <v>11cm ≤ đk gốc &lt; 13cm</v>
          </cell>
          <cell r="E282">
            <v>0.79999971389770497</v>
          </cell>
          <cell r="F282" t="str">
            <v>cây</v>
          </cell>
          <cell r="G282">
            <v>380000</v>
          </cell>
          <cell r="H282">
            <v>0.8</v>
          </cell>
          <cell r="I282" t="e">
            <v>#DIV/0!</v>
          </cell>
          <cell r="J282" t="str">
            <v>ĐG 01.02.2025</v>
          </cell>
        </row>
        <row r="283">
          <cell r="B283" t="str">
            <v>Ngâu1320</v>
          </cell>
          <cell r="C283" t="str">
            <v>Cây ngâu</v>
          </cell>
          <cell r="D283" t="str">
            <v>13cm ≤ đk gốc &lt; 20cm</v>
          </cell>
          <cell r="E283">
            <v>0.79999971389770497</v>
          </cell>
          <cell r="F283" t="str">
            <v>cây</v>
          </cell>
          <cell r="G283">
            <v>450000</v>
          </cell>
          <cell r="H283">
            <v>0.8</v>
          </cell>
          <cell r="I283" t="e">
            <v>#DIV/0!</v>
          </cell>
          <cell r="J283" t="str">
            <v>ĐG 01.02.2025</v>
          </cell>
        </row>
        <row r="284">
          <cell r="B284" t="str">
            <v>Ngâu20+</v>
          </cell>
          <cell r="C284" t="str">
            <v>Cây ngâu</v>
          </cell>
          <cell r="D284" t="str">
            <v>đk gốc từ trên 20cm</v>
          </cell>
          <cell r="E284">
            <v>0.79999971389770497</v>
          </cell>
          <cell r="F284" t="str">
            <v>cây</v>
          </cell>
          <cell r="G284">
            <v>650000</v>
          </cell>
          <cell r="H284">
            <v>0.8</v>
          </cell>
          <cell r="I284" t="e">
            <v>#DIV/0!</v>
          </cell>
          <cell r="J284" t="str">
            <v>ĐG 01.02.2025</v>
          </cell>
        </row>
        <row r="285">
          <cell r="B285" t="str">
            <v>Ngâu01vmd</v>
          </cell>
          <cell r="C285" t="str">
            <v>Cây ngâu vượt mật độ</v>
          </cell>
          <cell r="D285" t="str">
            <v>cây giống</v>
          </cell>
          <cell r="E285">
            <v>0.79999971389770497</v>
          </cell>
          <cell r="F285" t="str">
            <v>m2</v>
          </cell>
          <cell r="G285">
            <v>45000</v>
          </cell>
          <cell r="H285">
            <v>0.4</v>
          </cell>
          <cell r="I285">
            <v>0.39999985694885298</v>
          </cell>
          <cell r="J285" t="str">
            <v>ĐG 01.02.2025</v>
          </cell>
        </row>
        <row r="286">
          <cell r="B286" t="str">
            <v>Ngâu5vmd</v>
          </cell>
          <cell r="C286" t="str">
            <v>Cây ngâu vượt mật độ</v>
          </cell>
          <cell r="D286" t="str">
            <v>đk gốc &lt; 5cm</v>
          </cell>
          <cell r="E286">
            <v>0.39999985694885298</v>
          </cell>
          <cell r="F286" t="str">
            <v>cây</v>
          </cell>
          <cell r="G286">
            <v>80000</v>
          </cell>
          <cell r="H286">
            <v>0.4</v>
          </cell>
          <cell r="I286" t="e">
            <v>#DIV/0!</v>
          </cell>
          <cell r="J286" t="str">
            <v>ĐG 01.02.2025</v>
          </cell>
        </row>
        <row r="287">
          <cell r="B287" t="str">
            <v>Ngâu510vmd</v>
          </cell>
          <cell r="C287" t="str">
            <v>Cây ngâu vượt mật độ</v>
          </cell>
          <cell r="D287" t="str">
            <v>5cm ≤ đk gốc &lt; 10cm</v>
          </cell>
          <cell r="E287">
            <v>0.39999985694885298</v>
          </cell>
          <cell r="F287" t="str">
            <v>cây</v>
          </cell>
          <cell r="G287">
            <v>240000</v>
          </cell>
          <cell r="H287">
            <v>0.4</v>
          </cell>
          <cell r="I287" t="e">
            <v>#DIV/0!</v>
          </cell>
          <cell r="J287" t="str">
            <v>ĐG 01.02.2025</v>
          </cell>
        </row>
        <row r="288">
          <cell r="B288" t="str">
            <v>Ngâu1113vmd</v>
          </cell>
          <cell r="C288" t="str">
            <v>Cây ngâu vượt mật độ</v>
          </cell>
          <cell r="D288" t="str">
            <v>11cm ≤ đk gốc &lt; 13cm</v>
          </cell>
          <cell r="E288">
            <v>0.39999985694885298</v>
          </cell>
          <cell r="F288" t="str">
            <v>cây</v>
          </cell>
          <cell r="G288">
            <v>380000</v>
          </cell>
          <cell r="H288">
            <v>0.4</v>
          </cell>
          <cell r="I288" t="e">
            <v>#DIV/0!</v>
          </cell>
          <cell r="J288" t="str">
            <v>ĐG 01.02.2025</v>
          </cell>
        </row>
        <row r="289">
          <cell r="B289" t="str">
            <v>Ngâu1320vmd</v>
          </cell>
          <cell r="C289" t="str">
            <v>Cây ngâu vượt mật độ</v>
          </cell>
          <cell r="D289" t="str">
            <v>13cm ≤ đk gốc &lt; 20cm</v>
          </cell>
          <cell r="E289">
            <v>0.39999985694885298</v>
          </cell>
          <cell r="F289" t="str">
            <v>cây</v>
          </cell>
          <cell r="G289">
            <v>450000</v>
          </cell>
          <cell r="H289">
            <v>0.4</v>
          </cell>
          <cell r="I289" t="e">
            <v>#DIV/0!</v>
          </cell>
          <cell r="J289" t="str">
            <v>ĐG 01.02.2025</v>
          </cell>
        </row>
        <row r="290">
          <cell r="B290" t="str">
            <v>Ngâu20+vmd</v>
          </cell>
          <cell r="C290" t="str">
            <v>Cây ngâu vượt mật độ</v>
          </cell>
          <cell r="D290" t="str">
            <v>đk gốc từ trên 20cm</v>
          </cell>
          <cell r="E290">
            <v>0.39999985694885298</v>
          </cell>
          <cell r="F290" t="str">
            <v>cây</v>
          </cell>
          <cell r="G290">
            <v>650000</v>
          </cell>
          <cell r="H290">
            <v>0.4</v>
          </cell>
          <cell r="I290" t="e">
            <v>#DIV/0!</v>
          </cell>
          <cell r="J290" t="str">
            <v>ĐG 01.02.2025</v>
          </cell>
        </row>
        <row r="291">
          <cell r="B291">
            <v>0.39999985694885298</v>
          </cell>
          <cell r="C291" t="str">
            <v>Cây Nguyệt quế</v>
          </cell>
          <cell r="D291">
            <v>0.39999985694885298</v>
          </cell>
          <cell r="E291">
            <v>0.39999985694885298</v>
          </cell>
          <cell r="F291">
            <v>0.39999985694885298</v>
          </cell>
          <cell r="G291">
            <v>0.39999985694885298</v>
          </cell>
          <cell r="H291">
            <v>0.39999985694885298</v>
          </cell>
          <cell r="I291">
            <v>0.39999985694885298</v>
          </cell>
          <cell r="J291">
            <v>0.39999985694885298</v>
          </cell>
        </row>
        <row r="292">
          <cell r="B292" t="str">
            <v>Nguyetque01</v>
          </cell>
          <cell r="C292" t="str">
            <v>Cây Nguyệt quế</v>
          </cell>
          <cell r="D292" t="str">
            <v>cây giống</v>
          </cell>
          <cell r="E292">
            <v>0.39999985694885298</v>
          </cell>
          <cell r="F292" t="str">
            <v>m2</v>
          </cell>
          <cell r="G292">
            <v>45000</v>
          </cell>
          <cell r="H292">
            <v>0.8</v>
          </cell>
          <cell r="I292">
            <v>0.79999971389770497</v>
          </cell>
          <cell r="J292" t="str">
            <v>ĐG 01.02.2025</v>
          </cell>
        </row>
        <row r="293">
          <cell r="B293" t="str">
            <v>Nguyetque5</v>
          </cell>
          <cell r="C293" t="str">
            <v>Cây Nguyệt quế</v>
          </cell>
          <cell r="D293" t="str">
            <v>đk gốc &lt; 5cm</v>
          </cell>
          <cell r="E293">
            <v>0.79999971389770497</v>
          </cell>
          <cell r="F293" t="str">
            <v>cây</v>
          </cell>
          <cell r="G293">
            <v>80000</v>
          </cell>
          <cell r="H293">
            <v>0.8</v>
          </cell>
          <cell r="I293" t="e">
            <v>#DIV/0!</v>
          </cell>
          <cell r="J293" t="str">
            <v>ĐG 01.02.2025</v>
          </cell>
        </row>
        <row r="294">
          <cell r="B294" t="str">
            <v>Nguyetque510</v>
          </cell>
          <cell r="C294" t="str">
            <v>Cây Nguyệt quế</v>
          </cell>
          <cell r="D294" t="str">
            <v>5cm ≤ đk gốc &lt; 10cm</v>
          </cell>
          <cell r="E294">
            <v>0.79999971389770497</v>
          </cell>
          <cell r="F294" t="str">
            <v>cây</v>
          </cell>
          <cell r="G294">
            <v>240000</v>
          </cell>
          <cell r="H294">
            <v>0.8</v>
          </cell>
          <cell r="I294" t="e">
            <v>#DIV/0!</v>
          </cell>
          <cell r="J294" t="str">
            <v>ĐG 01.02.2025</v>
          </cell>
        </row>
        <row r="295">
          <cell r="B295" t="str">
            <v>Nguyetque1113</v>
          </cell>
          <cell r="C295" t="str">
            <v>Cây Nguyệt quế</v>
          </cell>
          <cell r="D295" t="str">
            <v>11cm ≤ đk gốc &lt; 13cm</v>
          </cell>
          <cell r="E295">
            <v>0.79999971389770497</v>
          </cell>
          <cell r="F295" t="str">
            <v>cây</v>
          </cell>
          <cell r="G295">
            <v>380000</v>
          </cell>
          <cell r="H295">
            <v>0.8</v>
          </cell>
          <cell r="I295" t="e">
            <v>#DIV/0!</v>
          </cell>
          <cell r="J295" t="str">
            <v>ĐG 01.02.2025</v>
          </cell>
        </row>
        <row r="296">
          <cell r="B296" t="str">
            <v>Nguyetque1320</v>
          </cell>
          <cell r="C296" t="str">
            <v>Cây Nguyệt quế</v>
          </cell>
          <cell r="D296" t="str">
            <v>13cm ≤ đk gốc &lt; 20cm</v>
          </cell>
          <cell r="E296">
            <v>0.79999971389770497</v>
          </cell>
          <cell r="F296" t="str">
            <v>cây</v>
          </cell>
          <cell r="G296">
            <v>450000</v>
          </cell>
          <cell r="H296">
            <v>0.8</v>
          </cell>
          <cell r="I296" t="e">
            <v>#DIV/0!</v>
          </cell>
          <cell r="J296" t="str">
            <v>ĐG 01.02.2025</v>
          </cell>
        </row>
        <row r="297">
          <cell r="B297" t="str">
            <v>Nguyetque20+</v>
          </cell>
          <cell r="C297" t="str">
            <v>Cây Nguyệt quế</v>
          </cell>
          <cell r="D297" t="str">
            <v>đk gốc từ trên 20cm</v>
          </cell>
          <cell r="E297">
            <v>0.79999971389770497</v>
          </cell>
          <cell r="F297" t="str">
            <v>cây</v>
          </cell>
          <cell r="G297">
            <v>650000</v>
          </cell>
          <cell r="H297">
            <v>0.8</v>
          </cell>
          <cell r="I297" t="e">
            <v>#DIV/0!</v>
          </cell>
          <cell r="J297" t="str">
            <v>ĐG 01.02.2025</v>
          </cell>
        </row>
        <row r="298">
          <cell r="B298" t="str">
            <v>Nguyetque01vmd</v>
          </cell>
          <cell r="C298" t="str">
            <v>Cây Nguyệt quế vượt mật độ</v>
          </cell>
          <cell r="D298" t="str">
            <v>cây giống</v>
          </cell>
          <cell r="E298">
            <v>0.79999971389770497</v>
          </cell>
          <cell r="F298" t="str">
            <v>m2</v>
          </cell>
          <cell r="G298">
            <v>45000</v>
          </cell>
          <cell r="H298">
            <v>0.4</v>
          </cell>
          <cell r="I298">
            <v>0.39999985694885298</v>
          </cell>
          <cell r="J298" t="str">
            <v>ĐG 01.02.2025</v>
          </cell>
        </row>
        <row r="299">
          <cell r="B299" t="str">
            <v>Nguyetque5vmd</v>
          </cell>
          <cell r="C299" t="str">
            <v>Cây Nguyệt quế vượt mật độ</v>
          </cell>
          <cell r="D299" t="str">
            <v>đk gốc &lt; 5cm</v>
          </cell>
          <cell r="E299">
            <v>0.39999985694885298</v>
          </cell>
          <cell r="F299" t="str">
            <v>cây</v>
          </cell>
          <cell r="G299">
            <v>80000</v>
          </cell>
          <cell r="H299">
            <v>0.4</v>
          </cell>
          <cell r="I299" t="e">
            <v>#DIV/0!</v>
          </cell>
          <cell r="J299" t="str">
            <v>ĐG 01.02.2025</v>
          </cell>
        </row>
        <row r="300">
          <cell r="B300" t="str">
            <v>Nguyetque510vmd</v>
          </cell>
          <cell r="C300" t="str">
            <v>Cây Nguyệt quế vượt mật độ</v>
          </cell>
          <cell r="D300" t="str">
            <v>5cm ≤ đk gốc &lt; 10cm</v>
          </cell>
          <cell r="E300">
            <v>0.39999985694885298</v>
          </cell>
          <cell r="F300" t="str">
            <v>cây</v>
          </cell>
          <cell r="G300">
            <v>240000</v>
          </cell>
          <cell r="H300">
            <v>0.4</v>
          </cell>
          <cell r="I300" t="e">
            <v>#DIV/0!</v>
          </cell>
          <cell r="J300" t="str">
            <v>ĐG 01.02.2025</v>
          </cell>
        </row>
        <row r="301">
          <cell r="B301" t="str">
            <v>Nguyetque1113vmd</v>
          </cell>
          <cell r="C301" t="str">
            <v>Cây Nguyệt quế vượt mật độ</v>
          </cell>
          <cell r="D301" t="str">
            <v>11cm ≤ đk gốc &lt; 13cm</v>
          </cell>
          <cell r="E301">
            <v>0.39999985694885298</v>
          </cell>
          <cell r="F301" t="str">
            <v>cây</v>
          </cell>
          <cell r="G301">
            <v>380000</v>
          </cell>
          <cell r="H301">
            <v>0.4</v>
          </cell>
          <cell r="I301" t="e">
            <v>#DIV/0!</v>
          </cell>
          <cell r="J301" t="str">
            <v>ĐG 01.02.2025</v>
          </cell>
        </row>
        <row r="302">
          <cell r="B302" t="str">
            <v>Nguyetque1320vmd</v>
          </cell>
          <cell r="C302" t="str">
            <v>Cây Nguyệt quế vượt mật độ</v>
          </cell>
          <cell r="D302" t="str">
            <v>13cm ≤ đk gốc &lt; 20cm</v>
          </cell>
          <cell r="E302">
            <v>0.39999985694885298</v>
          </cell>
          <cell r="F302" t="str">
            <v>cây</v>
          </cell>
          <cell r="G302">
            <v>450000</v>
          </cell>
          <cell r="H302">
            <v>0.4</v>
          </cell>
          <cell r="I302" t="e">
            <v>#DIV/0!</v>
          </cell>
          <cell r="J302" t="str">
            <v>ĐG 01.02.2025</v>
          </cell>
        </row>
        <row r="303">
          <cell r="B303" t="str">
            <v>Nguyetque20+vmd</v>
          </cell>
          <cell r="C303" t="str">
            <v>Cây Nguyệt quế vượt mật độ</v>
          </cell>
          <cell r="D303" t="str">
            <v>đk gốc từ trên 20cm</v>
          </cell>
          <cell r="E303">
            <v>0.39999985694885298</v>
          </cell>
          <cell r="F303" t="str">
            <v>cây</v>
          </cell>
          <cell r="G303">
            <v>650000</v>
          </cell>
          <cell r="H303">
            <v>0.4</v>
          </cell>
          <cell r="I303" t="e">
            <v>#DIV/0!</v>
          </cell>
          <cell r="J303" t="str">
            <v>ĐG 01.02.2025</v>
          </cell>
        </row>
        <row r="304">
          <cell r="B304">
            <v>0.39999985694885298</v>
          </cell>
          <cell r="C304" t="str">
            <v>Cây dừa</v>
          </cell>
          <cell r="D304">
            <v>0.39999985694885298</v>
          </cell>
          <cell r="E304">
            <v>0.39999985694885298</v>
          </cell>
          <cell r="F304">
            <v>0.39999985694885298</v>
          </cell>
          <cell r="G304">
            <v>0.39999985694885298</v>
          </cell>
          <cell r="H304">
            <v>0.39999985694885298</v>
          </cell>
          <cell r="I304">
            <v>0.39999985694885298</v>
          </cell>
          <cell r="J304">
            <v>0.39999985694885298</v>
          </cell>
        </row>
        <row r="305">
          <cell r="B305" t="str">
            <v>Dừa01</v>
          </cell>
          <cell r="C305" t="str">
            <v>Cây dừa</v>
          </cell>
          <cell r="D305" t="str">
            <v>cây giống</v>
          </cell>
          <cell r="E305">
            <v>0.39999985694885298</v>
          </cell>
          <cell r="F305" t="str">
            <v>m2</v>
          </cell>
          <cell r="G305">
            <v>45000</v>
          </cell>
          <cell r="H305">
            <v>0.8</v>
          </cell>
          <cell r="I305">
            <v>45000</v>
          </cell>
          <cell r="J305" t="str">
            <v>ĐG 01.02.2025</v>
          </cell>
        </row>
        <row r="306">
          <cell r="B306" t="str">
            <v>Dừa27</v>
          </cell>
          <cell r="C306" t="str">
            <v>Cây dừa</v>
          </cell>
          <cell r="D306" t="str">
            <v>2cm ≤ đk gốc &lt; 7cm</v>
          </cell>
          <cell r="E306">
            <v>45000</v>
          </cell>
          <cell r="F306" t="str">
            <v>cây</v>
          </cell>
          <cell r="G306">
            <v>55000</v>
          </cell>
          <cell r="H306">
            <v>0.8</v>
          </cell>
          <cell r="I306" t="e">
            <v>#DIV/0!</v>
          </cell>
          <cell r="J306" t="str">
            <v>ĐG 01.02.2025</v>
          </cell>
        </row>
        <row r="307">
          <cell r="B307" t="str">
            <v>Dừa712</v>
          </cell>
          <cell r="C307" t="str">
            <v>Cây dừa</v>
          </cell>
          <cell r="D307" t="str">
            <v>7cm ≤ đk gốc &lt; 12cm</v>
          </cell>
          <cell r="E307">
            <v>0.79999971389770497</v>
          </cell>
          <cell r="F307" t="str">
            <v>cây</v>
          </cell>
          <cell r="G307">
            <v>120000</v>
          </cell>
          <cell r="H307">
            <v>0.8</v>
          </cell>
          <cell r="I307" t="e">
            <v>#DIV/0!</v>
          </cell>
          <cell r="J307" t="str">
            <v>ĐG 01.02.2025</v>
          </cell>
        </row>
        <row r="308">
          <cell r="B308" t="str">
            <v>Dừa1217</v>
          </cell>
          <cell r="C308" t="str">
            <v>Cây dừa</v>
          </cell>
          <cell r="D308" t="str">
            <v>12cm ≤ đk gốc &lt; 17cm</v>
          </cell>
          <cell r="E308">
            <v>0.79999971389770497</v>
          </cell>
          <cell r="F308" t="str">
            <v>cây</v>
          </cell>
          <cell r="G308">
            <v>145000</v>
          </cell>
          <cell r="H308">
            <v>0.8</v>
          </cell>
          <cell r="I308" t="e">
            <v>#DIV/0!</v>
          </cell>
          <cell r="J308" t="str">
            <v>ĐG 01.02.2025</v>
          </cell>
        </row>
        <row r="309">
          <cell r="B309" t="str">
            <v>Dừa1722</v>
          </cell>
          <cell r="C309" t="str">
            <v>Cây dừa</v>
          </cell>
          <cell r="D309" t="str">
            <v>17cm ≤ đk gốc &lt; 22cm</v>
          </cell>
          <cell r="E309">
            <v>0.79999971389770497</v>
          </cell>
          <cell r="F309" t="str">
            <v>cây</v>
          </cell>
          <cell r="G309">
            <v>190000</v>
          </cell>
          <cell r="H309">
            <v>0.8</v>
          </cell>
          <cell r="I309" t="e">
            <v>#DIV/0!</v>
          </cell>
          <cell r="J309" t="str">
            <v>ĐG 01.02.2025</v>
          </cell>
        </row>
        <row r="310">
          <cell r="B310" t="str">
            <v>Dừa2227</v>
          </cell>
          <cell r="C310" t="str">
            <v>Cây dừa</v>
          </cell>
          <cell r="D310" t="str">
            <v>22cm ≤ đk gốc &lt; 27cm</v>
          </cell>
          <cell r="E310">
            <v>0.79999971389770497</v>
          </cell>
          <cell r="F310" t="str">
            <v>cây</v>
          </cell>
          <cell r="G310">
            <v>250000</v>
          </cell>
          <cell r="H310">
            <v>0.8</v>
          </cell>
          <cell r="I310" t="e">
            <v>#DIV/0!</v>
          </cell>
          <cell r="J310" t="str">
            <v>ĐG 01.02.2025</v>
          </cell>
        </row>
        <row r="311">
          <cell r="B311" t="str">
            <v>Dừa2732</v>
          </cell>
          <cell r="C311" t="str">
            <v>Cây dừa</v>
          </cell>
          <cell r="D311" t="str">
            <v>27cm ≤ đk gốc &lt; 32cm</v>
          </cell>
          <cell r="E311">
            <v>0.79999971389770497</v>
          </cell>
          <cell r="F311" t="str">
            <v>cây</v>
          </cell>
          <cell r="G311">
            <v>320000</v>
          </cell>
          <cell r="H311">
            <v>0.8</v>
          </cell>
          <cell r="I311" t="e">
            <v>#DIV/0!</v>
          </cell>
          <cell r="J311" t="str">
            <v>ĐG 01.02.2025</v>
          </cell>
        </row>
        <row r="312">
          <cell r="B312" t="str">
            <v>Dừa3235</v>
          </cell>
          <cell r="C312" t="str">
            <v>Cây dừa</v>
          </cell>
          <cell r="D312" t="str">
            <v>32cm ≤ đk gốc &lt; 35cm</v>
          </cell>
          <cell r="E312">
            <v>0.79999971389770497</v>
          </cell>
          <cell r="F312" t="str">
            <v>cây</v>
          </cell>
          <cell r="G312">
            <v>380000</v>
          </cell>
          <cell r="H312">
            <v>0.8</v>
          </cell>
          <cell r="I312" t="e">
            <v>#DIV/0!</v>
          </cell>
          <cell r="J312" t="str">
            <v>ĐG 01.02.2025</v>
          </cell>
        </row>
        <row r="313">
          <cell r="B313" t="str">
            <v>Dừa35+</v>
          </cell>
          <cell r="C313" t="str">
            <v>Cây dừa</v>
          </cell>
          <cell r="D313" t="str">
            <v>đk gốc từ trên 35cm</v>
          </cell>
          <cell r="E313">
            <v>0.79999971389770497</v>
          </cell>
          <cell r="F313" t="str">
            <v>cây</v>
          </cell>
          <cell r="G313">
            <v>400000</v>
          </cell>
          <cell r="H313">
            <v>0.8</v>
          </cell>
          <cell r="I313" t="e">
            <v>#DIV/0!</v>
          </cell>
          <cell r="J313" t="str">
            <v>ĐG 01.02.2025</v>
          </cell>
        </row>
        <row r="314">
          <cell r="B314" t="str">
            <v>Dừa27vmd</v>
          </cell>
          <cell r="C314" t="str">
            <v>Cây dừa vượt mật độ</v>
          </cell>
          <cell r="D314" t="str">
            <v>2cm ≤ đk gốc &lt; 7cm</v>
          </cell>
          <cell r="E314">
            <v>0.79999971389770497</v>
          </cell>
          <cell r="F314" t="str">
            <v>cây</v>
          </cell>
          <cell r="G314">
            <v>55000</v>
          </cell>
          <cell r="H314">
            <v>0.4</v>
          </cell>
          <cell r="I314" t="e">
            <v>#DIV/0!</v>
          </cell>
          <cell r="J314" t="str">
            <v>ĐG 01.02.2025</v>
          </cell>
        </row>
        <row r="315">
          <cell r="B315" t="str">
            <v>Dừa712vmd</v>
          </cell>
          <cell r="C315" t="str">
            <v>Cây dừa vượt mật độ</v>
          </cell>
          <cell r="D315" t="str">
            <v>7cm ≤ đk gốc &lt; 12cm</v>
          </cell>
          <cell r="E315">
            <v>0.39999985694885298</v>
          </cell>
          <cell r="F315" t="str">
            <v>cây</v>
          </cell>
          <cell r="G315">
            <v>120000</v>
          </cell>
          <cell r="H315">
            <v>0.4</v>
          </cell>
          <cell r="I315" t="e">
            <v>#DIV/0!</v>
          </cell>
          <cell r="J315" t="str">
            <v>ĐG 01.02.2025</v>
          </cell>
        </row>
        <row r="316">
          <cell r="B316" t="str">
            <v>Dừa1217vmd</v>
          </cell>
          <cell r="C316" t="str">
            <v>Cây dừa vượt mật độ</v>
          </cell>
          <cell r="D316" t="str">
            <v>12cm ≤ đk gốc &lt; 17cm</v>
          </cell>
          <cell r="E316">
            <v>0.39999985694885298</v>
          </cell>
          <cell r="F316" t="str">
            <v>cây</v>
          </cell>
          <cell r="G316">
            <v>145000</v>
          </cell>
          <cell r="H316">
            <v>0.4</v>
          </cell>
          <cell r="I316" t="e">
            <v>#DIV/0!</v>
          </cell>
          <cell r="J316" t="str">
            <v>ĐG 01.02.2025</v>
          </cell>
        </row>
        <row r="317">
          <cell r="B317" t="str">
            <v>Dừa1722vmd</v>
          </cell>
          <cell r="C317" t="str">
            <v>Cây dừa vượt mật độ</v>
          </cell>
          <cell r="D317" t="str">
            <v>17cm ≤ đk gốc &lt; 22cm</v>
          </cell>
          <cell r="E317">
            <v>0.39999985694885298</v>
          </cell>
          <cell r="F317" t="str">
            <v>cây</v>
          </cell>
          <cell r="G317">
            <v>190000</v>
          </cell>
          <cell r="H317">
            <v>0.4</v>
          </cell>
          <cell r="I317" t="e">
            <v>#DIV/0!</v>
          </cell>
          <cell r="J317" t="str">
            <v>ĐG 01.02.2025</v>
          </cell>
        </row>
        <row r="318">
          <cell r="B318" t="str">
            <v>Dừa2227vmd</v>
          </cell>
          <cell r="C318" t="str">
            <v>Cây dừa vượt mật độ</v>
          </cell>
          <cell r="D318" t="str">
            <v>22cm ≤ đk gốc &lt; 27cm</v>
          </cell>
          <cell r="E318">
            <v>0.39999985694885298</v>
          </cell>
          <cell r="F318" t="str">
            <v>cây</v>
          </cell>
          <cell r="G318">
            <v>250000</v>
          </cell>
          <cell r="H318">
            <v>0.4</v>
          </cell>
          <cell r="I318" t="e">
            <v>#DIV/0!</v>
          </cell>
          <cell r="J318" t="str">
            <v>ĐG 01.02.2025</v>
          </cell>
        </row>
        <row r="319">
          <cell r="B319" t="str">
            <v>Dừa2732vmd</v>
          </cell>
          <cell r="C319" t="str">
            <v>Cây dừa vượt mật độ</v>
          </cell>
          <cell r="D319" t="str">
            <v>27cm ≤ đk gốc &lt; 32cm</v>
          </cell>
          <cell r="E319">
            <v>0.39999985694885298</v>
          </cell>
          <cell r="F319" t="str">
            <v>cây</v>
          </cell>
          <cell r="G319">
            <v>320000</v>
          </cell>
          <cell r="H319">
            <v>0.4</v>
          </cell>
          <cell r="I319" t="e">
            <v>#DIV/0!</v>
          </cell>
          <cell r="J319" t="str">
            <v>ĐG 01.02.2025</v>
          </cell>
        </row>
        <row r="320">
          <cell r="B320" t="str">
            <v>Dừa3235vmd</v>
          </cell>
          <cell r="C320" t="str">
            <v>Cây dừa vượt mật độ</v>
          </cell>
          <cell r="D320" t="str">
            <v>32cm ≤ đk gốc &lt; 35cm</v>
          </cell>
          <cell r="E320">
            <v>0.39999985694885298</v>
          </cell>
          <cell r="F320" t="str">
            <v>cây</v>
          </cell>
          <cell r="G320">
            <v>380000</v>
          </cell>
          <cell r="H320">
            <v>0.4</v>
          </cell>
          <cell r="I320" t="e">
            <v>#DIV/0!</v>
          </cell>
          <cell r="J320" t="str">
            <v>ĐG 01.02.2025</v>
          </cell>
        </row>
        <row r="321">
          <cell r="B321" t="str">
            <v>Dừa35+vmd</v>
          </cell>
          <cell r="C321" t="str">
            <v>Cây dừa vượt mật độ</v>
          </cell>
          <cell r="D321" t="str">
            <v>đk gốc từ trên 35cm</v>
          </cell>
          <cell r="E321">
            <v>0.39999985694885298</v>
          </cell>
          <cell r="F321" t="str">
            <v>cây</v>
          </cell>
          <cell r="G321">
            <v>400000</v>
          </cell>
          <cell r="H321">
            <v>0.4</v>
          </cell>
          <cell r="I321" t="e">
            <v>#DIV/0!</v>
          </cell>
          <cell r="J321" t="str">
            <v>ĐG 01.02.2025</v>
          </cell>
        </row>
        <row r="322">
          <cell r="B322">
            <v>0.39999985694885298</v>
          </cell>
          <cell r="C322" t="str">
            <v>Cây cọ</v>
          </cell>
          <cell r="D322">
            <v>0.39999985694885298</v>
          </cell>
          <cell r="E322">
            <v>0.39999985694885298</v>
          </cell>
          <cell r="F322">
            <v>0.39999985694885298</v>
          </cell>
          <cell r="G322">
            <v>0.39999985694885298</v>
          </cell>
          <cell r="H322">
            <v>0.39999985694885298</v>
          </cell>
          <cell r="I322">
            <v>0.39999985694885298</v>
          </cell>
          <cell r="J322">
            <v>0.39999985694885298</v>
          </cell>
        </row>
        <row r="323">
          <cell r="B323" t="str">
            <v>Cọ01</v>
          </cell>
          <cell r="C323" t="str">
            <v>Cây cọ</v>
          </cell>
          <cell r="D323" t="str">
            <v>cây giống</v>
          </cell>
          <cell r="E323">
            <v>0.39999985694885298</v>
          </cell>
          <cell r="F323" t="str">
            <v>m2</v>
          </cell>
          <cell r="G323">
            <v>45000</v>
          </cell>
          <cell r="H323">
            <v>0.8</v>
          </cell>
          <cell r="I323">
            <v>45000</v>
          </cell>
          <cell r="J323" t="str">
            <v>ĐG 30.12.2022</v>
          </cell>
        </row>
        <row r="324">
          <cell r="B324" t="str">
            <v>Cọ27</v>
          </cell>
          <cell r="C324" t="str">
            <v>Cây cọ</v>
          </cell>
          <cell r="D324" t="str">
            <v>2cm ≤ đk gốc &lt; 7cm</v>
          </cell>
          <cell r="E324">
            <v>1</v>
          </cell>
          <cell r="F324" t="str">
            <v>cây</v>
          </cell>
          <cell r="G324">
            <v>55000</v>
          </cell>
          <cell r="H324">
            <v>0.8</v>
          </cell>
          <cell r="I324">
            <v>55000</v>
          </cell>
          <cell r="J324" t="str">
            <v>ĐG 30.12.2022</v>
          </cell>
        </row>
        <row r="325">
          <cell r="B325" t="str">
            <v>Cọ712</v>
          </cell>
          <cell r="C325" t="str">
            <v>Cây cọ</v>
          </cell>
          <cell r="D325" t="str">
            <v>7cm ≤ đk gốc &lt; 12cm</v>
          </cell>
          <cell r="E325">
            <v>2</v>
          </cell>
          <cell r="F325" t="str">
            <v>cây</v>
          </cell>
          <cell r="G325">
            <v>120000</v>
          </cell>
          <cell r="H325">
            <v>0.8</v>
          </cell>
          <cell r="I325">
            <v>60000</v>
          </cell>
          <cell r="J325" t="str">
            <v>ĐG 30.12.2022</v>
          </cell>
        </row>
        <row r="326">
          <cell r="B326" t="str">
            <v>Cọ1217</v>
          </cell>
          <cell r="C326" t="str">
            <v>Cây cọ</v>
          </cell>
          <cell r="D326" t="str">
            <v>12cm ≤ đk gốc &lt; 17cm</v>
          </cell>
          <cell r="E326">
            <v>2</v>
          </cell>
          <cell r="F326" t="str">
            <v>cây</v>
          </cell>
          <cell r="G326">
            <v>145000</v>
          </cell>
          <cell r="H326">
            <v>0.8</v>
          </cell>
          <cell r="I326">
            <v>72500</v>
          </cell>
          <cell r="J326" t="str">
            <v>ĐG 30.12.2022</v>
          </cell>
        </row>
        <row r="327">
          <cell r="B327" t="str">
            <v>Cọ1722</v>
          </cell>
          <cell r="C327" t="str">
            <v>Cây cọ</v>
          </cell>
          <cell r="D327" t="str">
            <v>17cm ≤ đk gốc &lt; 22cm</v>
          </cell>
          <cell r="E327">
            <v>2.5</v>
          </cell>
          <cell r="F327" t="str">
            <v>cây</v>
          </cell>
          <cell r="G327">
            <v>190000</v>
          </cell>
          <cell r="H327">
            <v>0.8</v>
          </cell>
          <cell r="I327">
            <v>76000</v>
          </cell>
          <cell r="J327" t="str">
            <v>ĐG 30.12.2022</v>
          </cell>
        </row>
        <row r="328">
          <cell r="B328" t="str">
            <v>Cọ2227</v>
          </cell>
          <cell r="C328" t="str">
            <v>Cây cọ</v>
          </cell>
          <cell r="D328" t="str">
            <v>22cm ≤ đk gốc &lt; 27cm</v>
          </cell>
          <cell r="E328">
            <v>3</v>
          </cell>
          <cell r="F328" t="str">
            <v>cây</v>
          </cell>
          <cell r="G328">
            <v>250000</v>
          </cell>
          <cell r="H328">
            <v>0.8</v>
          </cell>
          <cell r="I328">
            <v>83333.333333333299</v>
          </cell>
          <cell r="J328" t="str">
            <v>ĐG 30.12.2022</v>
          </cell>
        </row>
        <row r="329">
          <cell r="B329" t="str">
            <v>Cọ2732</v>
          </cell>
          <cell r="C329" t="str">
            <v>Cây cọ</v>
          </cell>
          <cell r="D329" t="str">
            <v>27cm ≤ đk gốc &lt; 32cm</v>
          </cell>
          <cell r="E329">
            <v>3.5</v>
          </cell>
          <cell r="F329" t="str">
            <v>cây</v>
          </cell>
          <cell r="G329">
            <v>320000</v>
          </cell>
          <cell r="H329">
            <v>0.8</v>
          </cell>
          <cell r="I329">
            <v>91428.571428571406</v>
          </cell>
          <cell r="J329" t="str">
            <v>ĐG 30.12.2022</v>
          </cell>
        </row>
        <row r="330">
          <cell r="B330" t="str">
            <v>Cọ3235</v>
          </cell>
          <cell r="C330" t="str">
            <v>Cây cọ</v>
          </cell>
          <cell r="D330" t="str">
            <v>32cm ≤ đk gốc &lt; 35cm</v>
          </cell>
          <cell r="E330">
            <v>4</v>
          </cell>
          <cell r="F330" t="str">
            <v>cây</v>
          </cell>
          <cell r="G330">
            <v>380000</v>
          </cell>
          <cell r="H330">
            <v>0.8</v>
          </cell>
          <cell r="I330">
            <v>95000</v>
          </cell>
          <cell r="J330" t="str">
            <v>ĐG 30.12.2022</v>
          </cell>
        </row>
        <row r="331">
          <cell r="B331" t="str">
            <v>Cọ35+</v>
          </cell>
          <cell r="C331" t="str">
            <v>Cây cọ</v>
          </cell>
          <cell r="D331" t="str">
            <v>đk gốc từ trên 35cm</v>
          </cell>
          <cell r="E331">
            <v>4</v>
          </cell>
          <cell r="F331" t="str">
            <v>cây</v>
          </cell>
          <cell r="G331">
            <v>400000</v>
          </cell>
          <cell r="H331">
            <v>0.8</v>
          </cell>
          <cell r="I331">
            <v>100000</v>
          </cell>
          <cell r="J331" t="str">
            <v>ĐG 30.12.2022</v>
          </cell>
        </row>
        <row r="332">
          <cell r="B332" t="str">
            <v>Cọ01vmd</v>
          </cell>
          <cell r="C332" t="str">
            <v>Cây cọ vượt mật độ</v>
          </cell>
          <cell r="D332" t="str">
            <v>cây giống</v>
          </cell>
          <cell r="E332">
            <v>100000</v>
          </cell>
          <cell r="F332" t="str">
            <v>m2</v>
          </cell>
          <cell r="G332">
            <v>45000</v>
          </cell>
          <cell r="H332">
            <v>0.4</v>
          </cell>
          <cell r="I332">
            <v>45000</v>
          </cell>
          <cell r="J332" t="str">
            <v>ĐG 30.12.2022</v>
          </cell>
        </row>
        <row r="333">
          <cell r="B333" t="str">
            <v>Cọ27vmd</v>
          </cell>
          <cell r="C333" t="str">
            <v>Cây cọ vượt mật độ</v>
          </cell>
          <cell r="D333" t="str">
            <v>2cm ≤ đk gốc &lt; 7cm</v>
          </cell>
          <cell r="E333">
            <v>1</v>
          </cell>
          <cell r="F333" t="str">
            <v>cây</v>
          </cell>
          <cell r="G333">
            <v>55000</v>
          </cell>
          <cell r="H333">
            <v>0.4</v>
          </cell>
          <cell r="I333">
            <v>55000</v>
          </cell>
          <cell r="J333" t="str">
            <v>ĐG 30.12.2022</v>
          </cell>
        </row>
        <row r="334">
          <cell r="B334" t="str">
            <v>Cọ712vmd</v>
          </cell>
          <cell r="C334" t="str">
            <v>Cây cọ vượt mật độ</v>
          </cell>
          <cell r="D334" t="str">
            <v>7cm ≤ đk gốc &lt; 12cm</v>
          </cell>
          <cell r="E334">
            <v>2</v>
          </cell>
          <cell r="F334" t="str">
            <v>cây</v>
          </cell>
          <cell r="G334">
            <v>120000</v>
          </cell>
          <cell r="H334">
            <v>0.4</v>
          </cell>
          <cell r="I334">
            <v>60000</v>
          </cell>
          <cell r="J334" t="str">
            <v>ĐG 30.12.2022</v>
          </cell>
        </row>
        <row r="335">
          <cell r="B335" t="str">
            <v>Cọ1217vmd</v>
          </cell>
          <cell r="C335" t="str">
            <v>Cây cọ vượt mật độ</v>
          </cell>
          <cell r="D335" t="str">
            <v>12cm ≤ đk gốc &lt; 17cm</v>
          </cell>
          <cell r="E335">
            <v>2</v>
          </cell>
          <cell r="F335" t="str">
            <v>cây</v>
          </cell>
          <cell r="G335">
            <v>145000</v>
          </cell>
          <cell r="H335">
            <v>0.4</v>
          </cell>
          <cell r="I335">
            <v>72500</v>
          </cell>
          <cell r="J335" t="str">
            <v>ĐG 30.12.2022</v>
          </cell>
        </row>
        <row r="336">
          <cell r="B336" t="str">
            <v>Cọ1722vmd</v>
          </cell>
          <cell r="C336" t="str">
            <v>Cây cọ vượt mật độ</v>
          </cell>
          <cell r="D336" t="str">
            <v>17cm ≤ đk gốc &lt; 22cm</v>
          </cell>
          <cell r="E336">
            <v>2.5</v>
          </cell>
          <cell r="F336" t="str">
            <v>cây</v>
          </cell>
          <cell r="G336">
            <v>190000</v>
          </cell>
          <cell r="H336">
            <v>0.4</v>
          </cell>
          <cell r="I336">
            <v>76000</v>
          </cell>
          <cell r="J336" t="str">
            <v>ĐG 30.12.2022</v>
          </cell>
        </row>
        <row r="337">
          <cell r="B337" t="str">
            <v>Cọ2227vmd</v>
          </cell>
          <cell r="C337" t="str">
            <v>Cây cọ vượt mật độ</v>
          </cell>
          <cell r="D337" t="str">
            <v>22cm ≤ đk gốc &lt; 27cm</v>
          </cell>
          <cell r="E337">
            <v>3</v>
          </cell>
          <cell r="F337" t="str">
            <v>cây</v>
          </cell>
          <cell r="G337">
            <v>250000</v>
          </cell>
          <cell r="H337">
            <v>0.4</v>
          </cell>
          <cell r="I337">
            <v>83333.333333333299</v>
          </cell>
          <cell r="J337" t="str">
            <v>ĐG 30.12.2022</v>
          </cell>
        </row>
        <row r="338">
          <cell r="B338" t="str">
            <v>Cọ2732vmd</v>
          </cell>
          <cell r="C338" t="str">
            <v>Cây cọ vượt mật độ</v>
          </cell>
          <cell r="D338" t="str">
            <v>27cm ≤ đk gốc &lt; 32cm</v>
          </cell>
          <cell r="E338">
            <v>3.5</v>
          </cell>
          <cell r="F338" t="str">
            <v>cây</v>
          </cell>
          <cell r="G338">
            <v>320000</v>
          </cell>
          <cell r="H338">
            <v>0.4</v>
          </cell>
          <cell r="I338">
            <v>91428.571428571406</v>
          </cell>
          <cell r="J338" t="str">
            <v>ĐG 30.12.2022</v>
          </cell>
        </row>
        <row r="339">
          <cell r="B339" t="str">
            <v>Cọ3235vmd</v>
          </cell>
          <cell r="C339" t="str">
            <v>Cây cọ vượt mật độ</v>
          </cell>
          <cell r="D339" t="str">
            <v>32cm ≤ đk gốc &lt; 35cm</v>
          </cell>
          <cell r="E339">
            <v>4</v>
          </cell>
          <cell r="F339" t="str">
            <v>cây</v>
          </cell>
          <cell r="G339">
            <v>380000</v>
          </cell>
          <cell r="H339">
            <v>0.4</v>
          </cell>
          <cell r="I339">
            <v>95000</v>
          </cell>
          <cell r="J339" t="str">
            <v>ĐG 30.12.2022</v>
          </cell>
        </row>
        <row r="340">
          <cell r="B340" t="str">
            <v>Cọ35+vmd</v>
          </cell>
          <cell r="C340" t="str">
            <v>Cây cọ vượt mật độ</v>
          </cell>
          <cell r="D340" t="str">
            <v>đk gốc từ trên 35cm</v>
          </cell>
          <cell r="E340">
            <v>4</v>
          </cell>
          <cell r="F340" t="str">
            <v>cây</v>
          </cell>
          <cell r="G340">
            <v>400000</v>
          </cell>
          <cell r="H340">
            <v>0.4</v>
          </cell>
          <cell r="I340">
            <v>100000</v>
          </cell>
          <cell r="J340" t="str">
            <v>ĐG 30.12.2022</v>
          </cell>
        </row>
        <row r="341">
          <cell r="B341">
            <v>100000</v>
          </cell>
          <cell r="C341" t="str">
            <v>Cây sung</v>
          </cell>
          <cell r="D341">
            <v>100000</v>
          </cell>
          <cell r="E341">
            <v>100000</v>
          </cell>
          <cell r="F341">
            <v>100000</v>
          </cell>
          <cell r="G341">
            <v>100000</v>
          </cell>
          <cell r="H341">
            <v>100000</v>
          </cell>
          <cell r="I341">
            <v>100000</v>
          </cell>
        </row>
        <row r="342">
          <cell r="B342" t="str">
            <v>Sung01</v>
          </cell>
          <cell r="C342" t="str">
            <v>Cây sung</v>
          </cell>
          <cell r="D342" t="str">
            <v>cây giống</v>
          </cell>
          <cell r="E342">
            <v>100000</v>
          </cell>
          <cell r="F342" t="str">
            <v>m2</v>
          </cell>
          <cell r="G342">
            <v>36000</v>
          </cell>
          <cell r="H342">
            <v>0.8</v>
          </cell>
          <cell r="I342">
            <v>36000</v>
          </cell>
          <cell r="J342" t="str">
            <v>ĐG 30.12.2022</v>
          </cell>
        </row>
        <row r="343">
          <cell r="B343" t="str">
            <v>Sung27</v>
          </cell>
          <cell r="C343" t="str">
            <v>Cây sung</v>
          </cell>
          <cell r="D343" t="str">
            <v>2cm ≤ đk gốc &lt; 7cm</v>
          </cell>
          <cell r="E343">
            <v>5</v>
          </cell>
          <cell r="F343" t="str">
            <v>cây</v>
          </cell>
          <cell r="G343">
            <v>90000</v>
          </cell>
          <cell r="H343">
            <v>0.8</v>
          </cell>
          <cell r="I343">
            <v>18000</v>
          </cell>
          <cell r="J343" t="str">
            <v>ĐG 30.12.2022</v>
          </cell>
        </row>
        <row r="344">
          <cell r="B344" t="str">
            <v>Sung712</v>
          </cell>
          <cell r="C344" t="str">
            <v>Cây sung</v>
          </cell>
          <cell r="D344" t="str">
            <v>7cm ≤ đk gốc &lt; 12cm</v>
          </cell>
          <cell r="E344">
            <v>6.6666666666666696</v>
          </cell>
          <cell r="F344" t="str">
            <v>cây</v>
          </cell>
          <cell r="G344">
            <v>150000</v>
          </cell>
          <cell r="H344">
            <v>0.8</v>
          </cell>
          <cell r="I344">
            <v>22500</v>
          </cell>
          <cell r="J344" t="str">
            <v>ĐG 30.12.2022</v>
          </cell>
        </row>
        <row r="345">
          <cell r="B345" t="str">
            <v>Sung1220</v>
          </cell>
          <cell r="C345" t="str">
            <v>Cây sung</v>
          </cell>
          <cell r="D345" t="str">
            <v>12cm ≤ đk gốc &lt; 20cm</v>
          </cell>
          <cell r="E345">
            <v>8.3720930232558093</v>
          </cell>
          <cell r="F345" t="str">
            <v>cây</v>
          </cell>
          <cell r="G345">
            <v>220000</v>
          </cell>
          <cell r="H345">
            <v>0.8</v>
          </cell>
          <cell r="I345">
            <v>26277.777777777799</v>
          </cell>
          <cell r="J345" t="str">
            <v>ĐG 30.12.2022</v>
          </cell>
        </row>
        <row r="346">
          <cell r="B346" t="str">
            <v>Sung2030</v>
          </cell>
          <cell r="C346" t="str">
            <v>Cây sung</v>
          </cell>
          <cell r="D346" t="str">
            <v>20cm ≤ đk gốc &lt; 30cm</v>
          </cell>
          <cell r="E346">
            <v>8.3720930232558093</v>
          </cell>
          <cell r="F346" t="str">
            <v>cây</v>
          </cell>
          <cell r="G346">
            <v>250000</v>
          </cell>
          <cell r="H346">
            <v>0.8</v>
          </cell>
          <cell r="I346">
            <v>29861.111111111099</v>
          </cell>
          <cell r="J346" t="str">
            <v>ĐG 30.12.2022</v>
          </cell>
        </row>
        <row r="347">
          <cell r="B347" t="str">
            <v>Sung30+</v>
          </cell>
          <cell r="C347" t="str">
            <v>Cây sung</v>
          </cell>
          <cell r="D347" t="str">
            <v>đk gốc từ 30cm trở lên</v>
          </cell>
          <cell r="E347">
            <v>12.413793103448301</v>
          </cell>
          <cell r="F347" t="str">
            <v>cây</v>
          </cell>
          <cell r="G347">
            <v>300000</v>
          </cell>
          <cell r="H347">
            <v>0.8</v>
          </cell>
          <cell r="I347">
            <v>24166.666666666701</v>
          </cell>
          <cell r="J347" t="str">
            <v>ĐG 30.12.2022</v>
          </cell>
        </row>
        <row r="348">
          <cell r="B348" t="str">
            <v>Sung27vmd</v>
          </cell>
          <cell r="C348" t="str">
            <v>Cây sung vượt mật độ</v>
          </cell>
          <cell r="D348" t="str">
            <v>2cm ≤ đk gốc &lt; 7cm</v>
          </cell>
          <cell r="E348">
            <v>5</v>
          </cell>
          <cell r="F348" t="str">
            <v>cây</v>
          </cell>
          <cell r="G348">
            <v>90000</v>
          </cell>
          <cell r="H348">
            <v>0.4</v>
          </cell>
          <cell r="I348">
            <v>18000</v>
          </cell>
          <cell r="J348" t="str">
            <v>ĐG 30.12.2022</v>
          </cell>
        </row>
        <row r="349">
          <cell r="B349" t="str">
            <v>Sung712vmd</v>
          </cell>
          <cell r="C349" t="str">
            <v>Cây sung vượt mật độ</v>
          </cell>
          <cell r="D349" t="str">
            <v>7cm ≤ đk gốc &lt; 12cm</v>
          </cell>
          <cell r="E349">
            <v>6.6666666666666696</v>
          </cell>
          <cell r="F349" t="str">
            <v>cây</v>
          </cell>
          <cell r="G349">
            <v>150000</v>
          </cell>
          <cell r="H349">
            <v>0.4</v>
          </cell>
          <cell r="I349">
            <v>22500</v>
          </cell>
          <cell r="J349" t="str">
            <v>ĐG 30.12.2022</v>
          </cell>
        </row>
        <row r="350">
          <cell r="B350" t="str">
            <v>Sung1220vmd</v>
          </cell>
          <cell r="C350" t="str">
            <v>Cây sung vượt mật độ</v>
          </cell>
          <cell r="D350" t="str">
            <v>12cm ≤ đk gốc &lt; 20cm</v>
          </cell>
          <cell r="E350">
            <v>8.3720930232558093</v>
          </cell>
          <cell r="F350" t="str">
            <v>cây</v>
          </cell>
          <cell r="G350">
            <v>220000</v>
          </cell>
          <cell r="H350">
            <v>0.4</v>
          </cell>
          <cell r="I350">
            <v>26277.777777777799</v>
          </cell>
          <cell r="J350" t="str">
            <v>ĐG 30.12.2022</v>
          </cell>
        </row>
        <row r="351">
          <cell r="B351" t="str">
            <v>Sung2030vmd</v>
          </cell>
          <cell r="C351" t="str">
            <v>Cây sung vượt mật độ</v>
          </cell>
          <cell r="D351" t="str">
            <v>20cm ≤ đk gốc &lt; 30cm</v>
          </cell>
          <cell r="E351">
            <v>8.3720930232558093</v>
          </cell>
          <cell r="F351" t="str">
            <v>cây</v>
          </cell>
          <cell r="G351">
            <v>250000</v>
          </cell>
          <cell r="H351">
            <v>0.4</v>
          </cell>
          <cell r="I351">
            <v>29861.111111111099</v>
          </cell>
          <cell r="J351" t="str">
            <v>ĐG 30.12.2022</v>
          </cell>
        </row>
        <row r="352">
          <cell r="B352" t="str">
            <v>Sung30+vmd</v>
          </cell>
          <cell r="C352" t="str">
            <v>Cây sung vượt mật độ</v>
          </cell>
          <cell r="D352" t="str">
            <v>đk gốc từ 30cm trở lên</v>
          </cell>
          <cell r="E352">
            <v>12.413793103448301</v>
          </cell>
          <cell r="F352" t="str">
            <v>cây</v>
          </cell>
          <cell r="G352">
            <v>300000</v>
          </cell>
          <cell r="H352">
            <v>0.4</v>
          </cell>
          <cell r="I352">
            <v>24166.666666666701</v>
          </cell>
          <cell r="J352" t="str">
            <v>ĐG 30.12.2022</v>
          </cell>
        </row>
        <row r="353">
          <cell r="B353">
            <v>24166.65625</v>
          </cell>
          <cell r="C353" t="str">
            <v>Cây vối</v>
          </cell>
          <cell r="D353">
            <v>24166.65625</v>
          </cell>
          <cell r="E353">
            <v>24166.65625</v>
          </cell>
          <cell r="F353">
            <v>24166.65625</v>
          </cell>
          <cell r="G353">
            <v>24166.65625</v>
          </cell>
          <cell r="H353">
            <v>24166.65625</v>
          </cell>
          <cell r="I353">
            <v>24166.65625</v>
          </cell>
          <cell r="J353">
            <v>24166.65625</v>
          </cell>
        </row>
        <row r="354">
          <cell r="B354" t="str">
            <v>Vối01</v>
          </cell>
          <cell r="C354" t="str">
            <v>Cây vối</v>
          </cell>
          <cell r="D354" t="str">
            <v>cây giống</v>
          </cell>
          <cell r="E354">
            <v>24166.65625</v>
          </cell>
          <cell r="F354" t="str">
            <v>m2</v>
          </cell>
          <cell r="G354">
            <v>36000</v>
          </cell>
          <cell r="H354">
            <v>0.8</v>
          </cell>
          <cell r="I354">
            <v>36000</v>
          </cell>
          <cell r="J354" t="str">
            <v>ĐG 30.12.2022</v>
          </cell>
        </row>
        <row r="355">
          <cell r="B355" t="str">
            <v>Vối27</v>
          </cell>
          <cell r="C355" t="str">
            <v>Cây vối</v>
          </cell>
          <cell r="D355" t="str">
            <v>2cm ≤ đk gốc &lt; 7cm</v>
          </cell>
          <cell r="E355">
            <v>5</v>
          </cell>
          <cell r="F355" t="str">
            <v>cây</v>
          </cell>
          <cell r="G355">
            <v>90000</v>
          </cell>
          <cell r="H355">
            <v>0.8</v>
          </cell>
          <cell r="I355">
            <v>18000</v>
          </cell>
          <cell r="J355" t="str">
            <v>ĐG 30.12.2022</v>
          </cell>
        </row>
        <row r="356">
          <cell r="B356" t="str">
            <v>Vối712</v>
          </cell>
          <cell r="C356" t="str">
            <v>Cây vối</v>
          </cell>
          <cell r="D356" t="str">
            <v>7cm ≤ đk gốc &lt; 12cm</v>
          </cell>
          <cell r="E356">
            <v>6.6666666666666696</v>
          </cell>
          <cell r="F356" t="str">
            <v>cây</v>
          </cell>
          <cell r="G356">
            <v>150000</v>
          </cell>
          <cell r="H356">
            <v>0.8</v>
          </cell>
          <cell r="I356">
            <v>22500</v>
          </cell>
          <cell r="J356" t="str">
            <v>ĐG 30.12.2022</v>
          </cell>
        </row>
        <row r="357">
          <cell r="B357" t="str">
            <v>Vối1220</v>
          </cell>
          <cell r="C357" t="str">
            <v>Cây vối</v>
          </cell>
          <cell r="D357" t="str">
            <v>12cm ≤ đk gốc &lt; 20cm</v>
          </cell>
          <cell r="E357">
            <v>8.3720930232558093</v>
          </cell>
          <cell r="F357" t="str">
            <v>cây</v>
          </cell>
          <cell r="G357">
            <v>220000</v>
          </cell>
          <cell r="H357">
            <v>0.8</v>
          </cell>
          <cell r="I357">
            <v>26277.777777777799</v>
          </cell>
          <cell r="J357" t="str">
            <v>ĐG 30.12.2022</v>
          </cell>
        </row>
        <row r="358">
          <cell r="B358" t="str">
            <v>Vối2030</v>
          </cell>
          <cell r="C358" t="str">
            <v>Cây vối</v>
          </cell>
          <cell r="D358" t="str">
            <v>20cm ≤ đk gốc &lt; 30cm</v>
          </cell>
          <cell r="E358">
            <v>8.3720930232558093</v>
          </cell>
          <cell r="F358" t="str">
            <v>cây</v>
          </cell>
          <cell r="G358">
            <v>250000</v>
          </cell>
          <cell r="H358">
            <v>0.8</v>
          </cell>
          <cell r="I358">
            <v>29861.111111111099</v>
          </cell>
          <cell r="J358" t="str">
            <v>ĐG 30.12.2022</v>
          </cell>
        </row>
        <row r="359">
          <cell r="B359" t="str">
            <v>Vối30+</v>
          </cell>
          <cell r="C359" t="str">
            <v>Cây vối</v>
          </cell>
          <cell r="D359" t="str">
            <v>đk gốc từ 30cm trở lên</v>
          </cell>
          <cell r="E359">
            <v>12.413793103448301</v>
          </cell>
          <cell r="F359" t="str">
            <v>cây</v>
          </cell>
          <cell r="G359">
            <v>300000</v>
          </cell>
          <cell r="H359">
            <v>0.8</v>
          </cell>
          <cell r="I359">
            <v>24166.666666666701</v>
          </cell>
          <cell r="J359" t="str">
            <v>ĐG 30.12.2022</v>
          </cell>
        </row>
        <row r="360">
          <cell r="B360" t="str">
            <v>Vối01vmd</v>
          </cell>
          <cell r="C360" t="str">
            <v>Cây vối vượt mật độ</v>
          </cell>
          <cell r="D360" t="str">
            <v>cây giống</v>
          </cell>
          <cell r="E360">
            <v>24166.65625</v>
          </cell>
          <cell r="F360" t="str">
            <v>m2</v>
          </cell>
          <cell r="G360">
            <v>36000</v>
          </cell>
          <cell r="H360">
            <v>0.4</v>
          </cell>
          <cell r="I360">
            <v>36000</v>
          </cell>
          <cell r="J360" t="str">
            <v>ĐG 30.12.2022</v>
          </cell>
        </row>
        <row r="361">
          <cell r="B361" t="str">
            <v>Vối27vmd</v>
          </cell>
          <cell r="C361" t="str">
            <v>Cây vối vượt mật độ</v>
          </cell>
          <cell r="D361" t="str">
            <v>2cm ≤ đk gốc &lt; 7cm</v>
          </cell>
          <cell r="E361">
            <v>5</v>
          </cell>
          <cell r="F361" t="str">
            <v>cây</v>
          </cell>
          <cell r="G361">
            <v>45000</v>
          </cell>
          <cell r="H361">
            <v>0.4</v>
          </cell>
          <cell r="I361">
            <v>9000</v>
          </cell>
          <cell r="J361" t="str">
            <v>ĐG 30.12.2022</v>
          </cell>
        </row>
        <row r="362">
          <cell r="B362" t="str">
            <v>Vối712vmd</v>
          </cell>
          <cell r="C362" t="str">
            <v>Cây vối vượt mật độ</v>
          </cell>
          <cell r="D362" t="str">
            <v>7cm ≤ đk gốc &lt; 12cm</v>
          </cell>
          <cell r="E362">
            <v>6.6666666666666696</v>
          </cell>
          <cell r="F362" t="str">
            <v>cây</v>
          </cell>
          <cell r="G362">
            <v>80000</v>
          </cell>
          <cell r="H362">
            <v>0.4</v>
          </cell>
          <cell r="I362">
            <v>12000</v>
          </cell>
          <cell r="J362" t="str">
            <v>ĐG 30.12.2022</v>
          </cell>
        </row>
        <row r="363">
          <cell r="B363" t="str">
            <v>Vối1220vmd</v>
          </cell>
          <cell r="C363" t="str">
            <v>Cây vối vượt mật độ</v>
          </cell>
          <cell r="D363" t="str">
            <v>12cm ≤ đk gốc &lt; 20cm</v>
          </cell>
          <cell r="E363">
            <v>8.3720930232558093</v>
          </cell>
          <cell r="F363" t="str">
            <v>cây</v>
          </cell>
          <cell r="G363">
            <v>220000</v>
          </cell>
          <cell r="H363">
            <v>0.4</v>
          </cell>
          <cell r="I363">
            <v>26277.777777777799</v>
          </cell>
          <cell r="J363" t="str">
            <v>ĐG 30.12.2022</v>
          </cell>
        </row>
        <row r="364">
          <cell r="B364" t="str">
            <v>Vối2030vmd</v>
          </cell>
          <cell r="C364" t="str">
            <v>Cây vối vượt mật độ</v>
          </cell>
          <cell r="D364" t="str">
            <v>20cm ≤ đk gốc &lt; 30cm</v>
          </cell>
          <cell r="E364">
            <v>8.3720930232558093</v>
          </cell>
          <cell r="F364" t="str">
            <v>cây</v>
          </cell>
          <cell r="G364">
            <v>250000</v>
          </cell>
          <cell r="H364">
            <v>0.4</v>
          </cell>
          <cell r="I364">
            <v>29861.111111111099</v>
          </cell>
          <cell r="J364" t="str">
            <v>ĐG 30.12.2022</v>
          </cell>
        </row>
        <row r="365">
          <cell r="B365" t="str">
            <v>Vối30+vmd</v>
          </cell>
          <cell r="C365" t="str">
            <v>Cây vối vượt mật độ</v>
          </cell>
          <cell r="D365" t="str">
            <v>đk gốc từ 30cm trở lên</v>
          </cell>
          <cell r="E365">
            <v>12.413793103448301</v>
          </cell>
          <cell r="F365" t="str">
            <v>cây</v>
          </cell>
          <cell r="G365">
            <v>300000</v>
          </cell>
          <cell r="H365">
            <v>0.4</v>
          </cell>
          <cell r="I365">
            <v>24166.666666666701</v>
          </cell>
          <cell r="J365" t="str">
            <v>ĐG 30.12.2022</v>
          </cell>
        </row>
        <row r="366">
          <cell r="B366" t="str">
            <v>đã sửa</v>
          </cell>
          <cell r="C366" t="str">
            <v>Cây Sanh</v>
          </cell>
          <cell r="D366">
            <v>24166.65625</v>
          </cell>
          <cell r="E366">
            <v>24166.65625</v>
          </cell>
          <cell r="F366">
            <v>24166.65625</v>
          </cell>
          <cell r="G366">
            <v>24166.65625</v>
          </cell>
          <cell r="H366">
            <v>24166.65625</v>
          </cell>
          <cell r="I366">
            <v>24166.65625</v>
          </cell>
        </row>
        <row r="367">
          <cell r="B367" t="str">
            <v>Sanh35</v>
          </cell>
          <cell r="C367" t="str">
            <v>Cây sanh</v>
          </cell>
          <cell r="D367" t="str">
            <v>3cm ≤ đk gốc &lt; 5cm</v>
          </cell>
          <cell r="E367">
            <v>24166.65625</v>
          </cell>
          <cell r="F367" t="str">
            <v>cây</v>
          </cell>
          <cell r="G367">
            <v>70000</v>
          </cell>
          <cell r="H367">
            <v>0.8</v>
          </cell>
          <cell r="I367">
            <v>0.79999971389770497</v>
          </cell>
          <cell r="J367" t="str">
            <v>ĐG 01.02.2025</v>
          </cell>
        </row>
        <row r="368">
          <cell r="B368" t="str">
            <v>Sanh57</v>
          </cell>
          <cell r="C368" t="str">
            <v>Cây sanh</v>
          </cell>
          <cell r="D368" t="str">
            <v>5cm ≤ đk gốc &lt; 7cm</v>
          </cell>
          <cell r="E368">
            <v>0.79999971389770497</v>
          </cell>
          <cell r="F368" t="str">
            <v>cây</v>
          </cell>
          <cell r="G368">
            <v>90000</v>
          </cell>
          <cell r="H368">
            <v>0.8</v>
          </cell>
          <cell r="I368">
            <v>0.79999971389770497</v>
          </cell>
          <cell r="J368" t="str">
            <v>ĐG 01.02.2025</v>
          </cell>
        </row>
        <row r="369">
          <cell r="B369" t="str">
            <v>Sanh710</v>
          </cell>
          <cell r="C369" t="str">
            <v>Cây sanh</v>
          </cell>
          <cell r="D369" t="str">
            <v>7cm ≤ đk gốc &lt; 10cm</v>
          </cell>
          <cell r="E369">
            <v>0.79999971389770497</v>
          </cell>
          <cell r="F369" t="str">
            <v>cây</v>
          </cell>
          <cell r="G369">
            <v>120000</v>
          </cell>
          <cell r="H369">
            <v>0.8</v>
          </cell>
          <cell r="I369">
            <v>0.79999971389770497</v>
          </cell>
          <cell r="J369" t="str">
            <v>ĐG 01.02.2025</v>
          </cell>
        </row>
        <row r="370">
          <cell r="B370" t="str">
            <v>Sanh1015</v>
          </cell>
          <cell r="C370" t="str">
            <v>Cây sanh</v>
          </cell>
          <cell r="D370" t="str">
            <v>10cm ≤ đk gốc &lt; 15cm</v>
          </cell>
          <cell r="E370">
            <v>0.79999971389770497</v>
          </cell>
          <cell r="F370" t="str">
            <v>cây</v>
          </cell>
          <cell r="G370">
            <v>250000</v>
          </cell>
          <cell r="H370">
            <v>0.8</v>
          </cell>
          <cell r="I370">
            <v>0.79999971389770497</v>
          </cell>
          <cell r="J370" t="str">
            <v>ĐG 01.02.2025</v>
          </cell>
        </row>
        <row r="371">
          <cell r="B371" t="str">
            <v>Sanh1520</v>
          </cell>
          <cell r="C371" t="str">
            <v>Cây sanh</v>
          </cell>
          <cell r="D371" t="str">
            <v>15cm ≤ đk gốc &lt; 20cm</v>
          </cell>
          <cell r="E371">
            <v>0.79999971389770497</v>
          </cell>
          <cell r="F371" t="str">
            <v>cây</v>
          </cell>
          <cell r="G371">
            <v>300000</v>
          </cell>
          <cell r="H371">
            <v>0.8</v>
          </cell>
          <cell r="I371">
            <v>0.79999971389770497</v>
          </cell>
          <cell r="J371" t="str">
            <v>ĐG 01.02.2025</v>
          </cell>
        </row>
        <row r="372">
          <cell r="B372" t="str">
            <v>Sanh20+</v>
          </cell>
          <cell r="C372" t="str">
            <v>Cây sanh</v>
          </cell>
          <cell r="D372" t="str">
            <v>đk gốc từ 20cm trở lên</v>
          </cell>
          <cell r="E372">
            <v>0.79999971389770497</v>
          </cell>
          <cell r="F372" t="str">
            <v>cây</v>
          </cell>
          <cell r="G372">
            <v>350000</v>
          </cell>
          <cell r="H372">
            <v>0.8</v>
          </cell>
          <cell r="I372">
            <v>0.79999971389770497</v>
          </cell>
          <cell r="J372" t="str">
            <v>ĐG 01.02.2025</v>
          </cell>
        </row>
        <row r="373">
          <cell r="B373" t="str">
            <v>Sanh35vmd</v>
          </cell>
          <cell r="C373" t="str">
            <v>Cây sanh vượt mật độ</v>
          </cell>
          <cell r="D373" t="str">
            <v>3cm ≤ đk gốc &lt; 5cm</v>
          </cell>
          <cell r="E373">
            <v>0.79999971389770497</v>
          </cell>
          <cell r="F373" t="str">
            <v>cây</v>
          </cell>
          <cell r="G373">
            <v>70000</v>
          </cell>
          <cell r="H373">
            <v>0.4</v>
          </cell>
          <cell r="I373">
            <v>0.39999985694885298</v>
          </cell>
          <cell r="J373" t="str">
            <v>ĐG 01.02.2025</v>
          </cell>
        </row>
        <row r="374">
          <cell r="B374" t="str">
            <v>Sanh57vmd</v>
          </cell>
          <cell r="C374" t="str">
            <v>Cây sanh vượt mật độ</v>
          </cell>
          <cell r="D374" t="str">
            <v>5cm ≤ đk gốc &lt; 7cm</v>
          </cell>
          <cell r="E374">
            <v>0.39999985694885298</v>
          </cell>
          <cell r="F374" t="str">
            <v>cây</v>
          </cell>
          <cell r="G374">
            <v>90000</v>
          </cell>
          <cell r="H374">
            <v>0.4</v>
          </cell>
          <cell r="I374">
            <v>0.39999985694885298</v>
          </cell>
          <cell r="J374" t="str">
            <v>ĐG 01.02.2025</v>
          </cell>
        </row>
        <row r="375">
          <cell r="B375" t="str">
            <v>Sanh710vmd</v>
          </cell>
          <cell r="C375" t="str">
            <v>Cây sanh vượt mật độ</v>
          </cell>
          <cell r="D375" t="str">
            <v>7cm ≤ đk gốc &lt; 10cm</v>
          </cell>
          <cell r="E375">
            <v>0.39999985694885298</v>
          </cell>
          <cell r="F375" t="str">
            <v>cây</v>
          </cell>
          <cell r="G375">
            <v>120000</v>
          </cell>
          <cell r="H375">
            <v>0.4</v>
          </cell>
          <cell r="I375">
            <v>0.39999985694885298</v>
          </cell>
          <cell r="J375" t="str">
            <v>ĐG 01.02.2025</v>
          </cell>
        </row>
        <row r="376">
          <cell r="B376" t="str">
            <v>Sanh1015vmd</v>
          </cell>
          <cell r="C376" t="str">
            <v>Cây sanh vượt mật độ</v>
          </cell>
          <cell r="D376" t="str">
            <v>10cm ≤ đk gốc &lt; 15cm</v>
          </cell>
          <cell r="E376">
            <v>0.39999985694885298</v>
          </cell>
          <cell r="F376" t="str">
            <v>cây</v>
          </cell>
          <cell r="G376">
            <v>250000</v>
          </cell>
          <cell r="H376">
            <v>0.4</v>
          </cell>
          <cell r="I376">
            <v>0.39999985694885298</v>
          </cell>
          <cell r="J376" t="str">
            <v>ĐG 01.02.2025</v>
          </cell>
        </row>
        <row r="377">
          <cell r="B377" t="str">
            <v>Sanh1520vmd</v>
          </cell>
          <cell r="C377" t="str">
            <v>Cây sanh vượt mật độ</v>
          </cell>
          <cell r="D377" t="str">
            <v>15cm ≤ đk gốc &lt; 20cm</v>
          </cell>
          <cell r="E377">
            <v>0.39999985694885298</v>
          </cell>
          <cell r="F377" t="str">
            <v>cây</v>
          </cell>
          <cell r="G377">
            <v>300000</v>
          </cell>
          <cell r="H377">
            <v>0.4</v>
          </cell>
          <cell r="I377">
            <v>0.39999985694885298</v>
          </cell>
          <cell r="J377" t="str">
            <v>ĐG 01.02.2025</v>
          </cell>
        </row>
        <row r="378">
          <cell r="B378" t="str">
            <v>Sanh20+vmd</v>
          </cell>
          <cell r="C378" t="str">
            <v>Cây sanh vượt mật độ</v>
          </cell>
          <cell r="D378" t="str">
            <v>đk gốc từ 20cm trở lên</v>
          </cell>
          <cell r="E378">
            <v>0.39999985694885298</v>
          </cell>
          <cell r="F378" t="str">
            <v>cây</v>
          </cell>
          <cell r="G378">
            <v>350000</v>
          </cell>
          <cell r="H378">
            <v>0.4</v>
          </cell>
          <cell r="I378">
            <v>0.39999985694885298</v>
          </cell>
          <cell r="J378" t="str">
            <v>ĐG 01.02.2025</v>
          </cell>
        </row>
        <row r="379">
          <cell r="B379">
            <v>0.39999985694885298</v>
          </cell>
          <cell r="C379" t="str">
            <v>Cây Si</v>
          </cell>
          <cell r="D379">
            <v>0.39999985694885298</v>
          </cell>
          <cell r="E379">
            <v>0.39999985694885298</v>
          </cell>
          <cell r="F379">
            <v>0.39999985694885298</v>
          </cell>
          <cell r="G379">
            <v>0.39999985694885298</v>
          </cell>
          <cell r="H379">
            <v>0.39999985694885298</v>
          </cell>
          <cell r="I379">
            <v>0.39999985694885298</v>
          </cell>
        </row>
        <row r="380">
          <cell r="B380" t="str">
            <v>Si35</v>
          </cell>
          <cell r="C380" t="str">
            <v>Cây si</v>
          </cell>
          <cell r="D380" t="str">
            <v>3cm ≤ đk gốc &lt; 5cm</v>
          </cell>
          <cell r="E380">
            <v>0.39999985694885298</v>
          </cell>
          <cell r="F380" t="str">
            <v>cây</v>
          </cell>
          <cell r="G380">
            <v>70000</v>
          </cell>
          <cell r="H380">
            <v>0.8</v>
          </cell>
          <cell r="I380">
            <v>0.79999971389770497</v>
          </cell>
          <cell r="J380" t="str">
            <v>ĐG 01.02.2025</v>
          </cell>
        </row>
        <row r="381">
          <cell r="B381" t="str">
            <v>Si57</v>
          </cell>
          <cell r="C381" t="str">
            <v>Cây si</v>
          </cell>
          <cell r="D381" t="str">
            <v>5cm ≤ đk gốc &lt; 7cm</v>
          </cell>
          <cell r="E381">
            <v>0.79999971389770497</v>
          </cell>
          <cell r="F381" t="str">
            <v>cây</v>
          </cell>
          <cell r="G381">
            <v>90000</v>
          </cell>
          <cell r="H381">
            <v>0.8</v>
          </cell>
          <cell r="I381">
            <v>0.79999971389770497</v>
          </cell>
          <cell r="J381" t="str">
            <v>ĐG 01.02.2025</v>
          </cell>
        </row>
        <row r="382">
          <cell r="B382" t="str">
            <v>Si710</v>
          </cell>
          <cell r="C382" t="str">
            <v>Cây si</v>
          </cell>
          <cell r="D382" t="str">
            <v>7cm ≤ đk gốc &lt; 10cm</v>
          </cell>
          <cell r="E382">
            <v>0.79999971389770497</v>
          </cell>
          <cell r="F382" t="str">
            <v>cây</v>
          </cell>
          <cell r="G382">
            <v>120000</v>
          </cell>
          <cell r="H382">
            <v>0.8</v>
          </cell>
          <cell r="I382">
            <v>0.79999971389770497</v>
          </cell>
          <cell r="J382" t="str">
            <v>ĐG 01.02.2025</v>
          </cell>
        </row>
        <row r="383">
          <cell r="B383" t="str">
            <v>Si1015</v>
          </cell>
          <cell r="C383" t="str">
            <v>Cây si</v>
          </cell>
          <cell r="D383" t="str">
            <v>10cm ≤ đk gốc &lt; 15cm</v>
          </cell>
          <cell r="E383">
            <v>0.79999971389770497</v>
          </cell>
          <cell r="F383" t="str">
            <v>cây</v>
          </cell>
          <cell r="G383">
            <v>250000</v>
          </cell>
          <cell r="H383">
            <v>0.8</v>
          </cell>
          <cell r="I383">
            <v>0.79999971389770497</v>
          </cell>
          <cell r="J383" t="str">
            <v>ĐG 01.02.2025</v>
          </cell>
        </row>
        <row r="384">
          <cell r="B384" t="str">
            <v>Si1520</v>
          </cell>
          <cell r="C384" t="str">
            <v>Cây si</v>
          </cell>
          <cell r="D384" t="str">
            <v>15cm ≤ đk gốc &lt; 20cm</v>
          </cell>
          <cell r="E384">
            <v>0.79999971389770497</v>
          </cell>
          <cell r="F384" t="str">
            <v>cây</v>
          </cell>
          <cell r="G384">
            <v>300000</v>
          </cell>
          <cell r="H384">
            <v>0.8</v>
          </cell>
          <cell r="I384">
            <v>0.79999971389770497</v>
          </cell>
          <cell r="J384" t="str">
            <v>ĐG 01.02.2025</v>
          </cell>
        </row>
        <row r="385">
          <cell r="B385" t="str">
            <v>Si20+</v>
          </cell>
          <cell r="C385" t="str">
            <v>Cây si</v>
          </cell>
          <cell r="D385" t="str">
            <v>đk gốc từ 20cm trở lên</v>
          </cell>
          <cell r="E385">
            <v>0.79999971389770497</v>
          </cell>
          <cell r="F385" t="str">
            <v>cây</v>
          </cell>
          <cell r="G385">
            <v>350000</v>
          </cell>
          <cell r="H385">
            <v>0.8</v>
          </cell>
          <cell r="I385">
            <v>0.79999971389770497</v>
          </cell>
          <cell r="J385" t="str">
            <v>ĐG 01.02.2025</v>
          </cell>
        </row>
        <row r="386">
          <cell r="B386" t="str">
            <v>Si35vmd</v>
          </cell>
          <cell r="C386" t="str">
            <v>Cây si vượt mật độ</v>
          </cell>
          <cell r="D386" t="str">
            <v>3cm ≤ đk gốc &lt; 5cm</v>
          </cell>
          <cell r="E386">
            <v>0.79999971389770497</v>
          </cell>
          <cell r="F386" t="str">
            <v>cây</v>
          </cell>
          <cell r="G386">
            <v>70000</v>
          </cell>
          <cell r="H386">
            <v>0.4</v>
          </cell>
          <cell r="I386">
            <v>0.39999985694885298</v>
          </cell>
          <cell r="J386" t="str">
            <v>ĐG 01.02.2025</v>
          </cell>
        </row>
        <row r="387">
          <cell r="B387" t="str">
            <v>Si57vmd</v>
          </cell>
          <cell r="C387" t="str">
            <v>Cây si vượt mật độ</v>
          </cell>
          <cell r="D387" t="str">
            <v>5cm ≤ đk gốc &lt; 7cm</v>
          </cell>
          <cell r="E387">
            <v>0.39999985694885298</v>
          </cell>
          <cell r="F387" t="str">
            <v>cây</v>
          </cell>
          <cell r="G387">
            <v>90000</v>
          </cell>
          <cell r="H387">
            <v>0.4</v>
          </cell>
          <cell r="I387">
            <v>0.39999985694885298</v>
          </cell>
          <cell r="J387" t="str">
            <v>ĐG 01.02.2025</v>
          </cell>
        </row>
        <row r="388">
          <cell r="B388" t="str">
            <v>Si70vmd</v>
          </cell>
          <cell r="C388" t="str">
            <v>Cây si vượt mật độ</v>
          </cell>
          <cell r="D388" t="str">
            <v>7cm ≤ đk gốc &lt; 10cm</v>
          </cell>
          <cell r="E388">
            <v>0.39999985694885298</v>
          </cell>
          <cell r="F388" t="str">
            <v>cây</v>
          </cell>
          <cell r="G388">
            <v>120000</v>
          </cell>
          <cell r="H388">
            <v>0.4</v>
          </cell>
          <cell r="I388">
            <v>0.39999985694885298</v>
          </cell>
          <cell r="J388" t="str">
            <v>ĐG 01.02.2025</v>
          </cell>
        </row>
        <row r="389">
          <cell r="B389" t="str">
            <v>Si1015vmd</v>
          </cell>
          <cell r="C389" t="str">
            <v>Cây si vượt mật độ</v>
          </cell>
          <cell r="D389" t="str">
            <v>10cm ≤ đk gốc &lt; 15cm</v>
          </cell>
          <cell r="E389">
            <v>0.39999985694885298</v>
          </cell>
          <cell r="F389" t="str">
            <v>cây</v>
          </cell>
          <cell r="G389">
            <v>250000</v>
          </cell>
          <cell r="H389">
            <v>0.4</v>
          </cell>
          <cell r="I389">
            <v>0.39999985694885298</v>
          </cell>
          <cell r="J389" t="str">
            <v>ĐG 01.02.2025</v>
          </cell>
        </row>
        <row r="390">
          <cell r="B390" t="str">
            <v>Si1520vmd</v>
          </cell>
          <cell r="C390" t="str">
            <v>Cây si vượt mật độ</v>
          </cell>
          <cell r="D390" t="str">
            <v>15cm ≤ đk gốc &lt; 20cm</v>
          </cell>
          <cell r="E390">
            <v>0.39999985694885298</v>
          </cell>
          <cell r="F390" t="str">
            <v>cây</v>
          </cell>
          <cell r="G390">
            <v>300000</v>
          </cell>
          <cell r="H390">
            <v>0.4</v>
          </cell>
          <cell r="I390">
            <v>0.39999985694885298</v>
          </cell>
          <cell r="J390" t="str">
            <v>ĐG 01.02.2025</v>
          </cell>
        </row>
        <row r="391">
          <cell r="B391" t="str">
            <v>Si20+vmd</v>
          </cell>
          <cell r="C391" t="str">
            <v>Cây si vượt mật độ</v>
          </cell>
          <cell r="D391" t="str">
            <v>đk gốc từ 20cm trở lên</v>
          </cell>
          <cell r="E391">
            <v>0.39999985694885298</v>
          </cell>
          <cell r="F391" t="str">
            <v>cây</v>
          </cell>
          <cell r="G391">
            <v>350000</v>
          </cell>
          <cell r="H391">
            <v>0.4</v>
          </cell>
          <cell r="I391">
            <v>0.39999985694885298</v>
          </cell>
          <cell r="J391" t="str">
            <v>ĐG 01.02.2025</v>
          </cell>
        </row>
        <row r="392">
          <cell r="B392">
            <v>0.39999985694885298</v>
          </cell>
          <cell r="C392" t="str">
            <v>Cây Vạn tuế</v>
          </cell>
          <cell r="D392">
            <v>0.39999985694885298</v>
          </cell>
          <cell r="E392">
            <v>0.39999985694885298</v>
          </cell>
          <cell r="F392">
            <v>0.39999985694885298</v>
          </cell>
          <cell r="G392">
            <v>0.39999985694885298</v>
          </cell>
          <cell r="H392">
            <v>0.39999985694885298</v>
          </cell>
          <cell r="I392">
            <v>0.39999985694885298</v>
          </cell>
        </row>
        <row r="393">
          <cell r="B393" t="str">
            <v>Vạn tuế35</v>
          </cell>
          <cell r="C393" t="str">
            <v>Cây Vạn tuế</v>
          </cell>
          <cell r="D393" t="str">
            <v>3cm ≤ đk gốc &lt; 5cm</v>
          </cell>
          <cell r="E393">
            <v>0.39999985694885298</v>
          </cell>
          <cell r="F393" t="str">
            <v>cây</v>
          </cell>
          <cell r="G393">
            <v>70000</v>
          </cell>
          <cell r="H393">
            <v>0.8</v>
          </cell>
          <cell r="I393">
            <v>0.79999971389770497</v>
          </cell>
          <cell r="J393" t="str">
            <v>ĐG 01.02.2025</v>
          </cell>
        </row>
        <row r="394">
          <cell r="B394" t="str">
            <v>Vạn tuế57</v>
          </cell>
          <cell r="C394" t="str">
            <v>Cây Vạn tuế</v>
          </cell>
          <cell r="D394" t="str">
            <v>5cm ≤ đk gốc &lt; 7cm</v>
          </cell>
          <cell r="E394">
            <v>0.79999971389770497</v>
          </cell>
          <cell r="F394" t="str">
            <v>cây</v>
          </cell>
          <cell r="G394">
            <v>90000</v>
          </cell>
          <cell r="H394">
            <v>0.8</v>
          </cell>
          <cell r="I394">
            <v>0.79999971389770497</v>
          </cell>
          <cell r="J394" t="str">
            <v>ĐG 01.02.2025</v>
          </cell>
        </row>
        <row r="395">
          <cell r="B395" t="str">
            <v>Vạn tuế710</v>
          </cell>
          <cell r="C395" t="str">
            <v>Cây Vạn tuế</v>
          </cell>
          <cell r="D395" t="str">
            <v>7cm ≤ đk gốc &lt; 10cm</v>
          </cell>
          <cell r="E395">
            <v>0.79999971389770497</v>
          </cell>
          <cell r="F395" t="str">
            <v>cây</v>
          </cell>
          <cell r="G395">
            <v>120000</v>
          </cell>
          <cell r="H395">
            <v>0.8</v>
          </cell>
          <cell r="I395">
            <v>0.79999971389770497</v>
          </cell>
          <cell r="J395" t="str">
            <v>ĐG 01.02.2025</v>
          </cell>
        </row>
        <row r="396">
          <cell r="B396" t="str">
            <v>Vạn tuế1015</v>
          </cell>
          <cell r="C396" t="str">
            <v>Cây Vạn tuế</v>
          </cell>
          <cell r="D396" t="str">
            <v>10cm ≤ đk gốc &lt; 15cm</v>
          </cell>
          <cell r="E396">
            <v>0.79999971389770497</v>
          </cell>
          <cell r="F396" t="str">
            <v>cây</v>
          </cell>
          <cell r="G396">
            <v>250000</v>
          </cell>
          <cell r="H396">
            <v>0.8</v>
          </cell>
          <cell r="I396">
            <v>0.79999971389770497</v>
          </cell>
          <cell r="J396" t="str">
            <v>ĐG 01.02.2025</v>
          </cell>
        </row>
        <row r="397">
          <cell r="B397" t="str">
            <v>Vạn tuế1520</v>
          </cell>
          <cell r="C397" t="str">
            <v>Cây Vạn tuế</v>
          </cell>
          <cell r="D397" t="str">
            <v>15cm ≤ đk gốc &lt; 20cm</v>
          </cell>
          <cell r="E397">
            <v>0.79999971389770497</v>
          </cell>
          <cell r="F397" t="str">
            <v>cây</v>
          </cell>
          <cell r="G397">
            <v>300000</v>
          </cell>
          <cell r="H397">
            <v>0.8</v>
          </cell>
          <cell r="I397">
            <v>0.79999971389770497</v>
          </cell>
          <cell r="J397" t="str">
            <v>ĐG 01.02.2025</v>
          </cell>
        </row>
        <row r="398">
          <cell r="B398" t="str">
            <v>Vạn tuế20+</v>
          </cell>
          <cell r="C398" t="str">
            <v>Cây Vạn tuế</v>
          </cell>
          <cell r="D398" t="str">
            <v>đk gốc từ 20cm trở lên</v>
          </cell>
          <cell r="E398">
            <v>0.79999971389770497</v>
          </cell>
          <cell r="F398" t="str">
            <v>cây</v>
          </cell>
          <cell r="G398">
            <v>350000</v>
          </cell>
          <cell r="H398">
            <v>0.8</v>
          </cell>
          <cell r="I398">
            <v>0.79999971389770497</v>
          </cell>
          <cell r="J398" t="str">
            <v>ĐG 01.02.2025</v>
          </cell>
        </row>
        <row r="399">
          <cell r="B399" t="str">
            <v>Vạn tuế35vmd</v>
          </cell>
          <cell r="C399" t="str">
            <v>Cây Vạn tuế vượt mật độ</v>
          </cell>
          <cell r="D399" t="str">
            <v>3cm ≤ đk gốc &lt; 5cm</v>
          </cell>
          <cell r="E399">
            <v>0.79999971389770497</v>
          </cell>
          <cell r="F399" t="str">
            <v>cây</v>
          </cell>
          <cell r="G399">
            <v>70000</v>
          </cell>
          <cell r="H399">
            <v>0.4</v>
          </cell>
          <cell r="I399">
            <v>0.39999985694885298</v>
          </cell>
          <cell r="J399" t="str">
            <v>ĐG 01.02.2025</v>
          </cell>
        </row>
        <row r="400">
          <cell r="B400" t="str">
            <v>Vạn tuế57vmd</v>
          </cell>
          <cell r="C400" t="str">
            <v>Cây Vạn tuế vượt mật độ</v>
          </cell>
          <cell r="D400" t="str">
            <v>5cm ≤ đk gốc &lt; 7cm</v>
          </cell>
          <cell r="E400">
            <v>0.39999985694885298</v>
          </cell>
          <cell r="F400" t="str">
            <v>cây</v>
          </cell>
          <cell r="G400">
            <v>90000</v>
          </cell>
          <cell r="H400">
            <v>0.4</v>
          </cell>
          <cell r="I400">
            <v>0.39999985694885298</v>
          </cell>
          <cell r="J400" t="str">
            <v>ĐG 01.02.2025</v>
          </cell>
        </row>
        <row r="401">
          <cell r="B401" t="str">
            <v>Vạn tuế70vmd</v>
          </cell>
          <cell r="C401" t="str">
            <v>Cây Vạn tuế vượt mật độ</v>
          </cell>
          <cell r="D401" t="str">
            <v>7cm ≤ đk gốc &lt; 10cm</v>
          </cell>
          <cell r="E401">
            <v>0.39999985694885298</v>
          </cell>
          <cell r="F401" t="str">
            <v>cây</v>
          </cell>
          <cell r="G401">
            <v>120000</v>
          </cell>
          <cell r="H401">
            <v>0.4</v>
          </cell>
          <cell r="I401">
            <v>0.39999985694885298</v>
          </cell>
          <cell r="J401" t="str">
            <v>ĐG 01.02.2025</v>
          </cell>
        </row>
        <row r="402">
          <cell r="B402" t="str">
            <v>Vạn tuế1015vmd</v>
          </cell>
          <cell r="C402" t="str">
            <v>Cây Vạn tuế vượt mật độ</v>
          </cell>
          <cell r="D402" t="str">
            <v>10cm ≤ đk gốc &lt; 15cm</v>
          </cell>
          <cell r="E402">
            <v>0.39999985694885298</v>
          </cell>
          <cell r="F402" t="str">
            <v>cây</v>
          </cell>
          <cell r="G402">
            <v>250000</v>
          </cell>
          <cell r="H402">
            <v>0.4</v>
          </cell>
          <cell r="I402">
            <v>0.39999985694885298</v>
          </cell>
          <cell r="J402" t="str">
            <v>ĐG 01.02.2025</v>
          </cell>
        </row>
        <row r="403">
          <cell r="B403" t="str">
            <v>Vạn tuế1520vmd</v>
          </cell>
          <cell r="C403" t="str">
            <v>Cây Vạn tuế vượt mật độ</v>
          </cell>
          <cell r="D403" t="str">
            <v>15cm ≤ đk gốc &lt; 20cm</v>
          </cell>
          <cell r="E403">
            <v>0.39999985694885298</v>
          </cell>
          <cell r="F403" t="str">
            <v>cây</v>
          </cell>
          <cell r="G403">
            <v>300000</v>
          </cell>
          <cell r="H403">
            <v>0.4</v>
          </cell>
          <cell r="I403">
            <v>0.39999985694885298</v>
          </cell>
          <cell r="J403" t="str">
            <v>ĐG 01.02.2025</v>
          </cell>
        </row>
        <row r="404">
          <cell r="B404" t="str">
            <v>Vạn tuế20+vmd</v>
          </cell>
          <cell r="C404" t="str">
            <v>Cây Vạn tuế vượt mật độ</v>
          </cell>
          <cell r="D404" t="str">
            <v>đk gốc từ 20cm trở lên</v>
          </cell>
          <cell r="E404">
            <v>0.39999985694885298</v>
          </cell>
          <cell r="F404" t="str">
            <v>cây</v>
          </cell>
          <cell r="G404">
            <v>350000</v>
          </cell>
          <cell r="H404">
            <v>0.4</v>
          </cell>
          <cell r="I404">
            <v>0.39999985694885298</v>
          </cell>
          <cell r="J404" t="str">
            <v>ĐG 01.02.2025</v>
          </cell>
        </row>
        <row r="405">
          <cell r="B405">
            <v>0.39999985694885298</v>
          </cell>
          <cell r="C405" t="str">
            <v>Cây Liễu</v>
          </cell>
          <cell r="D405">
            <v>0.39999985694885298</v>
          </cell>
          <cell r="E405">
            <v>0.39999985694885298</v>
          </cell>
          <cell r="F405">
            <v>0.39999985694885298</v>
          </cell>
          <cell r="G405">
            <v>0.39999985694885298</v>
          </cell>
          <cell r="H405">
            <v>0.39999985694885298</v>
          </cell>
          <cell r="I405">
            <v>0.39999985694885298</v>
          </cell>
        </row>
        <row r="406">
          <cell r="B406" t="str">
            <v>Liễu01</v>
          </cell>
          <cell r="C406" t="str">
            <v>Cây Liễu</v>
          </cell>
          <cell r="D406" t="str">
            <v>cây giống</v>
          </cell>
          <cell r="E406">
            <v>0.39999985694885298</v>
          </cell>
          <cell r="F406" t="str">
            <v>m2</v>
          </cell>
          <cell r="G406">
            <v>33000</v>
          </cell>
          <cell r="H406">
            <v>0.8</v>
          </cell>
          <cell r="I406">
            <v>0.79999971389770497</v>
          </cell>
          <cell r="J406" t="str">
            <v>ĐG 01.02.2025</v>
          </cell>
        </row>
        <row r="407">
          <cell r="B407" t="str">
            <v>Liễu05</v>
          </cell>
          <cell r="C407" t="str">
            <v>Cây Liễu</v>
          </cell>
          <cell r="D407" t="str">
            <v>đk gốc &lt; 5cm</v>
          </cell>
          <cell r="E407">
            <v>0.79999971389770497</v>
          </cell>
          <cell r="F407" t="str">
            <v>cây</v>
          </cell>
          <cell r="G407">
            <v>33000</v>
          </cell>
          <cell r="H407">
            <v>0.8</v>
          </cell>
          <cell r="I407">
            <v>0.79999971389770497</v>
          </cell>
          <cell r="J407" t="str">
            <v>ĐG 01.02.2025</v>
          </cell>
        </row>
        <row r="408">
          <cell r="B408" t="str">
            <v>Liễu510</v>
          </cell>
          <cell r="C408" t="str">
            <v>Cây Liễu</v>
          </cell>
          <cell r="D408" t="str">
            <v>5cm ≤ đk gốc &lt; 10cm</v>
          </cell>
          <cell r="E408">
            <v>0.79999971389770497</v>
          </cell>
          <cell r="F408" t="str">
            <v>cây</v>
          </cell>
          <cell r="G408">
            <v>55000</v>
          </cell>
          <cell r="H408">
            <v>0.8</v>
          </cell>
          <cell r="I408">
            <v>0.79999971389770497</v>
          </cell>
          <cell r="J408" t="str">
            <v>ĐG 01.02.2025</v>
          </cell>
        </row>
        <row r="409">
          <cell r="B409" t="str">
            <v>Liễu1013</v>
          </cell>
          <cell r="C409" t="str">
            <v>Cây Liễu</v>
          </cell>
          <cell r="D409" t="str">
            <v>10cm ≤ đk gốc &lt; 13cm</v>
          </cell>
          <cell r="E409">
            <v>0.79999971389770497</v>
          </cell>
          <cell r="F409" t="str">
            <v>cây</v>
          </cell>
          <cell r="G409">
            <v>80000</v>
          </cell>
          <cell r="H409">
            <v>0.8</v>
          </cell>
          <cell r="I409">
            <v>0.79999971389770497</v>
          </cell>
          <cell r="J409" t="str">
            <v>ĐG 01.02.2025</v>
          </cell>
        </row>
        <row r="410">
          <cell r="B410" t="str">
            <v>Liễu1320</v>
          </cell>
          <cell r="C410" t="str">
            <v>Cây Liễu</v>
          </cell>
          <cell r="D410" t="str">
            <v>13cm &lt; đk gốc &lt; 20cm</v>
          </cell>
          <cell r="E410">
            <v>0.79999971389770497</v>
          </cell>
          <cell r="F410" t="str">
            <v>cây</v>
          </cell>
          <cell r="G410">
            <v>100000</v>
          </cell>
          <cell r="H410">
            <v>0.8</v>
          </cell>
          <cell r="I410">
            <v>0.79999971389770497</v>
          </cell>
          <cell r="J410" t="str">
            <v>ĐG 01.02.2025</v>
          </cell>
        </row>
        <row r="411">
          <cell r="B411" t="str">
            <v>Liễu2040</v>
          </cell>
          <cell r="C411" t="str">
            <v>Cây Liễu</v>
          </cell>
          <cell r="D411" t="str">
            <v>20cm &lt; đk gốc &lt; 40cm</v>
          </cell>
          <cell r="E411">
            <v>0.79999971389770497</v>
          </cell>
          <cell r="F411" t="str">
            <v>cây</v>
          </cell>
          <cell r="G411">
            <v>200000</v>
          </cell>
          <cell r="H411">
            <v>0.8</v>
          </cell>
          <cell r="I411">
            <v>0.79999971389770497</v>
          </cell>
          <cell r="J411" t="str">
            <v>ĐG 01.02.2025</v>
          </cell>
        </row>
        <row r="412">
          <cell r="B412" t="str">
            <v>Liễu40+</v>
          </cell>
          <cell r="C412" t="str">
            <v>Cây Liễu</v>
          </cell>
          <cell r="D412" t="str">
            <v>đk gốc trên 40cm</v>
          </cell>
          <cell r="E412">
            <v>0.79999971389770497</v>
          </cell>
          <cell r="F412" t="str">
            <v>cây</v>
          </cell>
          <cell r="G412">
            <v>220000</v>
          </cell>
          <cell r="H412">
            <v>0.8</v>
          </cell>
          <cell r="I412">
            <v>0.79999971389770497</v>
          </cell>
          <cell r="J412" t="str">
            <v>ĐG 01.02.2025</v>
          </cell>
        </row>
        <row r="413">
          <cell r="B413" t="str">
            <v>Liễu01vmd</v>
          </cell>
          <cell r="C413" t="str">
            <v>Cây Liễu vượt mật độ</v>
          </cell>
          <cell r="D413" t="str">
            <v>cây giống</v>
          </cell>
          <cell r="E413">
            <v>0.79999971389770497</v>
          </cell>
          <cell r="F413" t="str">
            <v>m2</v>
          </cell>
          <cell r="G413">
            <v>33000</v>
          </cell>
          <cell r="H413">
            <v>0.4</v>
          </cell>
          <cell r="I413">
            <v>0.39999985694885298</v>
          </cell>
          <cell r="J413" t="str">
            <v>ĐG 01.02.2025</v>
          </cell>
        </row>
        <row r="414">
          <cell r="B414" t="str">
            <v>Liễu05vmd</v>
          </cell>
          <cell r="C414" t="str">
            <v>Cây Liễu vượt mật độ</v>
          </cell>
          <cell r="D414" t="str">
            <v>đk gốc &lt; 5cm</v>
          </cell>
          <cell r="E414">
            <v>0.39999985694885298</v>
          </cell>
          <cell r="F414" t="str">
            <v>cây</v>
          </cell>
          <cell r="G414">
            <v>33000</v>
          </cell>
          <cell r="H414">
            <v>0.4</v>
          </cell>
          <cell r="I414">
            <v>0.39999985694885298</v>
          </cell>
          <cell r="J414" t="str">
            <v>ĐG 01.02.2025</v>
          </cell>
        </row>
        <row r="415">
          <cell r="B415" t="str">
            <v>Liễu510vmd</v>
          </cell>
          <cell r="C415" t="str">
            <v>Cây Liễu vượt mật độ</v>
          </cell>
          <cell r="D415" t="str">
            <v>5cm ≤ đk gốc &lt; 10cm</v>
          </cell>
          <cell r="E415">
            <v>0.39999985694885298</v>
          </cell>
          <cell r="F415" t="str">
            <v>cây</v>
          </cell>
          <cell r="G415">
            <v>55000</v>
          </cell>
          <cell r="H415">
            <v>0.4</v>
          </cell>
          <cell r="I415">
            <v>0.39999985694885298</v>
          </cell>
          <cell r="J415" t="str">
            <v>ĐG 01.02.2025</v>
          </cell>
        </row>
        <row r="416">
          <cell r="B416" t="str">
            <v>Liễu1013vmd</v>
          </cell>
          <cell r="C416" t="str">
            <v>Cây Liễu vượt mật độ</v>
          </cell>
          <cell r="D416" t="str">
            <v>10cm ≤ đk gốc &lt; 13cm</v>
          </cell>
          <cell r="E416">
            <v>0.39999985694885298</v>
          </cell>
          <cell r="F416" t="str">
            <v>cây</v>
          </cell>
          <cell r="G416">
            <v>80000</v>
          </cell>
          <cell r="H416">
            <v>0.4</v>
          </cell>
          <cell r="I416">
            <v>0.39999985694885298</v>
          </cell>
          <cell r="J416" t="str">
            <v>ĐG 01.02.2025</v>
          </cell>
        </row>
        <row r="417">
          <cell r="B417" t="str">
            <v>Liễu1320vmd</v>
          </cell>
          <cell r="C417" t="str">
            <v>Cây Liễu vượt mật độ</v>
          </cell>
          <cell r="D417" t="str">
            <v>13cm &lt; đk gốc &lt; 20cm</v>
          </cell>
          <cell r="E417">
            <v>0.39999985694885298</v>
          </cell>
          <cell r="F417" t="str">
            <v>cây</v>
          </cell>
          <cell r="G417">
            <v>100000</v>
          </cell>
          <cell r="H417">
            <v>0.4</v>
          </cell>
          <cell r="I417">
            <v>0.39999985694885298</v>
          </cell>
          <cell r="J417" t="str">
            <v>ĐG 01.02.2025</v>
          </cell>
        </row>
        <row r="418">
          <cell r="B418" t="str">
            <v>Liễu2040vmd</v>
          </cell>
          <cell r="C418" t="str">
            <v>Cây Liễu vượt mật độ</v>
          </cell>
          <cell r="D418" t="str">
            <v>20cm &lt; đk gốc &lt; 40cm</v>
          </cell>
          <cell r="E418">
            <v>0.39999985694885298</v>
          </cell>
          <cell r="F418" t="str">
            <v>cây</v>
          </cell>
          <cell r="G418">
            <v>200000</v>
          </cell>
          <cell r="H418">
            <v>0.4</v>
          </cell>
          <cell r="I418">
            <v>0.39999985694885298</v>
          </cell>
          <cell r="J418" t="str">
            <v>ĐG 01.02.2025</v>
          </cell>
        </row>
        <row r="419">
          <cell r="B419" t="str">
            <v>Liễu40+vmd</v>
          </cell>
          <cell r="C419" t="str">
            <v>Cây Liễu vượt mật độ</v>
          </cell>
          <cell r="D419" t="str">
            <v>đk gốc trên 40cm</v>
          </cell>
          <cell r="E419">
            <v>0.39999985694885298</v>
          </cell>
          <cell r="F419" t="str">
            <v>cây</v>
          </cell>
          <cell r="G419">
            <v>220000</v>
          </cell>
          <cell r="H419">
            <v>0.4</v>
          </cell>
          <cell r="I419">
            <v>0.39999985694885298</v>
          </cell>
          <cell r="J419" t="str">
            <v>ĐG 01.02.2025</v>
          </cell>
        </row>
        <row r="420">
          <cell r="B420">
            <v>0.39999985694885298</v>
          </cell>
          <cell r="C420" t="str">
            <v>Cây Bằng lăng</v>
          </cell>
          <cell r="D420">
            <v>0.39999985694885298</v>
          </cell>
          <cell r="E420">
            <v>0.39999985694885298</v>
          </cell>
          <cell r="F420">
            <v>0.39999985694885298</v>
          </cell>
          <cell r="G420">
            <v>0.39999985694885298</v>
          </cell>
          <cell r="H420">
            <v>0.39999985694885298</v>
          </cell>
          <cell r="I420">
            <v>0.39999985694885298</v>
          </cell>
        </row>
        <row r="421">
          <cell r="B421" t="str">
            <v>Banglang01</v>
          </cell>
          <cell r="C421" t="str">
            <v>Bằng lăng</v>
          </cell>
          <cell r="D421" t="str">
            <v>cây giống</v>
          </cell>
          <cell r="E421">
            <v>0.39999985694885298</v>
          </cell>
          <cell r="F421" t="str">
            <v>m2</v>
          </cell>
          <cell r="G421">
            <v>33000</v>
          </cell>
          <cell r="H421">
            <v>0.8</v>
          </cell>
          <cell r="I421">
            <v>0.79999971389770497</v>
          </cell>
          <cell r="J421" t="str">
            <v>ĐG 01.02.2025</v>
          </cell>
        </row>
        <row r="422">
          <cell r="B422" t="str">
            <v>Banglang05</v>
          </cell>
          <cell r="C422" t="str">
            <v>Bằng lăng</v>
          </cell>
          <cell r="D422" t="str">
            <v>đk gốc &lt; 5cm</v>
          </cell>
          <cell r="E422">
            <v>0.79999971389770497</v>
          </cell>
          <cell r="F422" t="str">
            <v>cây</v>
          </cell>
          <cell r="G422">
            <v>33000</v>
          </cell>
          <cell r="H422">
            <v>0.8</v>
          </cell>
          <cell r="I422">
            <v>0.79999971389770497</v>
          </cell>
          <cell r="J422" t="str">
            <v>ĐG 01.02.2025</v>
          </cell>
        </row>
        <row r="423">
          <cell r="B423" t="str">
            <v>Banglang510</v>
          </cell>
          <cell r="C423" t="str">
            <v>Bằng lăng</v>
          </cell>
          <cell r="D423" t="str">
            <v>5cm ≤ đk gốc &lt; 10cm</v>
          </cell>
          <cell r="E423">
            <v>0.79999971389770497</v>
          </cell>
          <cell r="F423" t="str">
            <v>cây</v>
          </cell>
          <cell r="G423">
            <v>55000</v>
          </cell>
          <cell r="H423">
            <v>0.8</v>
          </cell>
          <cell r="I423">
            <v>0.79999971389770497</v>
          </cell>
          <cell r="J423" t="str">
            <v>ĐG 01.02.2025</v>
          </cell>
        </row>
        <row r="424">
          <cell r="B424" t="str">
            <v>Banglang1013</v>
          </cell>
          <cell r="C424" t="str">
            <v>Bằng lăng</v>
          </cell>
          <cell r="D424" t="str">
            <v>10cm ≤ đk gốc &lt; 13cm</v>
          </cell>
          <cell r="E424">
            <v>0.79999971389770497</v>
          </cell>
          <cell r="F424" t="str">
            <v>cây</v>
          </cell>
          <cell r="G424">
            <v>80000</v>
          </cell>
          <cell r="H424">
            <v>0.8</v>
          </cell>
          <cell r="I424">
            <v>0.79999971389770497</v>
          </cell>
          <cell r="J424" t="str">
            <v>ĐG 01.02.2025</v>
          </cell>
        </row>
        <row r="425">
          <cell r="B425" t="str">
            <v>Banglang1320</v>
          </cell>
          <cell r="C425" t="str">
            <v>Bằng lăng</v>
          </cell>
          <cell r="D425" t="str">
            <v>13cm &lt; đk gốc &lt; 20cm</v>
          </cell>
          <cell r="E425">
            <v>0.79999971389770497</v>
          </cell>
          <cell r="F425" t="str">
            <v>cây</v>
          </cell>
          <cell r="G425">
            <v>100000</v>
          </cell>
          <cell r="H425">
            <v>0.8</v>
          </cell>
          <cell r="I425">
            <v>0.79999971389770497</v>
          </cell>
          <cell r="J425" t="str">
            <v>ĐG 01.02.2025</v>
          </cell>
        </row>
        <row r="426">
          <cell r="B426" t="str">
            <v>Banglang2040</v>
          </cell>
          <cell r="C426" t="str">
            <v>Bằng lăng</v>
          </cell>
          <cell r="D426" t="str">
            <v>20cm &lt; đk gốc &lt; 40cm</v>
          </cell>
          <cell r="E426">
            <v>0.79999971389770497</v>
          </cell>
          <cell r="F426" t="str">
            <v>cây</v>
          </cell>
          <cell r="G426">
            <v>200000</v>
          </cell>
          <cell r="H426">
            <v>0.8</v>
          </cell>
          <cell r="I426">
            <v>0.79999971389770497</v>
          </cell>
          <cell r="J426" t="str">
            <v>ĐG 01.02.2025</v>
          </cell>
        </row>
        <row r="427">
          <cell r="B427" t="str">
            <v>Banglang40+</v>
          </cell>
          <cell r="C427" t="str">
            <v>Bằng lăng</v>
          </cell>
          <cell r="D427" t="str">
            <v>đk gốc trên 40cm</v>
          </cell>
          <cell r="E427">
            <v>0.79999971389770497</v>
          </cell>
          <cell r="F427" t="str">
            <v>cây</v>
          </cell>
          <cell r="G427">
            <v>220000</v>
          </cell>
          <cell r="H427">
            <v>0.8</v>
          </cell>
          <cell r="I427">
            <v>0.79999971389770497</v>
          </cell>
          <cell r="J427" t="str">
            <v>ĐG 01.02.2025</v>
          </cell>
        </row>
        <row r="428">
          <cell r="B428" t="str">
            <v>Banglang01vmd</v>
          </cell>
          <cell r="C428" t="str">
            <v>Bằng lăng vượt mật độ</v>
          </cell>
          <cell r="D428" t="str">
            <v>cây giống</v>
          </cell>
          <cell r="E428">
            <v>0.79999971389770497</v>
          </cell>
          <cell r="F428" t="str">
            <v>m2</v>
          </cell>
          <cell r="G428">
            <v>33000</v>
          </cell>
          <cell r="H428">
            <v>0.4</v>
          </cell>
          <cell r="I428">
            <v>0.39999985694885298</v>
          </cell>
          <cell r="J428" t="str">
            <v>ĐG 01.02.2025</v>
          </cell>
        </row>
        <row r="429">
          <cell r="B429" t="str">
            <v>Banglang05vmd</v>
          </cell>
          <cell r="C429" t="str">
            <v>Bằng lăng vượt mật độ</v>
          </cell>
          <cell r="D429" t="str">
            <v>đk gốc &lt; 5cm</v>
          </cell>
          <cell r="E429">
            <v>0.39999985694885298</v>
          </cell>
          <cell r="F429" t="str">
            <v>cây</v>
          </cell>
          <cell r="G429">
            <v>33000</v>
          </cell>
          <cell r="H429">
            <v>0.4</v>
          </cell>
          <cell r="I429">
            <v>0.39999985694885298</v>
          </cell>
          <cell r="J429" t="str">
            <v>ĐG 01.02.2025</v>
          </cell>
        </row>
        <row r="430">
          <cell r="B430" t="str">
            <v>Banglang510vmd</v>
          </cell>
          <cell r="C430" t="str">
            <v>Bằng lăng vượt mật độ</v>
          </cell>
          <cell r="D430" t="str">
            <v>5cm ≤ đk gốc &lt; 10cm</v>
          </cell>
          <cell r="E430">
            <v>0.39999985694885298</v>
          </cell>
          <cell r="F430" t="str">
            <v>cây</v>
          </cell>
          <cell r="G430">
            <v>55000</v>
          </cell>
          <cell r="H430">
            <v>0.4</v>
          </cell>
          <cell r="I430">
            <v>0.39999985694885298</v>
          </cell>
          <cell r="J430" t="str">
            <v>ĐG 01.02.2025</v>
          </cell>
        </row>
        <row r="431">
          <cell r="B431" t="str">
            <v>Banglang1013vmd</v>
          </cell>
          <cell r="C431" t="str">
            <v>Bằng lăng vượt mật độ</v>
          </cell>
          <cell r="D431" t="str">
            <v>10cm ≤ đk gốc &lt; 13cm</v>
          </cell>
          <cell r="E431">
            <v>0.39999985694885298</v>
          </cell>
          <cell r="F431" t="str">
            <v>cây</v>
          </cell>
          <cell r="G431">
            <v>80000</v>
          </cell>
          <cell r="H431">
            <v>0.4</v>
          </cell>
          <cell r="I431">
            <v>0.39999985694885298</v>
          </cell>
          <cell r="J431" t="str">
            <v>ĐG 01.02.2025</v>
          </cell>
        </row>
        <row r="432">
          <cell r="B432" t="str">
            <v>Banglang1320vmd</v>
          </cell>
          <cell r="C432" t="str">
            <v>Bằng lăng vượt mật độ</v>
          </cell>
          <cell r="D432" t="str">
            <v>13cm &lt; đk gốc &lt; 20cm</v>
          </cell>
          <cell r="E432">
            <v>0.39999985694885298</v>
          </cell>
          <cell r="F432" t="str">
            <v>cây</v>
          </cell>
          <cell r="G432">
            <v>100000</v>
          </cell>
          <cell r="H432">
            <v>0.4</v>
          </cell>
          <cell r="I432">
            <v>0.39999985694885298</v>
          </cell>
          <cell r="J432" t="str">
            <v>ĐG 01.02.2025</v>
          </cell>
        </row>
        <row r="433">
          <cell r="B433" t="str">
            <v>Banglang2040vmd</v>
          </cell>
          <cell r="C433" t="str">
            <v>Bằng lăng vượt mật độ</v>
          </cell>
          <cell r="D433" t="str">
            <v>20cm &lt; đk gốc &lt; 40cm</v>
          </cell>
          <cell r="E433">
            <v>0.39999985694885298</v>
          </cell>
          <cell r="F433" t="str">
            <v>cây</v>
          </cell>
          <cell r="G433">
            <v>200000</v>
          </cell>
          <cell r="H433">
            <v>0.4</v>
          </cell>
          <cell r="I433">
            <v>0.39999985694885298</v>
          </cell>
          <cell r="J433" t="str">
            <v>ĐG 01.02.2025</v>
          </cell>
        </row>
        <row r="434">
          <cell r="B434" t="str">
            <v>Banglang40+vmd</v>
          </cell>
          <cell r="C434" t="str">
            <v>Bằng lăng vượt mật độ</v>
          </cell>
          <cell r="D434" t="str">
            <v>đk gốc trên 40cm</v>
          </cell>
          <cell r="E434">
            <v>0.39999985694885298</v>
          </cell>
          <cell r="F434" t="str">
            <v>cây</v>
          </cell>
          <cell r="G434">
            <v>220000</v>
          </cell>
          <cell r="H434">
            <v>0.4</v>
          </cell>
          <cell r="I434">
            <v>0.39999985694885298</v>
          </cell>
          <cell r="J434" t="str">
            <v>ĐG 01.02.2025</v>
          </cell>
        </row>
        <row r="435">
          <cell r="B435">
            <v>0.39999985694885298</v>
          </cell>
          <cell r="C435" t="str">
            <v>Cây dâu da xoan</v>
          </cell>
          <cell r="D435">
            <v>0.39999985694885298</v>
          </cell>
          <cell r="E435">
            <v>0.39999985694885298</v>
          </cell>
          <cell r="F435">
            <v>0.39999985694885298</v>
          </cell>
          <cell r="G435">
            <v>0.39999985694885298</v>
          </cell>
          <cell r="H435">
            <v>0.39999985694885298</v>
          </cell>
          <cell r="I435">
            <v>0.39999985694885298</v>
          </cell>
        </row>
        <row r="436">
          <cell r="B436" t="str">
            <v>dâu da01</v>
          </cell>
          <cell r="C436" t="str">
            <v>Cây dâu da xoan</v>
          </cell>
          <cell r="D436" t="str">
            <v>cây giống</v>
          </cell>
          <cell r="E436">
            <v>0.39999985694885298</v>
          </cell>
          <cell r="F436" t="str">
            <v>m2</v>
          </cell>
          <cell r="G436">
            <v>33000</v>
          </cell>
          <cell r="H436">
            <v>0.8</v>
          </cell>
          <cell r="I436">
            <v>0.79999971389770497</v>
          </cell>
          <cell r="J436" t="str">
            <v>ĐG 01.02.2025</v>
          </cell>
        </row>
        <row r="437">
          <cell r="B437" t="str">
            <v>dâu da05</v>
          </cell>
          <cell r="C437" t="str">
            <v>Cây dâu da xoan</v>
          </cell>
          <cell r="D437" t="str">
            <v>đk gốc &lt; 5cm</v>
          </cell>
          <cell r="E437">
            <v>0.79999971389770497</v>
          </cell>
          <cell r="F437" t="str">
            <v>cây</v>
          </cell>
          <cell r="G437">
            <v>33000</v>
          </cell>
          <cell r="H437">
            <v>0.8</v>
          </cell>
          <cell r="I437">
            <v>0.79999971389770497</v>
          </cell>
          <cell r="J437" t="str">
            <v>ĐG 01.02.2025</v>
          </cell>
        </row>
        <row r="438">
          <cell r="B438" t="str">
            <v>dâu da510</v>
          </cell>
          <cell r="C438" t="str">
            <v>Cây dâu da xoan</v>
          </cell>
          <cell r="D438" t="str">
            <v>5cm ≤ đk gốc &lt; 10cm</v>
          </cell>
          <cell r="E438">
            <v>0.79999971389770497</v>
          </cell>
          <cell r="F438" t="str">
            <v>cây</v>
          </cell>
          <cell r="G438">
            <v>55000</v>
          </cell>
          <cell r="H438">
            <v>0.8</v>
          </cell>
          <cell r="I438">
            <v>0.79999971389770497</v>
          </cell>
          <cell r="J438" t="str">
            <v>ĐG 01.02.2025</v>
          </cell>
        </row>
        <row r="439">
          <cell r="B439" t="str">
            <v>dâu da1013</v>
          </cell>
          <cell r="C439" t="str">
            <v>Cây dâu da xoan</v>
          </cell>
          <cell r="D439" t="str">
            <v>10cm ≤ đk gốc &lt; 13cm</v>
          </cell>
          <cell r="E439">
            <v>0.79999971389770497</v>
          </cell>
          <cell r="F439" t="str">
            <v>cây</v>
          </cell>
          <cell r="G439">
            <v>80000</v>
          </cell>
          <cell r="H439">
            <v>0.8</v>
          </cell>
          <cell r="I439">
            <v>0.79999971389770497</v>
          </cell>
          <cell r="J439" t="str">
            <v>ĐG 01.02.2025</v>
          </cell>
        </row>
        <row r="440">
          <cell r="B440" t="str">
            <v>dâu da1320</v>
          </cell>
          <cell r="C440" t="str">
            <v>Cây dâu da xoan</v>
          </cell>
          <cell r="D440" t="str">
            <v>13cm &lt; đk gốc &lt; 20cm</v>
          </cell>
          <cell r="E440">
            <v>0.79999971389770497</v>
          </cell>
          <cell r="F440" t="str">
            <v>cây</v>
          </cell>
          <cell r="G440">
            <v>100000</v>
          </cell>
          <cell r="H440">
            <v>0.8</v>
          </cell>
          <cell r="I440">
            <v>0.79999971389770497</v>
          </cell>
          <cell r="J440" t="str">
            <v>ĐG 01.02.2025</v>
          </cell>
        </row>
        <row r="441">
          <cell r="B441" t="str">
            <v>dâu da2040</v>
          </cell>
          <cell r="C441" t="str">
            <v>Cây dâu da xoan</v>
          </cell>
          <cell r="D441" t="str">
            <v>20cm &lt; đk gốc &lt; 40cm</v>
          </cell>
          <cell r="E441">
            <v>0.79999971389770497</v>
          </cell>
          <cell r="F441" t="str">
            <v>cây</v>
          </cell>
          <cell r="G441">
            <v>200000</v>
          </cell>
          <cell r="H441">
            <v>0.8</v>
          </cell>
          <cell r="I441">
            <v>0.79999971389770497</v>
          </cell>
          <cell r="J441" t="str">
            <v>ĐG 01.02.2025</v>
          </cell>
        </row>
        <row r="442">
          <cell r="B442" t="str">
            <v>dâu da40+</v>
          </cell>
          <cell r="C442" t="str">
            <v>Cây dâu da xoan</v>
          </cell>
          <cell r="D442" t="str">
            <v>đk gốc trên 40cm</v>
          </cell>
          <cell r="E442">
            <v>0.79999971389770497</v>
          </cell>
          <cell r="F442" t="str">
            <v>cây</v>
          </cell>
          <cell r="G442">
            <v>220000</v>
          </cell>
          <cell r="H442">
            <v>0.8</v>
          </cell>
          <cell r="I442">
            <v>0.79999971389770497</v>
          </cell>
          <cell r="J442" t="str">
            <v>ĐG 01.02.2025</v>
          </cell>
        </row>
        <row r="443">
          <cell r="B443" t="str">
            <v>dâu da01vmd</v>
          </cell>
          <cell r="C443" t="str">
            <v>Cây dâu da xoan vượt mật độ</v>
          </cell>
          <cell r="D443" t="str">
            <v>cây giống</v>
          </cell>
          <cell r="E443">
            <v>0.79999971389770497</v>
          </cell>
          <cell r="F443" t="str">
            <v>m2</v>
          </cell>
          <cell r="G443">
            <v>33000</v>
          </cell>
          <cell r="H443">
            <v>0.4</v>
          </cell>
          <cell r="I443">
            <v>0.39999985694885298</v>
          </cell>
          <cell r="J443" t="str">
            <v>ĐG 01.02.2025</v>
          </cell>
        </row>
        <row r="444">
          <cell r="B444" t="str">
            <v>dâu da05vmd</v>
          </cell>
          <cell r="C444" t="str">
            <v>Cây dâu da xoan vượt mật độ</v>
          </cell>
          <cell r="D444" t="str">
            <v>đk gốc &lt; 5cm</v>
          </cell>
          <cell r="E444">
            <v>0.39999985694885298</v>
          </cell>
          <cell r="F444" t="str">
            <v>cây</v>
          </cell>
          <cell r="G444">
            <v>33000</v>
          </cell>
          <cell r="H444">
            <v>0.4</v>
          </cell>
          <cell r="I444">
            <v>0.39999985694885298</v>
          </cell>
          <cell r="J444" t="str">
            <v>ĐG 01.02.2025</v>
          </cell>
        </row>
        <row r="445">
          <cell r="B445" t="str">
            <v>dâu da510vmd</v>
          </cell>
          <cell r="C445" t="str">
            <v>Cây dâu da xoan vượt mật độ</v>
          </cell>
          <cell r="D445" t="str">
            <v>5cm ≤ đk gốc &lt; 10cm</v>
          </cell>
          <cell r="E445">
            <v>0.39999985694885298</v>
          </cell>
          <cell r="F445" t="str">
            <v>cây</v>
          </cell>
          <cell r="G445">
            <v>55000</v>
          </cell>
          <cell r="H445">
            <v>0.4</v>
          </cell>
          <cell r="I445">
            <v>0.39999985694885298</v>
          </cell>
          <cell r="J445" t="str">
            <v>ĐG 01.02.2025</v>
          </cell>
        </row>
        <row r="446">
          <cell r="B446" t="str">
            <v>dâu da1013vmd</v>
          </cell>
          <cell r="C446" t="str">
            <v>Cây dâu da xoan vượt mật độ</v>
          </cell>
          <cell r="D446" t="str">
            <v>10cm ≤ đk gốc &lt; 13cm</v>
          </cell>
          <cell r="E446">
            <v>0.39999985694885298</v>
          </cell>
          <cell r="F446" t="str">
            <v>cây</v>
          </cell>
          <cell r="G446">
            <v>80000</v>
          </cell>
          <cell r="H446">
            <v>0.4</v>
          </cell>
          <cell r="I446">
            <v>0.39999985694885298</v>
          </cell>
          <cell r="J446" t="str">
            <v>ĐG 01.02.2025</v>
          </cell>
        </row>
        <row r="447">
          <cell r="B447" t="str">
            <v>dâu da1320vmd</v>
          </cell>
          <cell r="C447" t="str">
            <v>Cây dâu da xoan vượt mật độ</v>
          </cell>
          <cell r="D447" t="str">
            <v>13cm &lt; đk gốc &lt; 20cm</v>
          </cell>
          <cell r="E447">
            <v>0.39999985694885298</v>
          </cell>
          <cell r="F447" t="str">
            <v>cây</v>
          </cell>
          <cell r="G447">
            <v>100000</v>
          </cell>
          <cell r="H447">
            <v>0.4</v>
          </cell>
          <cell r="I447">
            <v>0.39999985694885298</v>
          </cell>
          <cell r="J447" t="str">
            <v>ĐG 01.02.2025</v>
          </cell>
        </row>
        <row r="448">
          <cell r="B448" t="str">
            <v>dâu da2040vmd</v>
          </cell>
          <cell r="C448" t="str">
            <v>Cây dâu da xoan vượt mật độ</v>
          </cell>
          <cell r="D448" t="str">
            <v>20cm &lt; đk gốc &lt; 40cm</v>
          </cell>
          <cell r="E448">
            <v>0.39999985694885298</v>
          </cell>
          <cell r="F448" t="str">
            <v>cây</v>
          </cell>
          <cell r="G448">
            <v>200000</v>
          </cell>
          <cell r="H448">
            <v>0.4</v>
          </cell>
          <cell r="I448">
            <v>0.39999985694885298</v>
          </cell>
          <cell r="J448" t="str">
            <v>ĐG 01.02.2025</v>
          </cell>
        </row>
        <row r="449">
          <cell r="B449" t="str">
            <v>dâu da40+vmd</v>
          </cell>
          <cell r="C449" t="str">
            <v>Cây dâu da xoan vượt mật độ</v>
          </cell>
          <cell r="D449" t="str">
            <v>đk gốc trên 40cm</v>
          </cell>
          <cell r="E449">
            <v>0.39999985694885298</v>
          </cell>
          <cell r="F449" t="str">
            <v>cây</v>
          </cell>
          <cell r="G449">
            <v>220000</v>
          </cell>
          <cell r="H449">
            <v>0.4</v>
          </cell>
          <cell r="I449">
            <v>0.39999985694885298</v>
          </cell>
          <cell r="J449" t="str">
            <v>ĐG 01.02.2025</v>
          </cell>
        </row>
        <row r="450">
          <cell r="B450">
            <v>0.39999985694885298</v>
          </cell>
          <cell r="C450" t="str">
            <v>Cây Lộc vừng</v>
          </cell>
          <cell r="D450">
            <v>0.39999985694885298</v>
          </cell>
          <cell r="E450">
            <v>0.39999985694885298</v>
          </cell>
          <cell r="F450">
            <v>0.39999985694885298</v>
          </cell>
          <cell r="G450">
            <v>0.39999985694885298</v>
          </cell>
          <cell r="H450">
            <v>0.39999985694885298</v>
          </cell>
          <cell r="I450">
            <v>0.39999985694885298</v>
          </cell>
        </row>
        <row r="451">
          <cell r="B451" t="str">
            <v>Locvung5</v>
          </cell>
          <cell r="C451" t="str">
            <v>Cây Lộc vừng</v>
          </cell>
          <cell r="D451" t="str">
            <v>đk gốc &lt; 5cm</v>
          </cell>
          <cell r="E451">
            <v>0.39999985694885298</v>
          </cell>
          <cell r="F451" t="str">
            <v>cây</v>
          </cell>
          <cell r="G451">
            <v>85000</v>
          </cell>
          <cell r="H451">
            <v>0.8</v>
          </cell>
          <cell r="I451">
            <v>0.79999971389770497</v>
          </cell>
          <cell r="J451" t="str">
            <v>ĐG 01.02.2025</v>
          </cell>
        </row>
        <row r="452">
          <cell r="B452" t="str">
            <v>Locvung57</v>
          </cell>
          <cell r="C452" t="str">
            <v>Cây Lộc vừng</v>
          </cell>
          <cell r="D452" t="str">
            <v>5cm ≤ đk gốc &lt; 7cm</v>
          </cell>
          <cell r="E452">
            <v>0.79999971389770497</v>
          </cell>
          <cell r="F452" t="str">
            <v>cây</v>
          </cell>
          <cell r="G452">
            <v>110000</v>
          </cell>
          <cell r="H452">
            <v>0.8</v>
          </cell>
          <cell r="I452">
            <v>0.79999971389770497</v>
          </cell>
          <cell r="J452" t="str">
            <v>ĐG 01.02.2025</v>
          </cell>
        </row>
        <row r="453">
          <cell r="B453" t="str">
            <v>Locvung710</v>
          </cell>
          <cell r="C453" t="str">
            <v>Cây Lộc vừng</v>
          </cell>
          <cell r="D453" t="str">
            <v>7cm ≤ đk gốc &lt; 10cm</v>
          </cell>
          <cell r="E453">
            <v>0.79999971389770497</v>
          </cell>
          <cell r="F453" t="str">
            <v>cây</v>
          </cell>
          <cell r="G453">
            <v>180000</v>
          </cell>
          <cell r="H453">
            <v>0.8</v>
          </cell>
          <cell r="I453">
            <v>0.79999971389770497</v>
          </cell>
          <cell r="J453" t="str">
            <v>ĐG 01.02.2025</v>
          </cell>
        </row>
        <row r="454">
          <cell r="B454" t="str">
            <v>Locvung1015</v>
          </cell>
          <cell r="C454" t="str">
            <v>Cây Lộc vừng</v>
          </cell>
          <cell r="D454" t="str">
            <v>10cm ≤ đk gốc &lt; 15cm</v>
          </cell>
          <cell r="E454">
            <v>0.79999971389770497</v>
          </cell>
          <cell r="F454" t="str">
            <v>cây</v>
          </cell>
          <cell r="G454">
            <v>320000</v>
          </cell>
          <cell r="H454">
            <v>0.8</v>
          </cell>
          <cell r="I454">
            <v>0.79999971389770497</v>
          </cell>
          <cell r="J454" t="str">
            <v>ĐG 01.02.2025</v>
          </cell>
        </row>
        <row r="455">
          <cell r="B455" t="str">
            <v>Locvung15+</v>
          </cell>
          <cell r="C455" t="str">
            <v>Cây Lộc vừng</v>
          </cell>
          <cell r="D455" t="str">
            <v>đk gốc từ 15cm trở lên</v>
          </cell>
          <cell r="E455">
            <v>0.79999971389770497</v>
          </cell>
          <cell r="F455" t="str">
            <v>cây</v>
          </cell>
          <cell r="G455">
            <v>420000</v>
          </cell>
          <cell r="H455">
            <v>0.8</v>
          </cell>
          <cell r="I455">
            <v>0.79999971389770497</v>
          </cell>
          <cell r="J455" t="str">
            <v>ĐG 01.02.2025</v>
          </cell>
        </row>
        <row r="456">
          <cell r="B456" t="str">
            <v>Locvung5vmd</v>
          </cell>
          <cell r="C456" t="str">
            <v>Cây Lộc vừng vượt mật độ</v>
          </cell>
          <cell r="D456" t="str">
            <v>đk gốc &lt; 5cm</v>
          </cell>
          <cell r="E456">
            <v>0.79999971389770497</v>
          </cell>
          <cell r="F456" t="str">
            <v>cây</v>
          </cell>
          <cell r="G456">
            <v>85000</v>
          </cell>
          <cell r="H456">
            <v>0.4</v>
          </cell>
          <cell r="I456">
            <v>0.39999985694885298</v>
          </cell>
          <cell r="J456" t="str">
            <v>ĐG 01.02.2025</v>
          </cell>
        </row>
        <row r="457">
          <cell r="B457" t="str">
            <v>Locvung57vmd</v>
          </cell>
          <cell r="C457" t="str">
            <v>Cây Lộc vừng vượt mật độ</v>
          </cell>
          <cell r="D457" t="str">
            <v>5cm ≤ đk gốc &lt; 7cm</v>
          </cell>
          <cell r="E457">
            <v>0.39999985694885298</v>
          </cell>
          <cell r="F457" t="str">
            <v>cây</v>
          </cell>
          <cell r="G457">
            <v>110000</v>
          </cell>
          <cell r="H457">
            <v>0.4</v>
          </cell>
          <cell r="I457">
            <v>0.39999985694885298</v>
          </cell>
          <cell r="J457" t="str">
            <v>ĐG 01.02.2025</v>
          </cell>
        </row>
        <row r="458">
          <cell r="B458" t="str">
            <v>Locvung710vmd</v>
          </cell>
          <cell r="C458" t="str">
            <v>Cây Lộc vừng vượt mật độ</v>
          </cell>
          <cell r="D458" t="str">
            <v>7cm ≤ đk gốc &lt; 10cm</v>
          </cell>
          <cell r="E458">
            <v>0.39999985694885298</v>
          </cell>
          <cell r="F458" t="str">
            <v>cây</v>
          </cell>
          <cell r="G458">
            <v>180000</v>
          </cell>
          <cell r="H458">
            <v>0.4</v>
          </cell>
          <cell r="I458">
            <v>0.39999985694885298</v>
          </cell>
          <cell r="J458" t="str">
            <v>ĐG 01.02.2025</v>
          </cell>
        </row>
        <row r="459">
          <cell r="B459" t="str">
            <v>Locvung1015vmd</v>
          </cell>
          <cell r="C459" t="str">
            <v>Cây Lộc vừng vượt mật độ</v>
          </cell>
          <cell r="D459" t="str">
            <v>10cm ≤ đk gốc &lt; 15cm</v>
          </cell>
          <cell r="E459">
            <v>0.39999985694885298</v>
          </cell>
          <cell r="F459" t="str">
            <v>cây</v>
          </cell>
          <cell r="G459">
            <v>320000</v>
          </cell>
          <cell r="H459">
            <v>0.4</v>
          </cell>
          <cell r="I459">
            <v>0.39999985694885298</v>
          </cell>
          <cell r="J459" t="str">
            <v>ĐG 01.02.2025</v>
          </cell>
        </row>
        <row r="460">
          <cell r="B460" t="str">
            <v>Locvung15+vmd</v>
          </cell>
          <cell r="C460" t="str">
            <v>Cây Lộc vừng vượt mật độ</v>
          </cell>
          <cell r="D460" t="str">
            <v>đk gốc từ 15cm trở lên</v>
          </cell>
          <cell r="E460">
            <v>0.39999985694885298</v>
          </cell>
          <cell r="F460" t="str">
            <v>cây</v>
          </cell>
          <cell r="G460">
            <v>420000</v>
          </cell>
          <cell r="H460">
            <v>0.4</v>
          </cell>
          <cell r="I460">
            <v>0.39999985694885298</v>
          </cell>
          <cell r="J460" t="str">
            <v>ĐG 01.02.2025</v>
          </cell>
        </row>
        <row r="461">
          <cell r="B461">
            <v>0.39999985694885298</v>
          </cell>
          <cell r="C461" t="str">
            <v>Cây Đào tiên</v>
          </cell>
          <cell r="D461">
            <v>0.39999985694885298</v>
          </cell>
          <cell r="E461">
            <v>0.39999985694885298</v>
          </cell>
          <cell r="F461">
            <v>0.39999985694885298</v>
          </cell>
          <cell r="G461">
            <v>0.39999985694885298</v>
          </cell>
          <cell r="H461">
            <v>0.39999985694885298</v>
          </cell>
          <cell r="I461">
            <v>0.39999985694885298</v>
          </cell>
        </row>
        <row r="462">
          <cell r="B462" t="str">
            <v>Daotien5</v>
          </cell>
          <cell r="C462" t="str">
            <v>Cây Đào tiên</v>
          </cell>
          <cell r="D462" t="str">
            <v>đk gốc &lt; 5cm</v>
          </cell>
          <cell r="E462">
            <v>0.39999985694885298</v>
          </cell>
          <cell r="F462" t="str">
            <v>cây</v>
          </cell>
          <cell r="G462">
            <v>85000</v>
          </cell>
          <cell r="H462">
            <v>0.8</v>
          </cell>
          <cell r="I462">
            <v>0.79999971389770497</v>
          </cell>
          <cell r="J462" t="str">
            <v>ĐG 01.02.2025</v>
          </cell>
        </row>
        <row r="463">
          <cell r="B463" t="str">
            <v>Daotien57</v>
          </cell>
          <cell r="C463" t="str">
            <v>Cây Đào tiên</v>
          </cell>
          <cell r="D463" t="str">
            <v>5cm ≤ đk gốc &lt; 7cm</v>
          </cell>
          <cell r="E463">
            <v>0.79999971389770497</v>
          </cell>
          <cell r="F463" t="str">
            <v>cây</v>
          </cell>
          <cell r="G463">
            <v>110000</v>
          </cell>
          <cell r="H463">
            <v>0.8</v>
          </cell>
          <cell r="I463">
            <v>0.79999971389770497</v>
          </cell>
          <cell r="J463" t="str">
            <v>ĐG 01.02.2025</v>
          </cell>
        </row>
        <row r="464">
          <cell r="B464" t="str">
            <v>Daotien710</v>
          </cell>
          <cell r="C464" t="str">
            <v>Cây Đào tiên</v>
          </cell>
          <cell r="D464" t="str">
            <v>7cm ≤ đk gốc &lt; 10cm</v>
          </cell>
          <cell r="E464">
            <v>0.79999971389770497</v>
          </cell>
          <cell r="F464" t="str">
            <v>cây</v>
          </cell>
          <cell r="G464">
            <v>180000</v>
          </cell>
          <cell r="H464">
            <v>0.8</v>
          </cell>
          <cell r="I464">
            <v>0.79999971389770497</v>
          </cell>
          <cell r="J464" t="str">
            <v>ĐG 01.02.2025</v>
          </cell>
        </row>
        <row r="465">
          <cell r="B465" t="str">
            <v>Daotien1015</v>
          </cell>
          <cell r="C465" t="str">
            <v>Cây Đào tiên</v>
          </cell>
          <cell r="D465" t="str">
            <v>10cm ≤ đk gốc &lt; 15cm</v>
          </cell>
          <cell r="E465">
            <v>0.79999971389770497</v>
          </cell>
          <cell r="F465" t="str">
            <v>cây</v>
          </cell>
          <cell r="G465">
            <v>320000</v>
          </cell>
          <cell r="H465">
            <v>0.8</v>
          </cell>
          <cell r="I465">
            <v>0.79999971389770497</v>
          </cell>
          <cell r="J465" t="str">
            <v>ĐG 01.02.2025</v>
          </cell>
        </row>
        <row r="466">
          <cell r="B466" t="str">
            <v>Daotien15+</v>
          </cell>
          <cell r="C466" t="str">
            <v>Cây Đào tiên</v>
          </cell>
          <cell r="D466" t="str">
            <v>đk gốc từ 15cm trở lên</v>
          </cell>
          <cell r="E466">
            <v>0.79999971389770497</v>
          </cell>
          <cell r="F466" t="str">
            <v>cây</v>
          </cell>
          <cell r="G466">
            <v>420000</v>
          </cell>
          <cell r="H466">
            <v>0.8</v>
          </cell>
          <cell r="I466">
            <v>0.79999971389770497</v>
          </cell>
          <cell r="J466" t="str">
            <v>ĐG 01.02.2025</v>
          </cell>
        </row>
        <row r="467">
          <cell r="B467" t="str">
            <v>Daotien5vmd</v>
          </cell>
          <cell r="C467" t="str">
            <v>Cây Đào tiên vượt mật độ</v>
          </cell>
          <cell r="D467" t="str">
            <v>đk gốc &lt; 5cm</v>
          </cell>
          <cell r="E467">
            <v>0.79999971389770497</v>
          </cell>
          <cell r="F467" t="str">
            <v>cây</v>
          </cell>
          <cell r="G467">
            <v>85000</v>
          </cell>
          <cell r="H467">
            <v>0.4</v>
          </cell>
          <cell r="I467">
            <v>0.39999985694885298</v>
          </cell>
          <cell r="J467" t="str">
            <v>ĐG 01.02.2025</v>
          </cell>
        </row>
        <row r="468">
          <cell r="B468" t="str">
            <v>Daotien57vmd</v>
          </cell>
          <cell r="C468" t="str">
            <v>Cây Đào tiên vượt mật độ</v>
          </cell>
          <cell r="D468" t="str">
            <v>5cm ≤ đk gốc &lt; 7cm</v>
          </cell>
          <cell r="E468">
            <v>0.39999985694885298</v>
          </cell>
          <cell r="F468" t="str">
            <v>cây</v>
          </cell>
          <cell r="G468">
            <v>110000</v>
          </cell>
          <cell r="H468">
            <v>0.4</v>
          </cell>
          <cell r="I468">
            <v>0.39999985694885298</v>
          </cell>
          <cell r="J468" t="str">
            <v>ĐG 01.02.2025</v>
          </cell>
        </row>
        <row r="469">
          <cell r="B469" t="str">
            <v>Daotien710vmd</v>
          </cell>
          <cell r="C469" t="str">
            <v>Cây Đào tiên vượt mật độ</v>
          </cell>
          <cell r="D469" t="str">
            <v>7cm ≤ đk gốc &lt; 10cm</v>
          </cell>
          <cell r="E469">
            <v>0.39999985694885298</v>
          </cell>
          <cell r="F469" t="str">
            <v>cây</v>
          </cell>
          <cell r="G469">
            <v>180000</v>
          </cell>
          <cell r="H469">
            <v>0.4</v>
          </cell>
          <cell r="I469">
            <v>0.39999985694885298</v>
          </cell>
          <cell r="J469" t="str">
            <v>ĐG 01.02.2025</v>
          </cell>
        </row>
        <row r="470">
          <cell r="B470" t="str">
            <v>Daotien1015vmd</v>
          </cell>
          <cell r="C470" t="str">
            <v>Cây Đào tiên vượt mật độ</v>
          </cell>
          <cell r="D470" t="str">
            <v>10cm ≤ đk gốc &lt; 15cm</v>
          </cell>
          <cell r="E470">
            <v>0.39999985694885298</v>
          </cell>
          <cell r="F470" t="str">
            <v>cây</v>
          </cell>
          <cell r="G470">
            <v>320000</v>
          </cell>
          <cell r="H470">
            <v>0.4</v>
          </cell>
          <cell r="I470">
            <v>0.39999985694885298</v>
          </cell>
          <cell r="J470" t="str">
            <v>ĐG 01.02.2025</v>
          </cell>
        </row>
        <row r="471">
          <cell r="B471" t="str">
            <v>Daotien15+vmd</v>
          </cell>
          <cell r="C471" t="str">
            <v>Cây Đào tiên vượt mật độ</v>
          </cell>
          <cell r="D471" t="str">
            <v>đk gốc từ 15cm trở lên</v>
          </cell>
          <cell r="E471">
            <v>0.39999985694885298</v>
          </cell>
          <cell r="F471" t="str">
            <v>cây</v>
          </cell>
          <cell r="G471">
            <v>420000</v>
          </cell>
          <cell r="H471">
            <v>0.4</v>
          </cell>
          <cell r="I471">
            <v>0.39999985694885298</v>
          </cell>
          <cell r="J471" t="str">
            <v>ĐG 01.02.2025</v>
          </cell>
        </row>
        <row r="472">
          <cell r="B472">
            <v>0.39999985694885298</v>
          </cell>
          <cell r="C472" t="str">
            <v>Cây Tùng</v>
          </cell>
          <cell r="D472">
            <v>0.39999985694885298</v>
          </cell>
          <cell r="E472">
            <v>0.39999985694885298</v>
          </cell>
          <cell r="F472">
            <v>0.39999985694885298</v>
          </cell>
          <cell r="G472">
            <v>0.39999985694885298</v>
          </cell>
          <cell r="H472">
            <v>0.39999985694885298</v>
          </cell>
          <cell r="I472">
            <v>0.39999985694885298</v>
          </cell>
        </row>
        <row r="473">
          <cell r="B473" t="str">
            <v>Tung35</v>
          </cell>
          <cell r="C473" t="str">
            <v>Cây Tùng</v>
          </cell>
          <cell r="D473" t="str">
            <v>3cm ≤ đk gốc &lt; 5cm</v>
          </cell>
          <cell r="E473">
            <v>0.39999985694885298</v>
          </cell>
          <cell r="F473" t="str">
            <v>cây</v>
          </cell>
          <cell r="G473">
            <v>70000</v>
          </cell>
          <cell r="H473">
            <v>0.8</v>
          </cell>
          <cell r="I473">
            <v>0.79999971389770497</v>
          </cell>
          <cell r="J473" t="str">
            <v>ĐG 01.02.2025</v>
          </cell>
        </row>
        <row r="474">
          <cell r="B474" t="str">
            <v>Tung57</v>
          </cell>
          <cell r="C474" t="str">
            <v>Cây Tùng</v>
          </cell>
          <cell r="D474" t="str">
            <v>5cm ≤ đk gốc &lt; 7cm</v>
          </cell>
          <cell r="E474">
            <v>0.79999971389770497</v>
          </cell>
          <cell r="F474" t="str">
            <v>cây</v>
          </cell>
          <cell r="G474">
            <v>90000</v>
          </cell>
          <cell r="H474">
            <v>0.8</v>
          </cell>
          <cell r="I474">
            <v>0.79999971389770497</v>
          </cell>
          <cell r="J474" t="str">
            <v>ĐG 01.02.2025</v>
          </cell>
        </row>
        <row r="475">
          <cell r="B475" t="str">
            <v>Tung710</v>
          </cell>
          <cell r="C475" t="str">
            <v>Cây Tùng</v>
          </cell>
          <cell r="D475" t="str">
            <v>7cm ≤ đk gốc &lt; 10cm</v>
          </cell>
          <cell r="E475">
            <v>0.79999971389770497</v>
          </cell>
          <cell r="F475" t="str">
            <v>cây</v>
          </cell>
          <cell r="G475">
            <v>120000</v>
          </cell>
          <cell r="H475">
            <v>0.8</v>
          </cell>
          <cell r="I475">
            <v>0.79999971389770497</v>
          </cell>
          <cell r="J475" t="str">
            <v>ĐG 01.02.2025</v>
          </cell>
        </row>
        <row r="476">
          <cell r="B476" t="str">
            <v>Tung1015</v>
          </cell>
          <cell r="C476" t="str">
            <v>Cây Tùng</v>
          </cell>
          <cell r="D476" t="str">
            <v>10cm ≤ đk gốc &lt; 15cm</v>
          </cell>
          <cell r="E476">
            <v>0.79999971389770497</v>
          </cell>
          <cell r="F476" t="str">
            <v>cây</v>
          </cell>
          <cell r="G476">
            <v>250000</v>
          </cell>
          <cell r="H476">
            <v>0.8</v>
          </cell>
          <cell r="I476">
            <v>0.79999971389770497</v>
          </cell>
          <cell r="J476" t="str">
            <v>ĐG 01.02.2025</v>
          </cell>
        </row>
        <row r="477">
          <cell r="B477" t="str">
            <v>Tung1520</v>
          </cell>
          <cell r="C477" t="str">
            <v>Cây Tùng</v>
          </cell>
          <cell r="D477" t="str">
            <v>15cm ≤ đk gốc &lt; 20cm</v>
          </cell>
          <cell r="E477">
            <v>0.79999971389770497</v>
          </cell>
          <cell r="F477" t="str">
            <v>cây</v>
          </cell>
          <cell r="G477">
            <v>300000</v>
          </cell>
          <cell r="H477">
            <v>0.8</v>
          </cell>
          <cell r="I477">
            <v>0.79999971389770497</v>
          </cell>
          <cell r="J477" t="str">
            <v>ĐG 01.02.2025</v>
          </cell>
        </row>
        <row r="478">
          <cell r="B478" t="str">
            <v>Tung20+</v>
          </cell>
          <cell r="C478" t="str">
            <v>Cây Tùng</v>
          </cell>
          <cell r="D478" t="str">
            <v>đk gốc từ 20cm trở lên</v>
          </cell>
          <cell r="E478">
            <v>0.79999971389770497</v>
          </cell>
          <cell r="F478" t="str">
            <v>cây</v>
          </cell>
          <cell r="G478">
            <v>350000</v>
          </cell>
          <cell r="H478">
            <v>0.8</v>
          </cell>
          <cell r="I478">
            <v>0.79999971389770497</v>
          </cell>
          <cell r="J478" t="str">
            <v>ĐG 01.02.2025</v>
          </cell>
        </row>
        <row r="479">
          <cell r="B479" t="str">
            <v>Tung35vmd</v>
          </cell>
          <cell r="C479" t="str">
            <v>Cây Tùng vừng vượt mật độ</v>
          </cell>
          <cell r="D479" t="str">
            <v>3cm ≤ đk gốc &lt; 5cm</v>
          </cell>
          <cell r="E479">
            <v>0.79999971389770497</v>
          </cell>
          <cell r="F479" t="str">
            <v>cây</v>
          </cell>
          <cell r="G479">
            <v>70000</v>
          </cell>
          <cell r="H479">
            <v>0.4</v>
          </cell>
          <cell r="I479">
            <v>0.39999985694885298</v>
          </cell>
          <cell r="J479" t="str">
            <v>ĐG 01.02.2025</v>
          </cell>
        </row>
        <row r="480">
          <cell r="B480" t="str">
            <v>Tung57vmd</v>
          </cell>
          <cell r="C480" t="str">
            <v>Cây Tùng vừng vượt mật độ</v>
          </cell>
          <cell r="D480" t="str">
            <v>5cm ≤ đk gốc &lt; 7cm</v>
          </cell>
          <cell r="E480">
            <v>0.39999985694885298</v>
          </cell>
          <cell r="F480" t="str">
            <v>cây</v>
          </cell>
          <cell r="G480">
            <v>90000</v>
          </cell>
          <cell r="H480">
            <v>0.4</v>
          </cell>
          <cell r="I480">
            <v>0.39999985694885298</v>
          </cell>
          <cell r="J480" t="str">
            <v>ĐG 01.02.2025</v>
          </cell>
        </row>
        <row r="481">
          <cell r="B481" t="str">
            <v>Tung710vmd</v>
          </cell>
          <cell r="C481" t="str">
            <v>Cây Tùng vừng vượt mật độ</v>
          </cell>
          <cell r="D481" t="str">
            <v>7cm ≤ đk gốc &lt; 10cm</v>
          </cell>
          <cell r="E481">
            <v>0.39999985694885298</v>
          </cell>
          <cell r="F481" t="str">
            <v>cây</v>
          </cell>
          <cell r="G481">
            <v>120000</v>
          </cell>
          <cell r="H481">
            <v>0.4</v>
          </cell>
          <cell r="I481">
            <v>0.39999985694885298</v>
          </cell>
          <cell r="J481" t="str">
            <v>ĐG 01.02.2025</v>
          </cell>
        </row>
        <row r="482">
          <cell r="B482" t="str">
            <v>Tung1015vmd</v>
          </cell>
          <cell r="C482" t="str">
            <v>Cây Tùng vừng vượt mật độ</v>
          </cell>
          <cell r="D482" t="str">
            <v>10cm ≤ đk gốc &lt; 15cm</v>
          </cell>
          <cell r="E482">
            <v>0.39999985694885298</v>
          </cell>
          <cell r="F482" t="str">
            <v>cây</v>
          </cell>
          <cell r="G482">
            <v>250000</v>
          </cell>
          <cell r="H482">
            <v>0.4</v>
          </cell>
          <cell r="I482">
            <v>0.39999985694885298</v>
          </cell>
          <cell r="J482" t="str">
            <v>ĐG 01.02.2025</v>
          </cell>
        </row>
        <row r="483">
          <cell r="B483" t="str">
            <v>Tung1520vmd</v>
          </cell>
          <cell r="C483" t="str">
            <v>Cây Tùng vừng vượt mật độ</v>
          </cell>
          <cell r="D483" t="str">
            <v>15cm ≤ đk gốc &lt; 20cm</v>
          </cell>
          <cell r="E483">
            <v>0.39999985694885298</v>
          </cell>
          <cell r="F483" t="str">
            <v>cây</v>
          </cell>
          <cell r="G483">
            <v>300000</v>
          </cell>
          <cell r="H483">
            <v>0.4</v>
          </cell>
          <cell r="I483">
            <v>0.39999985694885298</v>
          </cell>
          <cell r="J483" t="str">
            <v>ĐG 01.02.2025</v>
          </cell>
        </row>
        <row r="484">
          <cell r="B484" t="str">
            <v>Tung20+vmd</v>
          </cell>
          <cell r="C484" t="str">
            <v>Cây Tùng vừng vượt mật độ</v>
          </cell>
          <cell r="D484" t="str">
            <v>đk gốc từ 20cm trở lên</v>
          </cell>
          <cell r="E484">
            <v>0.39999985694885298</v>
          </cell>
          <cell r="F484" t="str">
            <v>cây</v>
          </cell>
          <cell r="G484">
            <v>350000</v>
          </cell>
          <cell r="H484">
            <v>0.4</v>
          </cell>
          <cell r="I484">
            <v>0.39999985694885298</v>
          </cell>
          <cell r="J484" t="str">
            <v>ĐG 01.02.2025</v>
          </cell>
        </row>
        <row r="485">
          <cell r="B485">
            <v>0.39999985694885298</v>
          </cell>
          <cell r="C485" t="str">
            <v>Cây Bồ đề</v>
          </cell>
          <cell r="D485">
            <v>0.39999985694885298</v>
          </cell>
          <cell r="E485">
            <v>0.39999985694885298</v>
          </cell>
          <cell r="F485">
            <v>0.39999985694885298</v>
          </cell>
          <cell r="G485">
            <v>0.39999985694885298</v>
          </cell>
          <cell r="H485">
            <v>0.39999985694885298</v>
          </cell>
          <cell r="I485">
            <v>0.39999985694885298</v>
          </cell>
        </row>
        <row r="486">
          <cell r="B486" t="str">
            <v>Bode01</v>
          </cell>
          <cell r="C486" t="str">
            <v>Cây Bồ đề</v>
          </cell>
          <cell r="D486" t="str">
            <v>cây giống</v>
          </cell>
          <cell r="E486">
            <v>0.39999985694885298</v>
          </cell>
          <cell r="F486" t="str">
            <v>m2</v>
          </cell>
          <cell r="G486">
            <v>50000</v>
          </cell>
          <cell r="H486">
            <v>0.8</v>
          </cell>
          <cell r="I486">
            <v>0.79999971389770497</v>
          </cell>
          <cell r="J486" t="str">
            <v>ĐG 01.02.2025</v>
          </cell>
        </row>
        <row r="487">
          <cell r="B487" t="str">
            <v>Bode35</v>
          </cell>
          <cell r="C487" t="str">
            <v>Cây Bồ đề</v>
          </cell>
          <cell r="D487" t="str">
            <v>3cm ≤ đk gốc &lt; 5cm</v>
          </cell>
          <cell r="E487">
            <v>0.79999971389770497</v>
          </cell>
          <cell r="F487" t="str">
            <v>cây</v>
          </cell>
          <cell r="G487">
            <v>80000</v>
          </cell>
          <cell r="H487">
            <v>0.8</v>
          </cell>
          <cell r="I487">
            <v>0.79999971389770497</v>
          </cell>
          <cell r="J487" t="str">
            <v>ĐG 01.02.2025</v>
          </cell>
        </row>
        <row r="488">
          <cell r="B488" t="str">
            <v>Bode57</v>
          </cell>
          <cell r="C488" t="str">
            <v>Cây Bồ đề</v>
          </cell>
          <cell r="D488" t="str">
            <v>5cm ≤ đk gốc &lt; 7cm</v>
          </cell>
          <cell r="E488">
            <v>0.79999971389770497</v>
          </cell>
          <cell r="F488" t="str">
            <v>cây</v>
          </cell>
          <cell r="G488">
            <v>100000</v>
          </cell>
          <cell r="H488">
            <v>0.8</v>
          </cell>
          <cell r="I488">
            <v>0.79999971389770497</v>
          </cell>
          <cell r="J488" t="str">
            <v>ĐG 01.02.2025</v>
          </cell>
        </row>
        <row r="489">
          <cell r="B489" t="str">
            <v>Bode710</v>
          </cell>
          <cell r="C489" t="str">
            <v>Cây Bồ đề</v>
          </cell>
          <cell r="D489" t="str">
            <v>7cm ≤ đk gốc &lt; 10cm</v>
          </cell>
          <cell r="E489">
            <v>0.79999971389770497</v>
          </cell>
          <cell r="F489" t="str">
            <v>cây</v>
          </cell>
          <cell r="G489">
            <v>130000</v>
          </cell>
          <cell r="H489">
            <v>0.8</v>
          </cell>
          <cell r="I489">
            <v>0.79999971389770497</v>
          </cell>
          <cell r="J489" t="str">
            <v>ĐG 01.02.2025</v>
          </cell>
        </row>
        <row r="490">
          <cell r="B490" t="str">
            <v>Bode1015</v>
          </cell>
          <cell r="C490" t="str">
            <v>Cây Bồ đề</v>
          </cell>
          <cell r="D490" t="str">
            <v>10cm ≤ đk gốc &lt; 15cm</v>
          </cell>
          <cell r="E490">
            <v>0.79999971389770497</v>
          </cell>
          <cell r="F490" t="str">
            <v>cây</v>
          </cell>
          <cell r="G490">
            <v>280000</v>
          </cell>
          <cell r="H490">
            <v>0.8</v>
          </cell>
          <cell r="I490">
            <v>0.79999971389770497</v>
          </cell>
          <cell r="J490" t="str">
            <v>ĐG 01.02.2025</v>
          </cell>
        </row>
        <row r="491">
          <cell r="B491" t="str">
            <v>Bode15+</v>
          </cell>
          <cell r="C491" t="str">
            <v>Cây Bồ đề</v>
          </cell>
          <cell r="D491" t="str">
            <v>đk gốc từ 15cm trở lên</v>
          </cell>
          <cell r="E491">
            <v>0.79999971389770497</v>
          </cell>
          <cell r="F491" t="str">
            <v>cây</v>
          </cell>
          <cell r="G491">
            <v>400000</v>
          </cell>
          <cell r="H491">
            <v>0.8</v>
          </cell>
          <cell r="I491">
            <v>0.79999971389770497</v>
          </cell>
          <cell r="J491" t="str">
            <v>ĐG 01.02.2025</v>
          </cell>
        </row>
        <row r="492">
          <cell r="B492" t="str">
            <v>Bode01vmd</v>
          </cell>
          <cell r="C492" t="str">
            <v>Cây Bồ đề vượt mật độ</v>
          </cell>
          <cell r="D492" t="str">
            <v>cây giống</v>
          </cell>
          <cell r="E492">
            <v>0.79999971389770497</v>
          </cell>
          <cell r="F492" t="str">
            <v>m2</v>
          </cell>
          <cell r="G492">
            <v>50000</v>
          </cell>
          <cell r="H492">
            <v>0.4</v>
          </cell>
          <cell r="I492">
            <v>0.39999985694885298</v>
          </cell>
          <cell r="J492" t="str">
            <v>ĐG 01.02.2025</v>
          </cell>
        </row>
        <row r="493">
          <cell r="B493" t="str">
            <v>Bode35vmd</v>
          </cell>
          <cell r="C493" t="str">
            <v>Cây Bồ đề vượt mật độ</v>
          </cell>
          <cell r="D493" t="str">
            <v>3cm ≤ đk gốc &lt; 5cm</v>
          </cell>
          <cell r="E493">
            <v>0.39999985694885298</v>
          </cell>
          <cell r="F493" t="str">
            <v>cây</v>
          </cell>
          <cell r="G493">
            <v>80000</v>
          </cell>
          <cell r="H493">
            <v>0.4</v>
          </cell>
          <cell r="I493">
            <v>0.39999985694885298</v>
          </cell>
          <cell r="J493" t="str">
            <v>ĐG 01.02.2025</v>
          </cell>
        </row>
        <row r="494">
          <cell r="B494" t="str">
            <v>Bode57vmd</v>
          </cell>
          <cell r="C494" t="str">
            <v>Cây Bồ đề vượt mật độ</v>
          </cell>
          <cell r="D494" t="str">
            <v>5cm ≤ đk gốc &lt; 7cm</v>
          </cell>
          <cell r="E494">
            <v>0.39999985694885298</v>
          </cell>
          <cell r="F494" t="str">
            <v>cây</v>
          </cell>
          <cell r="G494">
            <v>100000</v>
          </cell>
          <cell r="H494">
            <v>0.4</v>
          </cell>
          <cell r="I494">
            <v>0.39999985694885298</v>
          </cell>
          <cell r="J494" t="str">
            <v>ĐG 01.02.2025</v>
          </cell>
        </row>
        <row r="495">
          <cell r="B495" t="str">
            <v>Bode710vmd</v>
          </cell>
          <cell r="C495" t="str">
            <v>Cây Bồ đề vượt mật độ</v>
          </cell>
          <cell r="D495" t="str">
            <v>7cm ≤ đk gốc &lt; 10cm</v>
          </cell>
          <cell r="E495">
            <v>0.39999985694885298</v>
          </cell>
          <cell r="F495" t="str">
            <v>cây</v>
          </cell>
          <cell r="G495">
            <v>130000</v>
          </cell>
          <cell r="H495">
            <v>0.4</v>
          </cell>
          <cell r="I495">
            <v>0.39999985694885298</v>
          </cell>
          <cell r="J495" t="str">
            <v>ĐG 01.02.2025</v>
          </cell>
        </row>
        <row r="496">
          <cell r="B496" t="str">
            <v>Bode1015vmd</v>
          </cell>
          <cell r="C496" t="str">
            <v>Cây Bồ đề vượt mật độ</v>
          </cell>
          <cell r="D496" t="str">
            <v>10cm ≤ đk gốc &lt; 15cm</v>
          </cell>
          <cell r="E496">
            <v>0.39999985694885298</v>
          </cell>
          <cell r="F496" t="str">
            <v>cây</v>
          </cell>
          <cell r="G496">
            <v>280000</v>
          </cell>
          <cell r="H496">
            <v>0.4</v>
          </cell>
          <cell r="I496">
            <v>0.39999985694885298</v>
          </cell>
          <cell r="J496" t="str">
            <v>ĐG 01.02.2025</v>
          </cell>
        </row>
        <row r="497">
          <cell r="B497" t="str">
            <v>Bode15+vmd</v>
          </cell>
          <cell r="C497" t="str">
            <v>Cây Bồ đề vượt mật độ</v>
          </cell>
          <cell r="D497" t="str">
            <v>đk gốc từ 15cm trở lên</v>
          </cell>
          <cell r="E497">
            <v>0.39999985694885298</v>
          </cell>
          <cell r="F497" t="str">
            <v>cây</v>
          </cell>
          <cell r="G497">
            <v>400000</v>
          </cell>
          <cell r="H497">
            <v>0.4</v>
          </cell>
          <cell r="I497">
            <v>0.39999985694885298</v>
          </cell>
          <cell r="J497" t="str">
            <v>ĐG 01.02.2025</v>
          </cell>
        </row>
        <row r="498">
          <cell r="B498">
            <v>0.39999985694885298</v>
          </cell>
          <cell r="C498" t="str">
            <v>Cây Đại</v>
          </cell>
          <cell r="D498">
            <v>0.39999985694885298</v>
          </cell>
          <cell r="E498">
            <v>0.39999985694885298</v>
          </cell>
          <cell r="F498">
            <v>0.39999985694885298</v>
          </cell>
          <cell r="G498">
            <v>0.39999985694885298</v>
          </cell>
          <cell r="H498">
            <v>0.39999985694885298</v>
          </cell>
          <cell r="I498">
            <v>0.39999985694885298</v>
          </cell>
        </row>
        <row r="499">
          <cell r="B499" t="str">
            <v>Đại01</v>
          </cell>
          <cell r="C499" t="str">
            <v>Cây Đại</v>
          </cell>
          <cell r="D499" t="str">
            <v>cây giống</v>
          </cell>
          <cell r="E499">
            <v>0.39999985694885298</v>
          </cell>
          <cell r="F499" t="str">
            <v>m2</v>
          </cell>
          <cell r="G499">
            <v>50000</v>
          </cell>
          <cell r="H499">
            <v>0.8</v>
          </cell>
          <cell r="I499">
            <v>0.79999971389770497</v>
          </cell>
          <cell r="J499" t="str">
            <v>ĐG 01.02.2025</v>
          </cell>
        </row>
        <row r="500">
          <cell r="B500" t="str">
            <v>Đại35</v>
          </cell>
          <cell r="C500" t="str">
            <v>Cây Đại</v>
          </cell>
          <cell r="D500" t="str">
            <v>3cm ≤ đk gốc &lt; 5cm</v>
          </cell>
          <cell r="E500">
            <v>0.79999971389770497</v>
          </cell>
          <cell r="F500" t="str">
            <v>cây</v>
          </cell>
          <cell r="G500">
            <v>80000</v>
          </cell>
          <cell r="H500">
            <v>0.8</v>
          </cell>
          <cell r="I500">
            <v>0.79999971389770497</v>
          </cell>
          <cell r="J500" t="str">
            <v>ĐG 01.02.2025</v>
          </cell>
        </row>
        <row r="501">
          <cell r="B501" t="str">
            <v>Đại57</v>
          </cell>
          <cell r="C501" t="str">
            <v>Cây Đại</v>
          </cell>
          <cell r="D501" t="str">
            <v>5cm ≤ đk gốc &lt; 7cm</v>
          </cell>
          <cell r="E501">
            <v>0.79999971389770497</v>
          </cell>
          <cell r="F501" t="str">
            <v>cây</v>
          </cell>
          <cell r="G501">
            <v>100000</v>
          </cell>
          <cell r="H501">
            <v>0.8</v>
          </cell>
          <cell r="I501">
            <v>0.79999971389770497</v>
          </cell>
          <cell r="J501" t="str">
            <v>ĐG 01.02.2025</v>
          </cell>
        </row>
        <row r="502">
          <cell r="B502" t="str">
            <v>Đại710</v>
          </cell>
          <cell r="C502" t="str">
            <v>Cây Đại</v>
          </cell>
          <cell r="D502" t="str">
            <v>7cm ≤ đk gốc &lt; 10cm</v>
          </cell>
          <cell r="E502">
            <v>0.79999971389770497</v>
          </cell>
          <cell r="F502" t="str">
            <v>cây</v>
          </cell>
          <cell r="G502">
            <v>130000</v>
          </cell>
          <cell r="H502">
            <v>0.8</v>
          </cell>
          <cell r="I502">
            <v>0.79999971389770497</v>
          </cell>
          <cell r="J502" t="str">
            <v>ĐG 01.02.2025</v>
          </cell>
        </row>
        <row r="503">
          <cell r="B503" t="str">
            <v>Đại1015</v>
          </cell>
          <cell r="C503" t="str">
            <v>Cây Đại</v>
          </cell>
          <cell r="D503" t="str">
            <v>10cm ≤ đk gốc &lt; 15cm</v>
          </cell>
          <cell r="E503">
            <v>0.79999971389770497</v>
          </cell>
          <cell r="F503" t="str">
            <v>cây</v>
          </cell>
          <cell r="G503">
            <v>280000</v>
          </cell>
          <cell r="H503">
            <v>0.8</v>
          </cell>
          <cell r="I503">
            <v>0.79999971389770497</v>
          </cell>
          <cell r="J503" t="str">
            <v>ĐG 01.02.2025</v>
          </cell>
        </row>
        <row r="504">
          <cell r="B504" t="str">
            <v>Đại15+</v>
          </cell>
          <cell r="C504" t="str">
            <v>Cây Đại</v>
          </cell>
          <cell r="D504" t="str">
            <v>đk gốc từ 15cm trở lên</v>
          </cell>
          <cell r="E504">
            <v>0.79999971389770497</v>
          </cell>
          <cell r="F504" t="str">
            <v>cây</v>
          </cell>
          <cell r="G504">
            <v>400000</v>
          </cell>
          <cell r="H504">
            <v>0.8</v>
          </cell>
          <cell r="I504">
            <v>0.79999971389770497</v>
          </cell>
          <cell r="J504" t="str">
            <v>ĐG 01.02.2025</v>
          </cell>
        </row>
        <row r="505">
          <cell r="B505" t="str">
            <v>Đại01vmd</v>
          </cell>
          <cell r="C505" t="str">
            <v>Cây Đại vượt mật độ</v>
          </cell>
          <cell r="D505" t="str">
            <v>cây giống</v>
          </cell>
          <cell r="E505">
            <v>0.79999971389770497</v>
          </cell>
          <cell r="F505" t="str">
            <v>m2</v>
          </cell>
          <cell r="G505">
            <v>50000</v>
          </cell>
          <cell r="H505">
            <v>0.4</v>
          </cell>
          <cell r="I505">
            <v>0.39999985694885298</v>
          </cell>
          <cell r="J505" t="str">
            <v>ĐG 01.02.2025</v>
          </cell>
        </row>
        <row r="506">
          <cell r="B506" t="str">
            <v>Đại35vmd</v>
          </cell>
          <cell r="C506" t="str">
            <v>Cây Đại vượt mật độ</v>
          </cell>
          <cell r="D506" t="str">
            <v>3cm ≤ đk gốc &lt; 5cm</v>
          </cell>
          <cell r="E506">
            <v>0.39999985694885298</v>
          </cell>
          <cell r="F506" t="str">
            <v>cây</v>
          </cell>
          <cell r="G506">
            <v>80000</v>
          </cell>
          <cell r="H506">
            <v>0.4</v>
          </cell>
          <cell r="I506">
            <v>0.39999985694885298</v>
          </cell>
          <cell r="J506" t="str">
            <v>ĐG 01.02.2025</v>
          </cell>
        </row>
        <row r="507">
          <cell r="B507" t="str">
            <v>Đại57vmd</v>
          </cell>
          <cell r="C507" t="str">
            <v>Cây Đại vượt mật độ</v>
          </cell>
          <cell r="D507" t="str">
            <v>5cm ≤ đk gốc &lt; 7cm</v>
          </cell>
          <cell r="E507">
            <v>0.39999985694885298</v>
          </cell>
          <cell r="F507" t="str">
            <v>cây</v>
          </cell>
          <cell r="G507">
            <v>100000</v>
          </cell>
          <cell r="H507">
            <v>0.4</v>
          </cell>
          <cell r="I507">
            <v>0.39999985694885298</v>
          </cell>
          <cell r="J507" t="str">
            <v>ĐG 01.02.2025</v>
          </cell>
        </row>
        <row r="508">
          <cell r="B508" t="str">
            <v>Đại710vmd</v>
          </cell>
          <cell r="C508" t="str">
            <v>Cây Đại vượt mật độ</v>
          </cell>
          <cell r="D508" t="str">
            <v>7cm ≤ đk gốc &lt; 10cm</v>
          </cell>
          <cell r="E508">
            <v>0.39999985694885298</v>
          </cell>
          <cell r="F508" t="str">
            <v>cây</v>
          </cell>
          <cell r="G508">
            <v>130000</v>
          </cell>
          <cell r="H508">
            <v>0.4</v>
          </cell>
          <cell r="I508">
            <v>0.39999985694885298</v>
          </cell>
          <cell r="J508" t="str">
            <v>ĐG 01.02.2025</v>
          </cell>
        </row>
        <row r="509">
          <cell r="B509" t="str">
            <v>Đại1015vmd</v>
          </cell>
          <cell r="C509" t="str">
            <v>Cây Đại vượt mật độ</v>
          </cell>
          <cell r="D509" t="str">
            <v>10cm ≤ đk gốc &lt; 15cm</v>
          </cell>
          <cell r="E509">
            <v>0.39999985694885298</v>
          </cell>
          <cell r="F509" t="str">
            <v>cây</v>
          </cell>
          <cell r="G509">
            <v>280000</v>
          </cell>
          <cell r="H509">
            <v>0.4</v>
          </cell>
          <cell r="I509">
            <v>0.39999985694885298</v>
          </cell>
          <cell r="J509" t="str">
            <v>ĐG 01.02.2025</v>
          </cell>
        </row>
        <row r="510">
          <cell r="B510" t="str">
            <v>Đại15+vmd</v>
          </cell>
          <cell r="C510" t="str">
            <v>Cây Đại vượt mật độ</v>
          </cell>
          <cell r="D510" t="str">
            <v>đk gốc từ 15cm trở lên</v>
          </cell>
          <cell r="E510">
            <v>0.39999985694885298</v>
          </cell>
          <cell r="F510" t="str">
            <v>cây</v>
          </cell>
          <cell r="G510">
            <v>400000</v>
          </cell>
          <cell r="H510">
            <v>0.4</v>
          </cell>
          <cell r="I510">
            <v>0.39999985694885298</v>
          </cell>
          <cell r="J510" t="str">
            <v>ĐG 01.02.2025</v>
          </cell>
        </row>
        <row r="511">
          <cell r="B511">
            <v>0.39999985694885298</v>
          </cell>
          <cell r="C511" t="str">
            <v>Cây Vàng anh</v>
          </cell>
          <cell r="D511">
            <v>0.39999985694885298</v>
          </cell>
          <cell r="E511">
            <v>0.39999985694885298</v>
          </cell>
          <cell r="F511">
            <v>0.39999985694885298</v>
          </cell>
          <cell r="G511">
            <v>0.39999985694885298</v>
          </cell>
          <cell r="H511">
            <v>0.39999985694885298</v>
          </cell>
          <cell r="I511">
            <v>0.39999985694885298</v>
          </cell>
        </row>
        <row r="512">
          <cell r="B512" t="str">
            <v>Vàng anh05</v>
          </cell>
          <cell r="C512" t="str">
            <v>Cây Vàng anh</v>
          </cell>
          <cell r="D512" t="str">
            <v>đk gốc &lt; 5cm</v>
          </cell>
          <cell r="E512">
            <v>0.39999985694885298</v>
          </cell>
          <cell r="F512" t="str">
            <v>cây</v>
          </cell>
          <cell r="G512">
            <v>80000</v>
          </cell>
          <cell r="H512">
            <v>0.8</v>
          </cell>
          <cell r="I512">
            <v>0.79999971389770497</v>
          </cell>
          <cell r="J512" t="str">
            <v>ĐG 01.02.2025</v>
          </cell>
        </row>
        <row r="513">
          <cell r="B513" t="str">
            <v>Vàng anh57</v>
          </cell>
          <cell r="C513" t="str">
            <v>Cây Vàng anh</v>
          </cell>
          <cell r="D513" t="str">
            <v>5cm ≤ đk gốc &lt; 7cm</v>
          </cell>
          <cell r="E513">
            <v>0.79999971389770497</v>
          </cell>
          <cell r="F513" t="str">
            <v>cây</v>
          </cell>
          <cell r="G513">
            <v>100000</v>
          </cell>
          <cell r="H513">
            <v>0.8</v>
          </cell>
          <cell r="I513">
            <v>0.79999971389770497</v>
          </cell>
          <cell r="J513" t="str">
            <v>ĐG 01.02.2025</v>
          </cell>
        </row>
        <row r="514">
          <cell r="B514" t="str">
            <v>Vàng anh710</v>
          </cell>
          <cell r="C514" t="str">
            <v>Cây Vàng anh</v>
          </cell>
          <cell r="D514" t="str">
            <v>7cm ≤ đk gốc &lt; 10cm</v>
          </cell>
          <cell r="E514">
            <v>0.79999971389770497</v>
          </cell>
          <cell r="F514" t="str">
            <v>cây</v>
          </cell>
          <cell r="G514">
            <v>160000</v>
          </cell>
          <cell r="H514">
            <v>0.8</v>
          </cell>
          <cell r="I514">
            <v>0.79999971389770497</v>
          </cell>
          <cell r="J514" t="str">
            <v>ĐG 01.02.2025</v>
          </cell>
        </row>
        <row r="515">
          <cell r="B515" t="str">
            <v>Vàng anh1015</v>
          </cell>
          <cell r="C515" t="str">
            <v>Cây Vàng anh</v>
          </cell>
          <cell r="D515" t="str">
            <v>10cm ≤ đk gốc &lt; 15cm</v>
          </cell>
          <cell r="E515">
            <v>0.79999971389770497</v>
          </cell>
          <cell r="F515" t="str">
            <v>cây</v>
          </cell>
          <cell r="G515">
            <v>280000</v>
          </cell>
          <cell r="H515">
            <v>0.8</v>
          </cell>
          <cell r="I515">
            <v>0.79999971389770497</v>
          </cell>
          <cell r="J515" t="str">
            <v>ĐG 01.02.2025</v>
          </cell>
        </row>
        <row r="516">
          <cell r="B516" t="str">
            <v>Vàng anh1520</v>
          </cell>
          <cell r="C516" t="str">
            <v>Cây Vàng anh</v>
          </cell>
          <cell r="D516" t="str">
            <v>15cm ≤ đk gốc &lt; 20cm</v>
          </cell>
          <cell r="E516">
            <v>0.79999971389770497</v>
          </cell>
          <cell r="F516" t="str">
            <v>cây</v>
          </cell>
          <cell r="G516">
            <v>400000</v>
          </cell>
          <cell r="H516">
            <v>0.8</v>
          </cell>
          <cell r="I516">
            <v>0.79999971389770497</v>
          </cell>
          <cell r="J516" t="str">
            <v>ĐG 01.02.2025</v>
          </cell>
        </row>
        <row r="517">
          <cell r="B517" t="str">
            <v>Vàng anh20+</v>
          </cell>
          <cell r="C517" t="str">
            <v>Cây Vàng anh</v>
          </cell>
          <cell r="D517" t="str">
            <v>đk gốc từ 15cm trở lên</v>
          </cell>
          <cell r="E517">
            <v>0.79999971389770497</v>
          </cell>
          <cell r="F517" t="str">
            <v>cây</v>
          </cell>
          <cell r="G517">
            <v>520000</v>
          </cell>
          <cell r="H517">
            <v>0.8</v>
          </cell>
          <cell r="I517">
            <v>0.79999971389770497</v>
          </cell>
          <cell r="J517" t="str">
            <v>ĐG 01.02.2025</v>
          </cell>
        </row>
        <row r="518">
          <cell r="B518" t="str">
            <v>Vàng anh05vmd</v>
          </cell>
          <cell r="C518" t="str">
            <v>Cây Vàng anh vượt mật độ</v>
          </cell>
          <cell r="D518" t="str">
            <v>đk gốc &lt; 5cm</v>
          </cell>
          <cell r="E518">
            <v>0.79999971389770497</v>
          </cell>
          <cell r="F518" t="str">
            <v>cây</v>
          </cell>
          <cell r="G518">
            <v>80000</v>
          </cell>
          <cell r="H518">
            <v>0.8</v>
          </cell>
          <cell r="I518">
            <v>0.79999971389770497</v>
          </cell>
          <cell r="J518" t="str">
            <v>ĐG 01.02.2025</v>
          </cell>
        </row>
        <row r="519">
          <cell r="B519" t="str">
            <v>Vàng anh57vmd</v>
          </cell>
          <cell r="C519" t="str">
            <v>Cây Vàng anh vượt mật độ</v>
          </cell>
          <cell r="D519" t="str">
            <v>5cm ≤ đk gốc &lt; 7cm</v>
          </cell>
          <cell r="E519">
            <v>0.79999971389770497</v>
          </cell>
          <cell r="F519" t="str">
            <v>cây</v>
          </cell>
          <cell r="G519">
            <v>100000</v>
          </cell>
          <cell r="H519">
            <v>0.8</v>
          </cell>
          <cell r="I519">
            <v>0.79999971389770497</v>
          </cell>
          <cell r="J519" t="str">
            <v>ĐG 01.02.2025</v>
          </cell>
        </row>
        <row r="520">
          <cell r="B520" t="str">
            <v>Vàng anh710vmd</v>
          </cell>
          <cell r="C520" t="str">
            <v>Cây Vàng anh vượt mật độ</v>
          </cell>
          <cell r="D520" t="str">
            <v>7cm ≤ đk gốc &lt; 10cm</v>
          </cell>
          <cell r="E520">
            <v>0.79999971389770497</v>
          </cell>
          <cell r="F520" t="str">
            <v>cây</v>
          </cell>
          <cell r="G520">
            <v>160000</v>
          </cell>
          <cell r="H520">
            <v>0.8</v>
          </cell>
          <cell r="I520">
            <v>0.79999971389770497</v>
          </cell>
          <cell r="J520" t="str">
            <v>ĐG 01.02.2025</v>
          </cell>
        </row>
        <row r="521">
          <cell r="B521" t="str">
            <v>Vàng anh1015vmd</v>
          </cell>
          <cell r="C521" t="str">
            <v>Cây Vàng anh vượt mật độ</v>
          </cell>
          <cell r="D521" t="str">
            <v>10cm ≤ đk gốc &lt; 15cm</v>
          </cell>
          <cell r="E521">
            <v>0.79999971389770497</v>
          </cell>
          <cell r="F521" t="str">
            <v>cây</v>
          </cell>
          <cell r="G521">
            <v>280000</v>
          </cell>
          <cell r="H521">
            <v>0.8</v>
          </cell>
          <cell r="I521">
            <v>0.79999971389770497</v>
          </cell>
          <cell r="J521" t="str">
            <v>ĐG 01.02.2025</v>
          </cell>
        </row>
        <row r="522">
          <cell r="B522" t="str">
            <v>Vàng anh1520vmd</v>
          </cell>
          <cell r="C522" t="str">
            <v>Cây Vàng anh vượt mật độ</v>
          </cell>
          <cell r="D522" t="str">
            <v>15cm ≤ đk gốc &lt; 20cm</v>
          </cell>
          <cell r="E522">
            <v>0.79999971389770497</v>
          </cell>
          <cell r="F522" t="str">
            <v>cây</v>
          </cell>
          <cell r="G522">
            <v>400000</v>
          </cell>
          <cell r="H522">
            <v>0.8</v>
          </cell>
          <cell r="I522">
            <v>0.79999971389770497</v>
          </cell>
          <cell r="J522" t="str">
            <v>ĐG 01.02.2025</v>
          </cell>
        </row>
        <row r="523">
          <cell r="B523" t="str">
            <v>Vàng anh20+vmd</v>
          </cell>
          <cell r="C523" t="str">
            <v>Cây Vàng anh vượt mật độ</v>
          </cell>
          <cell r="D523" t="str">
            <v>đk gốc từ 15cm trở lên</v>
          </cell>
          <cell r="E523">
            <v>0.79999971389770497</v>
          </cell>
          <cell r="F523" t="str">
            <v>cây</v>
          </cell>
          <cell r="G523">
            <v>520000</v>
          </cell>
          <cell r="H523">
            <v>0.8</v>
          </cell>
          <cell r="I523">
            <v>0.79999971389770497</v>
          </cell>
          <cell r="J523" t="str">
            <v>ĐG 01.02.2025</v>
          </cell>
        </row>
        <row r="524">
          <cell r="B524">
            <v>0.79999971389770497</v>
          </cell>
          <cell r="C524" t="str">
            <v>Cây Táo</v>
          </cell>
          <cell r="D524">
            <v>0.79999971389770497</v>
          </cell>
          <cell r="E524">
            <v>0.79999971389770497</v>
          </cell>
          <cell r="F524">
            <v>0.79999971389770497</v>
          </cell>
          <cell r="G524">
            <v>0.79999971389770497</v>
          </cell>
          <cell r="H524">
            <v>0.79999971389770497</v>
          </cell>
          <cell r="I524">
            <v>0.79999971389770497</v>
          </cell>
        </row>
        <row r="525">
          <cell r="B525" t="str">
            <v>Táo01</v>
          </cell>
          <cell r="C525" t="str">
            <v>Cây táo</v>
          </cell>
          <cell r="D525" t="str">
            <v>cây giống</v>
          </cell>
          <cell r="E525">
            <v>0.79999971389770497</v>
          </cell>
          <cell r="F525" t="str">
            <v>m2</v>
          </cell>
          <cell r="G525">
            <v>70000</v>
          </cell>
          <cell r="H525">
            <v>0.8</v>
          </cell>
          <cell r="I525">
            <v>0.79999971389770497</v>
          </cell>
          <cell r="J525" t="str">
            <v>ĐG 01.02.2025</v>
          </cell>
        </row>
        <row r="526">
          <cell r="B526" t="str">
            <v>Táo27</v>
          </cell>
          <cell r="C526" t="str">
            <v>Cây táo</v>
          </cell>
          <cell r="D526" t="str">
            <v>2cm ≤ đk gốc &lt; 7cm</v>
          </cell>
          <cell r="E526">
            <v>25</v>
          </cell>
          <cell r="F526" t="str">
            <v>cây</v>
          </cell>
          <cell r="G526">
            <v>130000</v>
          </cell>
          <cell r="H526">
            <v>0.8</v>
          </cell>
          <cell r="I526">
            <v>0.79999971389770497</v>
          </cell>
          <cell r="J526" t="str">
            <v>ĐG 01.02.2025</v>
          </cell>
        </row>
        <row r="527">
          <cell r="B527" t="str">
            <v>Táo712</v>
          </cell>
          <cell r="C527" t="str">
            <v>Cây táo</v>
          </cell>
          <cell r="D527" t="str">
            <v>7cm ≤ đk gốc &lt; 12cm</v>
          </cell>
          <cell r="E527">
            <v>25</v>
          </cell>
          <cell r="F527" t="str">
            <v>cây</v>
          </cell>
          <cell r="G527">
            <v>220000</v>
          </cell>
          <cell r="H527">
            <v>0.8</v>
          </cell>
          <cell r="I527">
            <v>0.79999971389770497</v>
          </cell>
          <cell r="J527" t="str">
            <v>ĐG 01.02.2025</v>
          </cell>
        </row>
        <row r="528">
          <cell r="B528" t="str">
            <v>Táo1220</v>
          </cell>
          <cell r="C528" t="str">
            <v>Cây táo</v>
          </cell>
          <cell r="D528" t="str">
            <v>12cm ≤ đk gốc &lt; 20cm</v>
          </cell>
          <cell r="E528">
            <v>25</v>
          </cell>
          <cell r="F528" t="str">
            <v>cây</v>
          </cell>
          <cell r="G528">
            <v>330000</v>
          </cell>
          <cell r="H528">
            <v>0.8</v>
          </cell>
          <cell r="I528">
            <v>0.79999971389770497</v>
          </cell>
          <cell r="J528" t="str">
            <v>ĐG 01.02.2025</v>
          </cell>
        </row>
        <row r="529">
          <cell r="B529" t="str">
            <v>Táo2030</v>
          </cell>
          <cell r="C529" t="str">
            <v>Cây táo</v>
          </cell>
          <cell r="D529" t="str">
            <v>20cm ≤ đk gốc &lt; 30cm</v>
          </cell>
          <cell r="E529">
            <v>25</v>
          </cell>
          <cell r="F529" t="str">
            <v>cây</v>
          </cell>
          <cell r="G529">
            <v>360000</v>
          </cell>
          <cell r="H529">
            <v>0.8</v>
          </cell>
          <cell r="I529">
            <v>0.79999971389770497</v>
          </cell>
          <cell r="J529" t="str">
            <v>ĐG 01.02.2025</v>
          </cell>
        </row>
        <row r="530">
          <cell r="B530" t="str">
            <v>Táo30+</v>
          </cell>
          <cell r="C530" t="str">
            <v>Cây táo</v>
          </cell>
          <cell r="D530" t="str">
            <v>đk gốc từ 30cm trở lên</v>
          </cell>
          <cell r="E530">
            <v>25</v>
          </cell>
          <cell r="F530" t="str">
            <v>cây</v>
          </cell>
          <cell r="G530">
            <v>500000</v>
          </cell>
          <cell r="H530">
            <v>0.8</v>
          </cell>
          <cell r="I530">
            <v>0.79999971389770497</v>
          </cell>
          <cell r="J530" t="str">
            <v>ĐG 01.02.2025</v>
          </cell>
        </row>
        <row r="531">
          <cell r="B531" t="str">
            <v>Táo01vmd</v>
          </cell>
          <cell r="C531" t="str">
            <v>Cây táo vượt mật độ</v>
          </cell>
          <cell r="D531" t="str">
            <v>cây giống</v>
          </cell>
          <cell r="E531">
            <v>0.79999971389770497</v>
          </cell>
          <cell r="F531" t="str">
            <v>m2</v>
          </cell>
          <cell r="G531">
            <v>70000</v>
          </cell>
          <cell r="H531">
            <v>0.4</v>
          </cell>
          <cell r="I531">
            <v>0.39999985694885298</v>
          </cell>
          <cell r="J531" t="str">
            <v>ĐG 01.02.2025</v>
          </cell>
        </row>
        <row r="532">
          <cell r="B532" t="str">
            <v>Táo27vmd</v>
          </cell>
          <cell r="C532" t="str">
            <v>Cây táo vượt mật độ</v>
          </cell>
          <cell r="D532" t="str">
            <v>2cm ≤ đk gốc &lt; 7cm</v>
          </cell>
          <cell r="E532">
            <v>25</v>
          </cell>
          <cell r="F532" t="str">
            <v>cây</v>
          </cell>
          <cell r="G532">
            <v>130000</v>
          </cell>
          <cell r="H532">
            <v>0.4</v>
          </cell>
          <cell r="I532">
            <v>0.39999985694885298</v>
          </cell>
          <cell r="J532" t="str">
            <v>ĐG 01.02.2025</v>
          </cell>
        </row>
        <row r="533">
          <cell r="B533" t="str">
            <v>Táo712vmd</v>
          </cell>
          <cell r="C533" t="str">
            <v>Cây táo vượt mật độ</v>
          </cell>
          <cell r="D533" t="str">
            <v>7cm ≤ đk gốc &lt; 12cm</v>
          </cell>
          <cell r="E533">
            <v>25</v>
          </cell>
          <cell r="F533" t="str">
            <v>cây</v>
          </cell>
          <cell r="G533">
            <v>220000</v>
          </cell>
          <cell r="H533">
            <v>0.4</v>
          </cell>
          <cell r="I533">
            <v>0.39999985694885298</v>
          </cell>
          <cell r="J533" t="str">
            <v>ĐG 01.02.2025</v>
          </cell>
        </row>
        <row r="534">
          <cell r="B534" t="str">
            <v>Táo1220vmd</v>
          </cell>
          <cell r="C534" t="str">
            <v>Cây táo vượt mật độ</v>
          </cell>
          <cell r="D534" t="str">
            <v>12cm ≤ đk gốc &lt; 20cm</v>
          </cell>
          <cell r="E534">
            <v>25</v>
          </cell>
          <cell r="F534" t="str">
            <v>cây</v>
          </cell>
          <cell r="G534">
            <v>330000</v>
          </cell>
          <cell r="H534">
            <v>0.4</v>
          </cell>
          <cell r="I534">
            <v>0.39999985694885298</v>
          </cell>
          <cell r="J534" t="str">
            <v>ĐG 01.02.2025</v>
          </cell>
        </row>
        <row r="535">
          <cell r="B535" t="str">
            <v>Táo2030vmd</v>
          </cell>
          <cell r="C535" t="str">
            <v>Cây táo vượt mật độ</v>
          </cell>
          <cell r="D535" t="str">
            <v>20cm ≤ đk gốc &lt; 30cm</v>
          </cell>
          <cell r="E535">
            <v>25</v>
          </cell>
          <cell r="F535" t="str">
            <v>cây</v>
          </cell>
          <cell r="G535">
            <v>360000</v>
          </cell>
          <cell r="H535">
            <v>0.4</v>
          </cell>
          <cell r="I535">
            <v>0.39999985694885298</v>
          </cell>
          <cell r="J535" t="str">
            <v>ĐG 01.02.2025</v>
          </cell>
        </row>
        <row r="536">
          <cell r="B536" t="str">
            <v>Táo30+vmd</v>
          </cell>
          <cell r="C536" t="str">
            <v>Cây táo vượt mật độ</v>
          </cell>
          <cell r="D536" t="str">
            <v>đk gốc từ 30cm trở lên</v>
          </cell>
          <cell r="E536">
            <v>25</v>
          </cell>
          <cell r="F536" t="str">
            <v>cây</v>
          </cell>
          <cell r="G536">
            <v>500000</v>
          </cell>
          <cell r="H536">
            <v>0.4</v>
          </cell>
          <cell r="I536">
            <v>0.39999985694885298</v>
          </cell>
          <cell r="J536" t="str">
            <v>ĐG 01.02.2025</v>
          </cell>
        </row>
        <row r="537">
          <cell r="B537">
            <v>0.39999985694885298</v>
          </cell>
          <cell r="C537" t="str">
            <v>Cây Me</v>
          </cell>
          <cell r="D537">
            <v>0.39999985694885298</v>
          </cell>
          <cell r="E537">
            <v>0.39999985694885298</v>
          </cell>
          <cell r="F537">
            <v>0.39999985694885298</v>
          </cell>
          <cell r="G537">
            <v>0.39999985694885298</v>
          </cell>
          <cell r="H537">
            <v>0.39999985694885298</v>
          </cell>
          <cell r="I537">
            <v>0.39999985694885298</v>
          </cell>
          <cell r="J537" t="str">
            <v>ĐG 30.12.2022</v>
          </cell>
        </row>
        <row r="538">
          <cell r="B538" t="str">
            <v>Me01</v>
          </cell>
          <cell r="C538" t="str">
            <v>Cây Me</v>
          </cell>
          <cell r="D538" t="str">
            <v>cây giống</v>
          </cell>
          <cell r="E538">
            <v>0.39999985694885298</v>
          </cell>
          <cell r="F538" t="str">
            <v>m2</v>
          </cell>
          <cell r="G538">
            <v>70000</v>
          </cell>
          <cell r="H538">
            <v>0.8</v>
          </cell>
          <cell r="I538">
            <v>0.79999971389770497</v>
          </cell>
          <cell r="J538" t="str">
            <v>ĐG 30.12.2022</v>
          </cell>
        </row>
        <row r="539">
          <cell r="B539" t="str">
            <v>Me27</v>
          </cell>
          <cell r="C539" t="str">
            <v>Cây Me</v>
          </cell>
          <cell r="D539" t="str">
            <v>2cm ≤ đk gốc &lt; 7cm</v>
          </cell>
          <cell r="E539">
            <v>5</v>
          </cell>
          <cell r="F539" t="str">
            <v>cây</v>
          </cell>
          <cell r="G539">
            <v>130000</v>
          </cell>
          <cell r="H539">
            <v>0.8</v>
          </cell>
          <cell r="I539">
            <v>0.79999971389770497</v>
          </cell>
          <cell r="J539" t="str">
            <v>ĐG 30.12.2022</v>
          </cell>
        </row>
        <row r="540">
          <cell r="B540" t="str">
            <v>Me712</v>
          </cell>
          <cell r="C540" t="str">
            <v>Cây Me</v>
          </cell>
          <cell r="D540" t="str">
            <v>7cm ≤ đk gốc &lt; 12cm</v>
          </cell>
          <cell r="E540">
            <v>6.6666666666666696</v>
          </cell>
          <cell r="F540" t="str">
            <v>cây</v>
          </cell>
          <cell r="G540">
            <v>220000</v>
          </cell>
          <cell r="H540">
            <v>0.8</v>
          </cell>
          <cell r="I540">
            <v>0.79999971389770497</v>
          </cell>
          <cell r="J540" t="str">
            <v>ĐG 30.12.2022</v>
          </cell>
        </row>
        <row r="541">
          <cell r="B541" t="str">
            <v>Me1220</v>
          </cell>
          <cell r="C541" t="str">
            <v>Cây Me</v>
          </cell>
          <cell r="D541" t="str">
            <v>12cm ≤ đk gốc &lt; 20cm</v>
          </cell>
          <cell r="E541">
            <v>8.3720930232558093</v>
          </cell>
          <cell r="F541" t="str">
            <v>cây</v>
          </cell>
          <cell r="G541">
            <v>330000</v>
          </cell>
          <cell r="H541">
            <v>0.8</v>
          </cell>
          <cell r="I541">
            <v>0.79999971389770497</v>
          </cell>
          <cell r="J541" t="str">
            <v>ĐG 30.12.2022</v>
          </cell>
        </row>
        <row r="542">
          <cell r="B542" t="str">
            <v>Me2030</v>
          </cell>
          <cell r="C542" t="str">
            <v>Cây Me</v>
          </cell>
          <cell r="D542" t="str">
            <v>20cm ≤ đk gốc &lt; 30cm</v>
          </cell>
          <cell r="E542">
            <v>8.3720930232558093</v>
          </cell>
          <cell r="F542" t="str">
            <v>cây</v>
          </cell>
          <cell r="G542">
            <v>360000</v>
          </cell>
          <cell r="H542">
            <v>0.8</v>
          </cell>
          <cell r="I542">
            <v>0.79999971389770497</v>
          </cell>
          <cell r="J542" t="str">
            <v>ĐG 30.12.2022</v>
          </cell>
        </row>
        <row r="543">
          <cell r="B543" t="str">
            <v>Me30+</v>
          </cell>
          <cell r="C543" t="str">
            <v>Cây Me</v>
          </cell>
          <cell r="D543" t="str">
            <v>đk gốc từ 30cm trở lên</v>
          </cell>
          <cell r="E543">
            <v>11.25</v>
          </cell>
          <cell r="F543" t="str">
            <v>cây</v>
          </cell>
          <cell r="G543">
            <v>500000</v>
          </cell>
          <cell r="H543">
            <v>0.8</v>
          </cell>
          <cell r="I543">
            <v>0.79999971389770497</v>
          </cell>
          <cell r="J543" t="str">
            <v>ĐG 30.12.2022</v>
          </cell>
        </row>
        <row r="544">
          <cell r="B544" t="str">
            <v>Me01vmd</v>
          </cell>
          <cell r="C544" t="str">
            <v>Cây Me vượt mật độ</v>
          </cell>
          <cell r="D544" t="str">
            <v>cây giống</v>
          </cell>
          <cell r="E544">
            <v>0.79999971389770497</v>
          </cell>
          <cell r="F544" t="str">
            <v>m2</v>
          </cell>
          <cell r="G544">
            <v>70000</v>
          </cell>
          <cell r="H544">
            <v>0.4</v>
          </cell>
          <cell r="I544">
            <v>0.39999985694885298</v>
          </cell>
          <cell r="J544" t="str">
            <v>ĐG 30.12.2022</v>
          </cell>
        </row>
        <row r="545">
          <cell r="B545" t="str">
            <v>Me27vmd</v>
          </cell>
          <cell r="C545" t="str">
            <v>Cây Me vượt mật độ</v>
          </cell>
          <cell r="D545" t="str">
            <v>2cm ≤ đk gốc &lt; 7cm</v>
          </cell>
          <cell r="E545">
            <v>5</v>
          </cell>
          <cell r="F545" t="str">
            <v>cây</v>
          </cell>
          <cell r="G545">
            <v>130000</v>
          </cell>
          <cell r="H545">
            <v>0.4</v>
          </cell>
          <cell r="I545">
            <v>0.39999985694885298</v>
          </cell>
          <cell r="J545" t="str">
            <v>ĐG 30.12.2022</v>
          </cell>
        </row>
        <row r="546">
          <cell r="B546" t="str">
            <v>Me712vmd</v>
          </cell>
          <cell r="C546" t="str">
            <v>Cây Me vượt mật độ</v>
          </cell>
          <cell r="D546" t="str">
            <v>7cm ≤ đk gốc &lt; 12cm</v>
          </cell>
          <cell r="E546">
            <v>6.6666666666666696</v>
          </cell>
          <cell r="F546" t="str">
            <v>cây</v>
          </cell>
          <cell r="G546">
            <v>220000</v>
          </cell>
          <cell r="H546">
            <v>0.4</v>
          </cell>
          <cell r="I546">
            <v>0.39999985694885298</v>
          </cell>
          <cell r="J546" t="str">
            <v>ĐG 30.12.2022</v>
          </cell>
        </row>
        <row r="547">
          <cell r="B547" t="str">
            <v>Me1220vmd</v>
          </cell>
          <cell r="C547" t="str">
            <v>Cây Me vượt mật độ</v>
          </cell>
          <cell r="D547" t="str">
            <v>12cm ≤ đk gốc &lt; 20cm</v>
          </cell>
          <cell r="E547">
            <v>8.3720930232558093</v>
          </cell>
          <cell r="F547" t="str">
            <v>cây</v>
          </cell>
          <cell r="G547">
            <v>330000</v>
          </cell>
          <cell r="H547">
            <v>0.4</v>
          </cell>
          <cell r="I547">
            <v>0.39999985694885298</v>
          </cell>
          <cell r="J547" t="str">
            <v>ĐG 30.12.2022</v>
          </cell>
        </row>
        <row r="548">
          <cell r="B548" t="str">
            <v>Me2030vmd</v>
          </cell>
          <cell r="C548" t="str">
            <v>Cây Me vượt mật độ</v>
          </cell>
          <cell r="D548" t="str">
            <v>20cm ≤ đk gốc &lt; 30cm</v>
          </cell>
          <cell r="E548">
            <v>8.3720930232558093</v>
          </cell>
          <cell r="F548" t="str">
            <v>cây</v>
          </cell>
          <cell r="G548">
            <v>360000</v>
          </cell>
          <cell r="H548">
            <v>0.4</v>
          </cell>
          <cell r="I548">
            <v>0.39999985694885298</v>
          </cell>
          <cell r="J548" t="str">
            <v>ĐG 30.12.2022</v>
          </cell>
        </row>
        <row r="549">
          <cell r="B549" t="str">
            <v>Me30+vmd</v>
          </cell>
          <cell r="C549" t="str">
            <v>Cây Me vượt mật độ</v>
          </cell>
          <cell r="D549" t="str">
            <v>đk gốc từ 30cm trở lên</v>
          </cell>
          <cell r="E549">
            <v>11.25</v>
          </cell>
          <cell r="F549" t="str">
            <v>cây</v>
          </cell>
          <cell r="G549">
            <v>500000</v>
          </cell>
          <cell r="H549">
            <v>0.4</v>
          </cell>
          <cell r="I549">
            <v>0.39999985694885298</v>
          </cell>
          <cell r="J549" t="str">
            <v>ĐG 30.12.2022</v>
          </cell>
        </row>
        <row r="550">
          <cell r="B550" t="str">
            <v>Me27#</v>
          </cell>
          <cell r="C550" t="str">
            <v>Cây Me trồng bờ ruộng</v>
          </cell>
          <cell r="D550" t="str">
            <v>2cm ≤ đk gốc &lt; 7cm</v>
          </cell>
          <cell r="E550">
            <v>5</v>
          </cell>
          <cell r="F550" t="str">
            <v>cây</v>
          </cell>
          <cell r="G550">
            <v>130000</v>
          </cell>
          <cell r="H550">
            <v>0.3</v>
          </cell>
          <cell r="I550">
            <v>0.29999995231628401</v>
          </cell>
          <cell r="J550" t="str">
            <v>ĐG 30.12.2022</v>
          </cell>
        </row>
        <row r="551">
          <cell r="B551">
            <v>0.29999995231628401</v>
          </cell>
          <cell r="C551" t="str">
            <v>Cây Xoài</v>
          </cell>
          <cell r="D551">
            <v>0.29999995231628401</v>
          </cell>
          <cell r="E551">
            <v>0.29999995231628401</v>
          </cell>
          <cell r="F551">
            <v>0.29999995231628401</v>
          </cell>
          <cell r="G551">
            <v>0.29999995231628401</v>
          </cell>
          <cell r="H551">
            <v>0.29999995231628401</v>
          </cell>
          <cell r="I551">
            <v>0.29999995231628401</v>
          </cell>
        </row>
        <row r="552">
          <cell r="B552" t="str">
            <v>Xoài01</v>
          </cell>
          <cell r="C552" t="str">
            <v>Cây xoài</v>
          </cell>
          <cell r="D552" t="str">
            <v>cây giống</v>
          </cell>
          <cell r="E552">
            <v>0.29999995231628401</v>
          </cell>
          <cell r="F552" t="str">
            <v>m2</v>
          </cell>
          <cell r="G552">
            <v>70000</v>
          </cell>
          <cell r="H552">
            <v>0.8</v>
          </cell>
          <cell r="I552">
            <v>0.79999971389770497</v>
          </cell>
          <cell r="J552" t="str">
            <v>ĐG 01.02.2025</v>
          </cell>
        </row>
        <row r="553">
          <cell r="B553" t="str">
            <v>Xoài27</v>
          </cell>
          <cell r="C553" t="str">
            <v>Cây xoài</v>
          </cell>
          <cell r="D553" t="str">
            <v>2cm ≤ đk gốc &lt; 7cm</v>
          </cell>
          <cell r="E553">
            <v>28.571428571428601</v>
          </cell>
          <cell r="F553" t="str">
            <v>cây</v>
          </cell>
          <cell r="G553">
            <v>180000</v>
          </cell>
          <cell r="H553">
            <v>0.8</v>
          </cell>
          <cell r="I553">
            <v>0.79999971389770497</v>
          </cell>
          <cell r="J553" t="str">
            <v>ĐG 01.02.2025</v>
          </cell>
        </row>
        <row r="554">
          <cell r="B554" t="str">
            <v>Xoài712</v>
          </cell>
          <cell r="C554" t="str">
            <v>Cây xoài</v>
          </cell>
          <cell r="D554" t="str">
            <v>7cm ≤ đk gốc &lt; 12cm</v>
          </cell>
          <cell r="E554">
            <v>28.571428571428601</v>
          </cell>
          <cell r="F554" t="str">
            <v>cây</v>
          </cell>
          <cell r="G554">
            <v>300000</v>
          </cell>
          <cell r="H554">
            <v>0.8</v>
          </cell>
          <cell r="I554">
            <v>0.79999971389770497</v>
          </cell>
          <cell r="J554" t="str">
            <v>ĐG 01.02.2025</v>
          </cell>
        </row>
        <row r="555">
          <cell r="B555" t="str">
            <v>Xoài1220</v>
          </cell>
          <cell r="C555" t="str">
            <v>Cây xoài</v>
          </cell>
          <cell r="D555" t="str">
            <v>12cm ≤ đk gốc &lt; 20cm</v>
          </cell>
          <cell r="E555">
            <v>28.571428571428601</v>
          </cell>
          <cell r="F555" t="str">
            <v>cây</v>
          </cell>
          <cell r="G555">
            <v>520000</v>
          </cell>
          <cell r="H555">
            <v>0.8</v>
          </cell>
          <cell r="I555">
            <v>0.79999971389770497</v>
          </cell>
          <cell r="J555" t="str">
            <v>ĐG 01.02.2025</v>
          </cell>
        </row>
        <row r="556">
          <cell r="B556" t="str">
            <v>Xoài2030</v>
          </cell>
          <cell r="C556" t="str">
            <v>Cây xoài</v>
          </cell>
          <cell r="D556" t="str">
            <v>20cm ≤ đk gốc &lt; 30cm</v>
          </cell>
          <cell r="E556">
            <v>28.571428571428601</v>
          </cell>
          <cell r="F556" t="str">
            <v>cây</v>
          </cell>
          <cell r="G556">
            <v>700000</v>
          </cell>
          <cell r="H556">
            <v>0.8</v>
          </cell>
          <cell r="I556">
            <v>0.79999971389770497</v>
          </cell>
          <cell r="J556" t="str">
            <v>ĐG 01.02.2025</v>
          </cell>
        </row>
        <row r="557">
          <cell r="B557" t="str">
            <v>Xoài30+</v>
          </cell>
          <cell r="C557" t="str">
            <v>Cây xoài</v>
          </cell>
          <cell r="D557" t="str">
            <v>đk gốc từ 30cm trở lên</v>
          </cell>
          <cell r="E557">
            <v>28.571428571428601</v>
          </cell>
          <cell r="F557" t="str">
            <v>cây</v>
          </cell>
          <cell r="G557">
            <v>1000000</v>
          </cell>
          <cell r="H557">
            <v>0.8</v>
          </cell>
          <cell r="I557">
            <v>0.79999971389770497</v>
          </cell>
          <cell r="J557" t="str">
            <v>ĐG 01.02.2025</v>
          </cell>
        </row>
        <row r="558">
          <cell r="B558" t="str">
            <v>Xoài01vmd</v>
          </cell>
          <cell r="C558" t="str">
            <v>Cây xoài vượt mật độ</v>
          </cell>
          <cell r="D558" t="str">
            <v>cây giống</v>
          </cell>
          <cell r="E558">
            <v>0.79999971389770497</v>
          </cell>
          <cell r="F558" t="str">
            <v>m2</v>
          </cell>
          <cell r="G558">
            <v>70000</v>
          </cell>
          <cell r="H558">
            <v>0.4</v>
          </cell>
          <cell r="I558">
            <v>0.39999985694885298</v>
          </cell>
          <cell r="J558" t="str">
            <v>ĐG 01.02.2025</v>
          </cell>
        </row>
        <row r="559">
          <cell r="B559" t="str">
            <v>Xoài27vmd</v>
          </cell>
          <cell r="C559" t="str">
            <v>Cây xoài vượt mật độ</v>
          </cell>
          <cell r="D559" t="str">
            <v>2cm ≤ đk gốc &lt; 7cm</v>
          </cell>
          <cell r="E559">
            <v>28.571428571428601</v>
          </cell>
          <cell r="F559" t="str">
            <v>cây</v>
          </cell>
          <cell r="G559">
            <v>180000</v>
          </cell>
          <cell r="H559">
            <v>0.4</v>
          </cell>
          <cell r="I559">
            <v>0.39999985694885298</v>
          </cell>
          <cell r="J559" t="str">
            <v>ĐG 01.02.2025</v>
          </cell>
        </row>
        <row r="560">
          <cell r="B560" t="str">
            <v>Xoài712vmd</v>
          </cell>
          <cell r="C560" t="str">
            <v>Cây xoài vượt mật độ</v>
          </cell>
          <cell r="D560" t="str">
            <v>7cm ≤ đk gốc &lt; 12cm</v>
          </cell>
          <cell r="E560">
            <v>28.571428571428601</v>
          </cell>
          <cell r="F560" t="str">
            <v>cây</v>
          </cell>
          <cell r="G560">
            <v>300000</v>
          </cell>
          <cell r="H560">
            <v>0.4</v>
          </cell>
          <cell r="I560">
            <v>0.39999985694885298</v>
          </cell>
          <cell r="J560" t="str">
            <v>ĐG 01.02.2025</v>
          </cell>
        </row>
        <row r="561">
          <cell r="B561" t="str">
            <v>Xoài1220vmd</v>
          </cell>
          <cell r="C561" t="str">
            <v>Cây xoài vượt mật độ</v>
          </cell>
          <cell r="D561" t="str">
            <v>12cm ≤ đk gốc &lt; 20cm</v>
          </cell>
          <cell r="E561">
            <v>28.571428571428601</v>
          </cell>
          <cell r="F561" t="str">
            <v>cây</v>
          </cell>
          <cell r="G561">
            <v>520000</v>
          </cell>
          <cell r="H561">
            <v>0.4</v>
          </cell>
          <cell r="I561">
            <v>0.39999985694885298</v>
          </cell>
          <cell r="J561" t="str">
            <v>ĐG 01.02.2025</v>
          </cell>
        </row>
        <row r="562">
          <cell r="B562" t="str">
            <v>Xoài2030vmd</v>
          </cell>
          <cell r="C562" t="str">
            <v>Cây xoài vượt mật độ</v>
          </cell>
          <cell r="D562" t="str">
            <v>20cm ≤ đk gốc &lt; 30cm</v>
          </cell>
          <cell r="E562">
            <v>28.571428571428601</v>
          </cell>
          <cell r="F562" t="str">
            <v>cây</v>
          </cell>
          <cell r="G562">
            <v>700000</v>
          </cell>
          <cell r="H562">
            <v>0.4</v>
          </cell>
          <cell r="I562">
            <v>0.39999985694885298</v>
          </cell>
          <cell r="J562" t="str">
            <v>ĐG 01.02.2025</v>
          </cell>
        </row>
        <row r="563">
          <cell r="B563" t="str">
            <v>Xoài30+vmd</v>
          </cell>
          <cell r="C563" t="str">
            <v>Cây xoài vượt mật độ</v>
          </cell>
          <cell r="D563" t="str">
            <v>đk gốc từ 30cm trở lên</v>
          </cell>
          <cell r="E563">
            <v>28.571428571428601</v>
          </cell>
          <cell r="F563" t="str">
            <v>cây</v>
          </cell>
          <cell r="G563">
            <v>1000000</v>
          </cell>
          <cell r="H563">
            <v>0.4</v>
          </cell>
          <cell r="I563">
            <v>0.39999985694885298</v>
          </cell>
          <cell r="J563" t="str">
            <v>ĐG 01.02.2025</v>
          </cell>
        </row>
        <row r="564">
          <cell r="B564">
            <v>0.39999985694885298</v>
          </cell>
          <cell r="C564" t="str">
            <v>Cây Na</v>
          </cell>
          <cell r="D564">
            <v>0.39999985694885298</v>
          </cell>
          <cell r="E564">
            <v>0.39999985694885298</v>
          </cell>
          <cell r="F564">
            <v>0.39999985694885298</v>
          </cell>
          <cell r="G564">
            <v>0.39999985694885298</v>
          </cell>
          <cell r="H564">
            <v>0.39999985694885298</v>
          </cell>
          <cell r="I564">
            <v>0.39999985694885298</v>
          </cell>
        </row>
        <row r="565">
          <cell r="B565" t="str">
            <v>Na01</v>
          </cell>
          <cell r="C565" t="str">
            <v>Cây Na</v>
          </cell>
          <cell r="D565" t="str">
            <v>cây giống</v>
          </cell>
          <cell r="E565">
            <v>0.39999985694885298</v>
          </cell>
          <cell r="F565" t="str">
            <v>m2</v>
          </cell>
          <cell r="G565">
            <v>70000</v>
          </cell>
          <cell r="H565">
            <v>0.8</v>
          </cell>
          <cell r="I565">
            <v>0.79999971389770497</v>
          </cell>
          <cell r="J565" t="str">
            <v>ĐG 01.02.2025</v>
          </cell>
        </row>
        <row r="566">
          <cell r="B566" t="str">
            <v>Na27</v>
          </cell>
          <cell r="C566" t="str">
            <v>Cây Na</v>
          </cell>
          <cell r="D566" t="str">
            <v>2cm ≤ đk gốc &lt; 7cm</v>
          </cell>
          <cell r="E566">
            <v>9.0909090909090899</v>
          </cell>
          <cell r="F566" t="str">
            <v>cây</v>
          </cell>
          <cell r="G566">
            <v>130000</v>
          </cell>
          <cell r="H566">
            <v>0.8</v>
          </cell>
          <cell r="I566">
            <v>0.79999971389770497</v>
          </cell>
          <cell r="J566" t="str">
            <v>ĐG 01.02.2025</v>
          </cell>
        </row>
        <row r="567">
          <cell r="B567" t="str">
            <v>Na712</v>
          </cell>
          <cell r="C567" t="str">
            <v>Cây Na</v>
          </cell>
          <cell r="D567" t="str">
            <v>7cm ≤ đk gốc &lt; 12cm</v>
          </cell>
          <cell r="E567">
            <v>9.0909090909090899</v>
          </cell>
          <cell r="F567" t="str">
            <v>cây</v>
          </cell>
          <cell r="G567">
            <v>220000</v>
          </cell>
          <cell r="H567">
            <v>0.8</v>
          </cell>
          <cell r="I567">
            <v>0.79999971389770497</v>
          </cell>
          <cell r="J567" t="str">
            <v>ĐG 01.02.2025</v>
          </cell>
        </row>
        <row r="568">
          <cell r="B568" t="str">
            <v>Na1220</v>
          </cell>
          <cell r="C568" t="str">
            <v>Cây Na</v>
          </cell>
          <cell r="D568" t="str">
            <v>12cm ≤ đk gốc &lt; 20cm</v>
          </cell>
          <cell r="E568">
            <v>9.0909090909090899</v>
          </cell>
          <cell r="F568" t="str">
            <v>cây</v>
          </cell>
          <cell r="G568">
            <v>330000</v>
          </cell>
          <cell r="H568">
            <v>0.8</v>
          </cell>
          <cell r="I568">
            <v>0.79999971389770497</v>
          </cell>
          <cell r="J568" t="str">
            <v>ĐG 01.02.2025</v>
          </cell>
        </row>
        <row r="569">
          <cell r="B569" t="str">
            <v>Na2030</v>
          </cell>
          <cell r="C569" t="str">
            <v>Cây Na</v>
          </cell>
          <cell r="D569" t="str">
            <v>20cm ≤ đk gốc &lt; 30cm</v>
          </cell>
          <cell r="E569">
            <v>9.0909090909090899</v>
          </cell>
          <cell r="F569" t="str">
            <v>cây</v>
          </cell>
          <cell r="G569">
            <v>360000</v>
          </cell>
          <cell r="H569">
            <v>0.8</v>
          </cell>
          <cell r="I569">
            <v>0.79999971389770497</v>
          </cell>
          <cell r="J569" t="str">
            <v>ĐG 01.02.2025</v>
          </cell>
        </row>
        <row r="570">
          <cell r="B570" t="str">
            <v>Na30+</v>
          </cell>
          <cell r="C570" t="str">
            <v>Cây Na</v>
          </cell>
          <cell r="D570" t="str">
            <v>đk gốc từ 30cm trở lên</v>
          </cell>
          <cell r="E570">
            <v>9.0909090909090899</v>
          </cell>
          <cell r="F570" t="str">
            <v>cây</v>
          </cell>
          <cell r="G570">
            <v>500000</v>
          </cell>
          <cell r="H570">
            <v>0.8</v>
          </cell>
          <cell r="I570">
            <v>0.79999971389770497</v>
          </cell>
          <cell r="J570" t="str">
            <v>ĐG 01.02.2025</v>
          </cell>
        </row>
        <row r="571">
          <cell r="B571" t="str">
            <v>Na01vmd</v>
          </cell>
          <cell r="C571" t="str">
            <v>Cây Na vượt mật độ</v>
          </cell>
          <cell r="D571" t="str">
            <v>cây giống</v>
          </cell>
          <cell r="E571">
            <v>0.79999971389770497</v>
          </cell>
          <cell r="F571" t="str">
            <v>m2</v>
          </cell>
          <cell r="G571">
            <v>70000</v>
          </cell>
          <cell r="H571">
            <v>0.4</v>
          </cell>
          <cell r="I571">
            <v>0.39999985694885298</v>
          </cell>
          <cell r="J571" t="str">
            <v>ĐG 01.02.2025</v>
          </cell>
        </row>
        <row r="572">
          <cell r="B572" t="str">
            <v>Na27vmd</v>
          </cell>
          <cell r="C572" t="str">
            <v>Cây Na vượt mật độ</v>
          </cell>
          <cell r="D572" t="str">
            <v>2cm ≤ đk gốc &lt; 7cm</v>
          </cell>
          <cell r="E572">
            <v>9.0909090909090899</v>
          </cell>
          <cell r="F572" t="str">
            <v>cây</v>
          </cell>
          <cell r="G572">
            <v>130000</v>
          </cell>
          <cell r="H572">
            <v>0.4</v>
          </cell>
          <cell r="I572">
            <v>0.39999985694885298</v>
          </cell>
          <cell r="J572" t="str">
            <v>ĐG 01.02.2025</v>
          </cell>
        </row>
        <row r="573">
          <cell r="B573" t="str">
            <v>Na712vmd</v>
          </cell>
          <cell r="C573" t="str">
            <v>Cây Na vượt mật độ</v>
          </cell>
          <cell r="D573" t="str">
            <v>7cm ≤ đk gốc &lt; 12cm</v>
          </cell>
          <cell r="E573">
            <v>9.0909090909090899</v>
          </cell>
          <cell r="F573" t="str">
            <v>cây</v>
          </cell>
          <cell r="G573">
            <v>220000</v>
          </cell>
          <cell r="H573">
            <v>0.4</v>
          </cell>
          <cell r="I573">
            <v>0.39999985694885298</v>
          </cell>
          <cell r="J573" t="str">
            <v>ĐG 01.02.2025</v>
          </cell>
        </row>
        <row r="574">
          <cell r="B574" t="str">
            <v>Na1220vmd</v>
          </cell>
          <cell r="C574" t="str">
            <v>Cây Na vượt mật độ</v>
          </cell>
          <cell r="D574" t="str">
            <v>12cm ≤ đk gốc &lt; 20cm</v>
          </cell>
          <cell r="E574">
            <v>9.0909090909090899</v>
          </cell>
          <cell r="F574" t="str">
            <v>cây</v>
          </cell>
          <cell r="G574">
            <v>330000</v>
          </cell>
          <cell r="H574">
            <v>0.4</v>
          </cell>
          <cell r="I574">
            <v>0.39999985694885298</v>
          </cell>
          <cell r="J574" t="str">
            <v>ĐG 01.02.2025</v>
          </cell>
        </row>
        <row r="575">
          <cell r="B575" t="str">
            <v>Na2030vmd</v>
          </cell>
          <cell r="C575" t="str">
            <v>Cây Na vượt mật độ</v>
          </cell>
          <cell r="D575" t="str">
            <v>20cm ≤ đk gốc &lt; 30cm</v>
          </cell>
          <cell r="E575">
            <v>9.0909090909090899</v>
          </cell>
          <cell r="F575" t="str">
            <v>cây</v>
          </cell>
          <cell r="G575">
            <v>360000</v>
          </cell>
          <cell r="H575">
            <v>0.4</v>
          </cell>
          <cell r="I575">
            <v>0.39999985694885298</v>
          </cell>
          <cell r="J575" t="str">
            <v>ĐG 01.02.2025</v>
          </cell>
        </row>
        <row r="576">
          <cell r="B576" t="str">
            <v>Na30+vmd</v>
          </cell>
          <cell r="C576" t="str">
            <v>Cây Na vượt mật độ</v>
          </cell>
          <cell r="D576" t="str">
            <v>đk gốc từ 30cm trở lên</v>
          </cell>
          <cell r="E576">
            <v>9.0909090909090899</v>
          </cell>
          <cell r="F576" t="str">
            <v>cây</v>
          </cell>
          <cell r="G576">
            <v>500000</v>
          </cell>
          <cell r="H576">
            <v>0.4</v>
          </cell>
          <cell r="I576">
            <v>0.39999985694885298</v>
          </cell>
          <cell r="J576" t="str">
            <v>ĐG 01.02.2025</v>
          </cell>
        </row>
        <row r="577">
          <cell r="B577">
            <v>0.39999985694885298</v>
          </cell>
          <cell r="C577" t="str">
            <v>Cây Xoan đào</v>
          </cell>
          <cell r="D577">
            <v>0.39999985694885298</v>
          </cell>
          <cell r="E577">
            <v>0.39999985694885298</v>
          </cell>
          <cell r="F577">
            <v>0.39999985694885298</v>
          </cell>
          <cell r="G577">
            <v>0.39999985694885298</v>
          </cell>
          <cell r="H577">
            <v>0.39999985694885298</v>
          </cell>
          <cell r="I577">
            <v>0.39999985694885298</v>
          </cell>
        </row>
        <row r="578">
          <cell r="B578" t="str">
            <v>Xoan01</v>
          </cell>
          <cell r="C578" t="str">
            <v>Cây xoan</v>
          </cell>
          <cell r="D578" t="str">
            <v>cây giống</v>
          </cell>
          <cell r="E578">
            <v>0.39999985694885298</v>
          </cell>
          <cell r="F578" t="str">
            <v>m2</v>
          </cell>
          <cell r="G578">
            <v>36000</v>
          </cell>
          <cell r="H578">
            <v>0.8</v>
          </cell>
          <cell r="I578">
            <v>0.79999971389770497</v>
          </cell>
          <cell r="J578" t="str">
            <v>ĐG 30.12.2022</v>
          </cell>
        </row>
        <row r="579">
          <cell r="B579" t="str">
            <v>Xoan05</v>
          </cell>
          <cell r="C579" t="str">
            <v>Cây xoan</v>
          </cell>
          <cell r="D579" t="str">
            <v>đk gốc &lt; 5cm</v>
          </cell>
          <cell r="E579">
            <v>4</v>
          </cell>
          <cell r="F579" t="str">
            <v>cây</v>
          </cell>
          <cell r="G579">
            <v>48000</v>
          </cell>
          <cell r="H579">
            <v>0.8</v>
          </cell>
          <cell r="I579">
            <v>0.79999971389770497</v>
          </cell>
          <cell r="J579" t="str">
            <v>ĐG 30.12.2022</v>
          </cell>
        </row>
        <row r="580">
          <cell r="B580" t="str">
            <v>Xoan510</v>
          </cell>
          <cell r="C580" t="str">
            <v>Cây xoan</v>
          </cell>
          <cell r="D580" t="str">
            <v>5cm ≤ đk gốc &lt; 10cm</v>
          </cell>
          <cell r="E580">
            <v>4</v>
          </cell>
          <cell r="F580" t="str">
            <v>cây</v>
          </cell>
          <cell r="G580">
            <v>70000</v>
          </cell>
          <cell r="H580">
            <v>0.8</v>
          </cell>
          <cell r="I580">
            <v>0.79999971389770497</v>
          </cell>
          <cell r="J580" t="str">
            <v>ĐG 30.12.2022</v>
          </cell>
        </row>
        <row r="581">
          <cell r="B581" t="str">
            <v>Xoan1013</v>
          </cell>
          <cell r="C581" t="str">
            <v>Cây xoan</v>
          </cell>
          <cell r="D581" t="str">
            <v>10cm ≤ đk gốc &lt; 13cm</v>
          </cell>
          <cell r="E581">
            <v>5</v>
          </cell>
          <cell r="F581" t="str">
            <v>cây</v>
          </cell>
          <cell r="G581">
            <v>95000</v>
          </cell>
          <cell r="H581">
            <v>0.8</v>
          </cell>
          <cell r="I581">
            <v>0.79999971389770497</v>
          </cell>
          <cell r="J581" t="str">
            <v>ĐG 30.12.2022</v>
          </cell>
        </row>
        <row r="582">
          <cell r="B582" t="str">
            <v>Xoan1320</v>
          </cell>
          <cell r="C582" t="str">
            <v>Cây xoan</v>
          </cell>
          <cell r="D582" t="str">
            <v>13cm ≤ đk gốc &lt; 20cm</v>
          </cell>
          <cell r="E582">
            <v>5</v>
          </cell>
          <cell r="F582" t="str">
            <v>cây</v>
          </cell>
          <cell r="G582">
            <v>120000</v>
          </cell>
          <cell r="H582">
            <v>0.8</v>
          </cell>
          <cell r="I582">
            <v>0.79999971389770497</v>
          </cell>
          <cell r="J582" t="str">
            <v>ĐG 30.12.2022</v>
          </cell>
        </row>
        <row r="583">
          <cell r="B583" t="str">
            <v>Xoan2050</v>
          </cell>
          <cell r="C583" t="str">
            <v>Cây xoan</v>
          </cell>
          <cell r="D583" t="str">
            <v>20cm ≤ đk gốc &lt;50cm</v>
          </cell>
          <cell r="E583">
            <v>6.6666666666666696</v>
          </cell>
          <cell r="F583" t="str">
            <v>cây</v>
          </cell>
          <cell r="G583">
            <v>165000</v>
          </cell>
          <cell r="H583">
            <v>0.8</v>
          </cell>
          <cell r="I583">
            <v>0.79999971389770497</v>
          </cell>
          <cell r="J583" t="str">
            <v>ĐG 30.12.2022</v>
          </cell>
        </row>
        <row r="584">
          <cell r="B584" t="str">
            <v>Xoan50+</v>
          </cell>
          <cell r="C584" t="str">
            <v>Cây xoan</v>
          </cell>
          <cell r="D584" t="str">
            <v>đk gốc từ 50cm trở lên</v>
          </cell>
          <cell r="E584">
            <v>6.6666666666666696</v>
          </cell>
          <cell r="F584" t="str">
            <v>cây</v>
          </cell>
          <cell r="G584">
            <v>180000</v>
          </cell>
          <cell r="H584">
            <v>0.8</v>
          </cell>
          <cell r="I584">
            <v>0.79999971389770497</v>
          </cell>
          <cell r="J584" t="str">
            <v>ĐG 30.12.2022</v>
          </cell>
        </row>
        <row r="585">
          <cell r="B585" t="str">
            <v>Xoan01vmd</v>
          </cell>
          <cell r="C585" t="str">
            <v>Cây xoan vượt mật độ</v>
          </cell>
          <cell r="D585" t="str">
            <v>cây giống</v>
          </cell>
          <cell r="E585">
            <v>0.79999971389770497</v>
          </cell>
          <cell r="F585" t="str">
            <v>m2</v>
          </cell>
          <cell r="G585">
            <v>36000</v>
          </cell>
          <cell r="H585">
            <v>0.4</v>
          </cell>
          <cell r="I585">
            <v>0.39999985694885298</v>
          </cell>
          <cell r="J585" t="str">
            <v>ĐG 30.12.2022</v>
          </cell>
        </row>
        <row r="586">
          <cell r="B586" t="str">
            <v>Xoan05vmd</v>
          </cell>
          <cell r="C586" t="str">
            <v>Cây xoan vượt mật độ</v>
          </cell>
          <cell r="D586" t="str">
            <v>đk gốc &lt; 5cm</v>
          </cell>
          <cell r="E586">
            <v>4</v>
          </cell>
          <cell r="F586" t="str">
            <v>cây</v>
          </cell>
          <cell r="G586">
            <v>48000</v>
          </cell>
          <cell r="H586">
            <v>0.4</v>
          </cell>
          <cell r="I586">
            <v>0.39999985694885298</v>
          </cell>
          <cell r="J586" t="str">
            <v>ĐG 30.12.2022</v>
          </cell>
        </row>
        <row r="587">
          <cell r="B587" t="str">
            <v>Xoan510vmd</v>
          </cell>
          <cell r="C587" t="str">
            <v>Cây xoan vượt mật độ</v>
          </cell>
          <cell r="D587" t="str">
            <v>5cm ≤ đk gốc &lt; 10cm</v>
          </cell>
          <cell r="E587">
            <v>4</v>
          </cell>
          <cell r="F587" t="str">
            <v>cây</v>
          </cell>
          <cell r="G587">
            <v>70000</v>
          </cell>
          <cell r="H587">
            <v>0.4</v>
          </cell>
          <cell r="I587">
            <v>0.39999985694885298</v>
          </cell>
          <cell r="J587" t="str">
            <v>ĐG 30.12.2022</v>
          </cell>
        </row>
        <row r="588">
          <cell r="B588" t="str">
            <v>Xoan1013vmd</v>
          </cell>
          <cell r="C588" t="str">
            <v>Cây xoan vượt mật độ</v>
          </cell>
          <cell r="D588" t="str">
            <v>10cm ≤ đk gốc &lt; 13cm</v>
          </cell>
          <cell r="E588">
            <v>5</v>
          </cell>
          <cell r="F588" t="str">
            <v>cây</v>
          </cell>
          <cell r="G588">
            <v>95000</v>
          </cell>
          <cell r="H588">
            <v>0.4</v>
          </cell>
          <cell r="I588">
            <v>0.39999985694885298</v>
          </cell>
          <cell r="J588" t="str">
            <v>ĐG 30.12.2022</v>
          </cell>
        </row>
        <row r="589">
          <cell r="B589" t="str">
            <v>Xoan1320vmd</v>
          </cell>
          <cell r="C589" t="str">
            <v>Cây xoan vượt mật độ</v>
          </cell>
          <cell r="D589" t="str">
            <v>13cm ≤ đk gốc &lt; 20cm</v>
          </cell>
          <cell r="E589">
            <v>5</v>
          </cell>
          <cell r="F589" t="str">
            <v>cây</v>
          </cell>
          <cell r="G589">
            <v>120000</v>
          </cell>
          <cell r="H589">
            <v>0.4</v>
          </cell>
          <cell r="I589">
            <v>0.39999985694885298</v>
          </cell>
          <cell r="J589" t="str">
            <v>ĐG 30.12.2022</v>
          </cell>
        </row>
        <row r="590">
          <cell r="B590" t="str">
            <v>Xoan2050vmd</v>
          </cell>
          <cell r="C590" t="str">
            <v>Cây xoan vượt mật độ</v>
          </cell>
          <cell r="D590" t="str">
            <v>20cm ≤ đk gốc &lt;50cm</v>
          </cell>
          <cell r="E590">
            <v>6.6666666666666696</v>
          </cell>
          <cell r="F590" t="str">
            <v>cây</v>
          </cell>
          <cell r="G590">
            <v>165000</v>
          </cell>
          <cell r="H590">
            <v>0.4</v>
          </cell>
          <cell r="I590">
            <v>0.39999985694885298</v>
          </cell>
          <cell r="J590" t="str">
            <v>ĐG 30.12.2022</v>
          </cell>
        </row>
        <row r="591">
          <cell r="B591" t="str">
            <v>Xoan50+vmd</v>
          </cell>
          <cell r="C591" t="str">
            <v>Cây xoan vượt mật độ</v>
          </cell>
          <cell r="D591" t="str">
            <v>đk gốc từ 50cm trở lên</v>
          </cell>
          <cell r="E591">
            <v>6.6666666666666696</v>
          </cell>
          <cell r="F591" t="str">
            <v>cây</v>
          </cell>
          <cell r="G591">
            <v>180000</v>
          </cell>
          <cell r="H591">
            <v>0.4</v>
          </cell>
          <cell r="I591">
            <v>0.39999985694885298</v>
          </cell>
          <cell r="J591" t="str">
            <v>ĐG 30.12.2022</v>
          </cell>
        </row>
        <row r="592">
          <cell r="B592" t="str">
            <v>Xoan2050#</v>
          </cell>
          <cell r="C592" t="str">
            <v>Cây xoan trồng trên đất GTTL</v>
          </cell>
          <cell r="D592" t="str">
            <v>20cm ≤ đk gốc &lt;50cm</v>
          </cell>
          <cell r="E592">
            <v>6.6666666666666696</v>
          </cell>
          <cell r="F592" t="str">
            <v>cây</v>
          </cell>
          <cell r="G592">
            <v>165000</v>
          </cell>
          <cell r="H592">
            <v>0.3</v>
          </cell>
          <cell r="I592">
            <v>0.29999995231628401</v>
          </cell>
          <cell r="J592" t="str">
            <v>ĐG 30.12.2022</v>
          </cell>
        </row>
        <row r="593">
          <cell r="B593">
            <v>0.29999995231628401</v>
          </cell>
          <cell r="C593" t="str">
            <v>Cây Phi lao</v>
          </cell>
          <cell r="D593">
            <v>0.29999995231628401</v>
          </cell>
          <cell r="E593">
            <v>0.29999995231628401</v>
          </cell>
          <cell r="F593">
            <v>0.29999995231628401</v>
          </cell>
          <cell r="G593">
            <v>0.29999995231628401</v>
          </cell>
          <cell r="H593">
            <v>0.29999995231628401</v>
          </cell>
          <cell r="I593">
            <v>0.29999995231628401</v>
          </cell>
        </row>
        <row r="594">
          <cell r="B594" t="str">
            <v>Philao01</v>
          </cell>
          <cell r="C594" t="str">
            <v>Cây Phi lao</v>
          </cell>
          <cell r="D594" t="str">
            <v>cây giống</v>
          </cell>
          <cell r="E594">
            <v>0.29999995231628401</v>
          </cell>
          <cell r="F594" t="str">
            <v>m2</v>
          </cell>
          <cell r="G594">
            <v>36000</v>
          </cell>
          <cell r="H594">
            <v>0.8</v>
          </cell>
          <cell r="I594">
            <v>0.79999971389770497</v>
          </cell>
          <cell r="J594" t="str">
            <v>ĐG 30.12.2022</v>
          </cell>
        </row>
        <row r="595">
          <cell r="B595" t="str">
            <v>Philao05</v>
          </cell>
          <cell r="C595" t="str">
            <v>Cây Phi lao</v>
          </cell>
          <cell r="D595" t="str">
            <v>đk gốc &lt; 5cm</v>
          </cell>
          <cell r="E595">
            <v>4</v>
          </cell>
          <cell r="F595" t="str">
            <v>cây</v>
          </cell>
          <cell r="G595">
            <v>48000</v>
          </cell>
          <cell r="H595">
            <v>0.8</v>
          </cell>
          <cell r="I595">
            <v>0.79999971389770497</v>
          </cell>
          <cell r="J595" t="str">
            <v>ĐG 30.12.2022</v>
          </cell>
        </row>
        <row r="596">
          <cell r="B596" t="str">
            <v>Philao510</v>
          </cell>
          <cell r="C596" t="str">
            <v>Cây Phi lao</v>
          </cell>
          <cell r="D596" t="str">
            <v>5cm ≤ đk gốc &lt; 10cm</v>
          </cell>
          <cell r="E596">
            <v>4</v>
          </cell>
          <cell r="F596" t="str">
            <v>cây</v>
          </cell>
          <cell r="G596">
            <v>70000</v>
          </cell>
          <cell r="H596">
            <v>0.8</v>
          </cell>
          <cell r="I596">
            <v>0.79999971389770497</v>
          </cell>
          <cell r="J596" t="str">
            <v>ĐG 30.12.2022</v>
          </cell>
        </row>
        <row r="597">
          <cell r="B597" t="str">
            <v>Philao1013</v>
          </cell>
          <cell r="C597" t="str">
            <v>Cây Phi lao</v>
          </cell>
          <cell r="D597" t="str">
            <v>10cm ≤ đk gốc &lt; 13cm</v>
          </cell>
          <cell r="E597">
            <v>5</v>
          </cell>
          <cell r="F597" t="str">
            <v>cây</v>
          </cell>
          <cell r="G597">
            <v>95000</v>
          </cell>
          <cell r="H597">
            <v>0.8</v>
          </cell>
          <cell r="I597">
            <v>0.79999971389770497</v>
          </cell>
          <cell r="J597" t="str">
            <v>ĐG 30.12.2022</v>
          </cell>
        </row>
        <row r="598">
          <cell r="B598" t="str">
            <v>Philao1320</v>
          </cell>
          <cell r="C598" t="str">
            <v>Cây Phi lao</v>
          </cell>
          <cell r="D598" t="str">
            <v>13cm ≤ đk gốc &lt; 20cm</v>
          </cell>
          <cell r="E598">
            <v>5</v>
          </cell>
          <cell r="F598" t="str">
            <v>cây</v>
          </cell>
          <cell r="G598">
            <v>120000</v>
          </cell>
          <cell r="H598">
            <v>0.8</v>
          </cell>
          <cell r="I598">
            <v>0.79999971389770497</v>
          </cell>
          <cell r="J598" t="str">
            <v>ĐG 30.12.2022</v>
          </cell>
        </row>
        <row r="599">
          <cell r="B599" t="str">
            <v>Philao2050</v>
          </cell>
          <cell r="C599" t="str">
            <v>Cây Phi lao</v>
          </cell>
          <cell r="D599" t="str">
            <v>20cm ≤ đk gốc &lt;50cm</v>
          </cell>
          <cell r="E599">
            <v>6.6666666666666696</v>
          </cell>
          <cell r="F599" t="str">
            <v>cây</v>
          </cell>
          <cell r="G599">
            <v>165000</v>
          </cell>
          <cell r="H599">
            <v>0.8</v>
          </cell>
          <cell r="I599">
            <v>0.79999971389770497</v>
          </cell>
          <cell r="J599" t="str">
            <v>ĐG 30.12.2022</v>
          </cell>
        </row>
        <row r="600">
          <cell r="B600" t="str">
            <v>Philao50+</v>
          </cell>
          <cell r="C600" t="str">
            <v>Cây Phi lao</v>
          </cell>
          <cell r="D600" t="str">
            <v>đk gốc từ 50cm trở lên</v>
          </cell>
          <cell r="E600">
            <v>6.6666666666666696</v>
          </cell>
          <cell r="F600" t="str">
            <v>cây</v>
          </cell>
          <cell r="G600">
            <v>180000</v>
          </cell>
          <cell r="H600">
            <v>0.8</v>
          </cell>
          <cell r="I600">
            <v>0.79999971389770497</v>
          </cell>
          <cell r="J600" t="str">
            <v>ĐG 30.12.2022</v>
          </cell>
        </row>
        <row r="601">
          <cell r="B601" t="str">
            <v>Philao01vmd</v>
          </cell>
          <cell r="C601" t="str">
            <v>Cây Phi lao vượt mật độ</v>
          </cell>
          <cell r="D601" t="str">
            <v>cây giống</v>
          </cell>
          <cell r="E601">
            <v>0.79999971389770497</v>
          </cell>
          <cell r="F601" t="str">
            <v>m2</v>
          </cell>
          <cell r="G601">
            <v>36000</v>
          </cell>
          <cell r="H601">
            <v>0.4</v>
          </cell>
          <cell r="I601">
            <v>0.39999985694885298</v>
          </cell>
          <cell r="J601" t="str">
            <v>ĐG 30.12.2022</v>
          </cell>
        </row>
        <row r="602">
          <cell r="B602" t="str">
            <v>Philao05vmd</v>
          </cell>
          <cell r="C602" t="str">
            <v>Cây Phi lao vượt mật độ</v>
          </cell>
          <cell r="D602" t="str">
            <v>đk gốc &lt; 5cm</v>
          </cell>
          <cell r="E602">
            <v>4</v>
          </cell>
          <cell r="F602" t="str">
            <v>cây</v>
          </cell>
          <cell r="G602">
            <v>48000</v>
          </cell>
          <cell r="H602">
            <v>0.4</v>
          </cell>
          <cell r="I602">
            <v>0.39999985694885298</v>
          </cell>
          <cell r="J602" t="str">
            <v>ĐG 30.12.2022</v>
          </cell>
        </row>
        <row r="603">
          <cell r="B603" t="str">
            <v>Philao510vmd</v>
          </cell>
          <cell r="C603" t="str">
            <v>Cây Phi lao vượt mật độ</v>
          </cell>
          <cell r="D603" t="str">
            <v>5cm ≤ đk gốc &lt; 10cm</v>
          </cell>
          <cell r="E603">
            <v>4</v>
          </cell>
          <cell r="F603" t="str">
            <v>cây</v>
          </cell>
          <cell r="G603">
            <v>70000</v>
          </cell>
          <cell r="H603">
            <v>0.4</v>
          </cell>
          <cell r="I603">
            <v>0.39999985694885298</v>
          </cell>
          <cell r="J603" t="str">
            <v>ĐG 30.12.2022</v>
          </cell>
        </row>
        <row r="604">
          <cell r="B604" t="str">
            <v>Philao1013vmd</v>
          </cell>
          <cell r="C604" t="str">
            <v>Cây Phi lao vượt mật độ</v>
          </cell>
          <cell r="D604" t="str">
            <v>10cm ≤ đk gốc &lt; 13cm</v>
          </cell>
          <cell r="E604">
            <v>5</v>
          </cell>
          <cell r="F604" t="str">
            <v>cây</v>
          </cell>
          <cell r="G604">
            <v>95000</v>
          </cell>
          <cell r="H604">
            <v>0.4</v>
          </cell>
          <cell r="I604">
            <v>0.39999985694885298</v>
          </cell>
          <cell r="J604" t="str">
            <v>ĐG 30.12.2022</v>
          </cell>
        </row>
        <row r="605">
          <cell r="B605" t="str">
            <v>Philao1320vmd</v>
          </cell>
          <cell r="C605" t="str">
            <v>Cây Phi lao vượt mật độ</v>
          </cell>
          <cell r="D605" t="str">
            <v>13cm ≤ đk gốc &lt; 20cm</v>
          </cell>
          <cell r="E605">
            <v>5</v>
          </cell>
          <cell r="F605" t="str">
            <v>cây</v>
          </cell>
          <cell r="G605">
            <v>120000</v>
          </cell>
          <cell r="H605">
            <v>0.4</v>
          </cell>
          <cell r="I605">
            <v>0.39999985694885298</v>
          </cell>
          <cell r="J605" t="str">
            <v>ĐG 30.12.2022</v>
          </cell>
        </row>
        <row r="606">
          <cell r="B606" t="str">
            <v>Philao2050vmd</v>
          </cell>
          <cell r="C606" t="str">
            <v>Cây Phi lao vượt mật độ</v>
          </cell>
          <cell r="D606" t="str">
            <v>20cm ≤ đk gốc &lt;50cm</v>
          </cell>
          <cell r="E606">
            <v>6.6666666666666696</v>
          </cell>
          <cell r="F606" t="str">
            <v>cây</v>
          </cell>
          <cell r="G606">
            <v>165000</v>
          </cell>
          <cell r="H606">
            <v>0.4</v>
          </cell>
          <cell r="I606">
            <v>0.39999985694885298</v>
          </cell>
          <cell r="J606" t="str">
            <v>ĐG 30.12.2022</v>
          </cell>
        </row>
        <row r="607">
          <cell r="B607" t="str">
            <v>Philao50+vmd</v>
          </cell>
          <cell r="C607" t="str">
            <v>Cây Phi lao vượt mật độ</v>
          </cell>
          <cell r="D607" t="str">
            <v>đk gốc từ 50cm trở lên</v>
          </cell>
          <cell r="E607">
            <v>6.6666666666666696</v>
          </cell>
          <cell r="F607" t="str">
            <v>cây</v>
          </cell>
          <cell r="G607">
            <v>180000</v>
          </cell>
          <cell r="H607">
            <v>0.4</v>
          </cell>
          <cell r="I607">
            <v>0.39999985694885298</v>
          </cell>
          <cell r="J607" t="str">
            <v>ĐG 30.12.2022</v>
          </cell>
        </row>
        <row r="608">
          <cell r="B608">
            <v>0.39999985694885298</v>
          </cell>
          <cell r="C608" t="str">
            <v>Cây Xà cừ</v>
          </cell>
          <cell r="D608">
            <v>0.39999985694885298</v>
          </cell>
          <cell r="E608">
            <v>0.39999985694885298</v>
          </cell>
          <cell r="F608">
            <v>0.39999985694885298</v>
          </cell>
          <cell r="G608">
            <v>0.39999985694885298</v>
          </cell>
          <cell r="H608">
            <v>0.39999985694885298</v>
          </cell>
          <cell r="I608">
            <v>0.39999985694885298</v>
          </cell>
        </row>
        <row r="609">
          <cell r="B609" t="str">
            <v>Xacu01</v>
          </cell>
          <cell r="C609" t="str">
            <v>Cây xà cừ</v>
          </cell>
          <cell r="D609" t="str">
            <v>cây giống</v>
          </cell>
          <cell r="E609">
            <v>0.39999985694885298</v>
          </cell>
          <cell r="F609" t="str">
            <v>m2</v>
          </cell>
          <cell r="G609">
            <v>0.39999985694885298</v>
          </cell>
          <cell r="H609">
            <v>0.8</v>
          </cell>
          <cell r="I609">
            <v>0.79999971389770497</v>
          </cell>
        </row>
        <row r="610">
          <cell r="B610" t="str">
            <v>Xacu05</v>
          </cell>
          <cell r="C610" t="str">
            <v>Cây xà cừ</v>
          </cell>
          <cell r="D610" t="str">
            <v>đk gốc &lt; 5cm</v>
          </cell>
          <cell r="E610">
            <v>4</v>
          </cell>
          <cell r="F610" t="str">
            <v>cây</v>
          </cell>
          <cell r="G610">
            <v>36000</v>
          </cell>
          <cell r="H610">
            <v>0.8</v>
          </cell>
          <cell r="I610">
            <v>0.79999971389770497</v>
          </cell>
          <cell r="J610" t="str">
            <v>ĐG 30.12.2022</v>
          </cell>
        </row>
        <row r="611">
          <cell r="B611" t="str">
            <v>Xacu510</v>
          </cell>
          <cell r="C611" t="str">
            <v>Cây xà cừ</v>
          </cell>
          <cell r="D611" t="str">
            <v>5cm ≤ đk gốc &lt; 10cm</v>
          </cell>
          <cell r="E611">
            <v>4</v>
          </cell>
          <cell r="F611" t="str">
            <v>cây</v>
          </cell>
          <cell r="G611">
            <v>60000</v>
          </cell>
          <cell r="H611">
            <v>0.8</v>
          </cell>
          <cell r="I611">
            <v>0.79999971389770497</v>
          </cell>
          <cell r="J611" t="str">
            <v>ĐG 30.12.2022</v>
          </cell>
        </row>
        <row r="612">
          <cell r="B612" t="str">
            <v>Xacu1013</v>
          </cell>
          <cell r="C612" t="str">
            <v>Cây xà cừ</v>
          </cell>
          <cell r="D612" t="str">
            <v>10cm ≤ đk gốc &lt; 13cm</v>
          </cell>
          <cell r="E612">
            <v>5</v>
          </cell>
          <cell r="F612" t="str">
            <v>cây</v>
          </cell>
          <cell r="G612">
            <v>90000</v>
          </cell>
          <cell r="H612">
            <v>0.8</v>
          </cell>
          <cell r="I612">
            <v>0.79999971389770497</v>
          </cell>
          <cell r="J612" t="str">
            <v>ĐG 30.12.2022</v>
          </cell>
        </row>
        <row r="613">
          <cell r="B613" t="str">
            <v>Xacu1320</v>
          </cell>
          <cell r="C613" t="str">
            <v>Cây xà cừ</v>
          </cell>
          <cell r="D613" t="str">
            <v>13cm ≤ đk gốc &lt; 20cm</v>
          </cell>
          <cell r="E613">
            <v>5</v>
          </cell>
          <cell r="F613" t="str">
            <v>cây</v>
          </cell>
          <cell r="G613">
            <v>120000</v>
          </cell>
          <cell r="H613">
            <v>0.8</v>
          </cell>
          <cell r="I613">
            <v>0.79999971389770497</v>
          </cell>
          <cell r="J613" t="str">
            <v>ĐG 30.12.2022</v>
          </cell>
        </row>
        <row r="614">
          <cell r="B614" t="str">
            <v>Xacu2050</v>
          </cell>
          <cell r="C614" t="str">
            <v>Cây xà cừ</v>
          </cell>
          <cell r="D614" t="str">
            <v>20cm ≤ đk gốc &lt;50cm</v>
          </cell>
          <cell r="E614">
            <v>6.6666666666666696</v>
          </cell>
          <cell r="F614" t="str">
            <v>cây</v>
          </cell>
          <cell r="G614">
            <v>150000</v>
          </cell>
          <cell r="H614">
            <v>0.8</v>
          </cell>
          <cell r="I614">
            <v>0.79999971389770497</v>
          </cell>
          <cell r="J614" t="str">
            <v>ĐG 30.12.2022</v>
          </cell>
        </row>
        <row r="615">
          <cell r="B615" t="str">
            <v>Xacu50+</v>
          </cell>
          <cell r="C615" t="str">
            <v>Cây xà cừ</v>
          </cell>
          <cell r="D615" t="str">
            <v>đk gốc từ 50cm trở lên</v>
          </cell>
          <cell r="E615">
            <v>6.6666666666666696</v>
          </cell>
          <cell r="F615" t="str">
            <v>cây</v>
          </cell>
          <cell r="G615">
            <v>220000</v>
          </cell>
          <cell r="H615">
            <v>0.8</v>
          </cell>
          <cell r="I615">
            <v>0.79999971389770497</v>
          </cell>
          <cell r="J615" t="str">
            <v>ĐG 30.12.2022</v>
          </cell>
        </row>
        <row r="616">
          <cell r="B616" t="str">
            <v>Xacu01vmd</v>
          </cell>
          <cell r="C616" t="str">
            <v>Cây xà cừ</v>
          </cell>
          <cell r="D616" t="str">
            <v>cây giống</v>
          </cell>
          <cell r="E616">
            <v>0.79999971389770497</v>
          </cell>
          <cell r="F616" t="str">
            <v>m2</v>
          </cell>
          <cell r="G616">
            <v>0.79999971389770497</v>
          </cell>
          <cell r="H616">
            <v>0.8</v>
          </cell>
          <cell r="I616">
            <v>0.79999971389770497</v>
          </cell>
        </row>
        <row r="617">
          <cell r="B617" t="str">
            <v>Xacu05vmd</v>
          </cell>
          <cell r="C617" t="str">
            <v>Cây xà cừ vượt mật độ</v>
          </cell>
          <cell r="D617" t="str">
            <v>đk gốc &lt; 5cm</v>
          </cell>
          <cell r="E617">
            <v>4</v>
          </cell>
          <cell r="F617" t="str">
            <v>cây</v>
          </cell>
          <cell r="G617">
            <v>36000</v>
          </cell>
          <cell r="H617">
            <v>0.4</v>
          </cell>
          <cell r="I617">
            <v>0.39999985694885298</v>
          </cell>
          <cell r="J617" t="str">
            <v>ĐG 30.12.2022</v>
          </cell>
        </row>
        <row r="618">
          <cell r="B618" t="str">
            <v>Xacu510vmd</v>
          </cell>
          <cell r="C618" t="str">
            <v>Cây xà cừ vượt mật độ</v>
          </cell>
          <cell r="D618" t="str">
            <v>5cm ≤ đk gốc &lt; 10cm</v>
          </cell>
          <cell r="E618">
            <v>4</v>
          </cell>
          <cell r="F618" t="str">
            <v>cây</v>
          </cell>
          <cell r="G618">
            <v>60000</v>
          </cell>
          <cell r="H618">
            <v>0.4</v>
          </cell>
          <cell r="I618">
            <v>0.39999985694885298</v>
          </cell>
          <cell r="J618" t="str">
            <v>ĐG 30.12.2022</v>
          </cell>
        </row>
        <row r="619">
          <cell r="B619" t="str">
            <v>Xacu1013vmd</v>
          </cell>
          <cell r="C619" t="str">
            <v>Cây xà cừ vượt mật độ</v>
          </cell>
          <cell r="D619" t="str">
            <v>10cm ≤ đk gốc &lt; 13cm</v>
          </cell>
          <cell r="E619">
            <v>5</v>
          </cell>
          <cell r="F619" t="str">
            <v>cây</v>
          </cell>
          <cell r="G619">
            <v>90000</v>
          </cell>
          <cell r="H619">
            <v>0.4</v>
          </cell>
          <cell r="I619">
            <v>0.39999985694885298</v>
          </cell>
          <cell r="J619" t="str">
            <v>ĐG 30.12.2022</v>
          </cell>
        </row>
        <row r="620">
          <cell r="B620" t="str">
            <v>Xacu1320vmd</v>
          </cell>
          <cell r="C620" t="str">
            <v>Cây xà cừ vượt mật độ</v>
          </cell>
          <cell r="D620" t="str">
            <v>13cm ≤ đk gốc &lt; 20cm</v>
          </cell>
          <cell r="E620">
            <v>5</v>
          </cell>
          <cell r="F620" t="str">
            <v>cây</v>
          </cell>
          <cell r="G620">
            <v>120000</v>
          </cell>
          <cell r="H620">
            <v>0.4</v>
          </cell>
          <cell r="I620">
            <v>0.39999985694885298</v>
          </cell>
          <cell r="J620" t="str">
            <v>ĐG 30.12.2022</v>
          </cell>
        </row>
        <row r="621">
          <cell r="B621" t="str">
            <v>Xacu2050vmd</v>
          </cell>
          <cell r="C621" t="str">
            <v>Cây xà cừ vượt mật độ</v>
          </cell>
          <cell r="D621" t="str">
            <v>20cm ≤ đk gốc &lt;50cm</v>
          </cell>
          <cell r="E621">
            <v>6.6666666666666696</v>
          </cell>
          <cell r="F621" t="str">
            <v>cây</v>
          </cell>
          <cell r="G621">
            <v>150000</v>
          </cell>
          <cell r="H621">
            <v>0.4</v>
          </cell>
          <cell r="I621">
            <v>0.39999985694885298</v>
          </cell>
          <cell r="J621" t="str">
            <v>ĐG 30.12.2022</v>
          </cell>
        </row>
        <row r="622">
          <cell r="B622" t="str">
            <v>Xacu50+vmd</v>
          </cell>
          <cell r="C622" t="str">
            <v>Cây xà cừ vượt mật độ</v>
          </cell>
          <cell r="D622" t="str">
            <v>đk gốc từ 50cm trở lên</v>
          </cell>
          <cell r="E622">
            <v>6.6666666666666696</v>
          </cell>
          <cell r="F622" t="str">
            <v>cây</v>
          </cell>
          <cell r="G622">
            <v>220000</v>
          </cell>
          <cell r="H622">
            <v>0.4</v>
          </cell>
          <cell r="I622">
            <v>0.39999985694885298</v>
          </cell>
          <cell r="J622" t="str">
            <v>ĐG 30.12.2022</v>
          </cell>
        </row>
        <row r="623">
          <cell r="B623" t="str">
            <v>Xacu2050#</v>
          </cell>
          <cell r="C623" t="str">
            <v>Cây xà cừ trồng trên đất GTTL</v>
          </cell>
          <cell r="D623" t="str">
            <v>20cm ≤ đk gốc &lt;50cm</v>
          </cell>
          <cell r="E623">
            <v>6.6666666666666696</v>
          </cell>
          <cell r="F623" t="str">
            <v>cây</v>
          </cell>
          <cell r="G623">
            <v>150000</v>
          </cell>
          <cell r="H623">
            <v>0.3</v>
          </cell>
          <cell r="I623">
            <v>0.29999995231628401</v>
          </cell>
          <cell r="J623" t="str">
            <v>ĐG 30.12.2022</v>
          </cell>
        </row>
        <row r="624">
          <cell r="B624" t="str">
            <v>Xacu1013#</v>
          </cell>
          <cell r="C624" t="str">
            <v>Cây xà cừ trồng trên đất GTTL</v>
          </cell>
          <cell r="D624" t="str">
            <v>10cm ≤ đk gốc &lt; 13cm</v>
          </cell>
          <cell r="E624">
            <v>5</v>
          </cell>
          <cell r="F624" t="str">
            <v>cây</v>
          </cell>
          <cell r="G624">
            <v>90000</v>
          </cell>
          <cell r="H624">
            <v>0.3</v>
          </cell>
          <cell r="I624">
            <v>0.29999995231628401</v>
          </cell>
          <cell r="J624" t="str">
            <v>ĐG 30.12.2022</v>
          </cell>
        </row>
        <row r="625">
          <cell r="B625">
            <v>0.29999995231628401</v>
          </cell>
          <cell r="C625" t="str">
            <v>Cây Keo</v>
          </cell>
          <cell r="D625">
            <v>0.29999995231628401</v>
          </cell>
          <cell r="E625">
            <v>0.29999995231628401</v>
          </cell>
          <cell r="F625">
            <v>0.29999995231628401</v>
          </cell>
          <cell r="G625">
            <v>0.29999995231628401</v>
          </cell>
          <cell r="H625">
            <v>0.29999995231628401</v>
          </cell>
          <cell r="I625">
            <v>0.29999995231628401</v>
          </cell>
        </row>
        <row r="626">
          <cell r="B626" t="str">
            <v>Keo01</v>
          </cell>
          <cell r="C626" t="str">
            <v>Cây keo</v>
          </cell>
          <cell r="D626" t="str">
            <v>cây giống</v>
          </cell>
          <cell r="E626">
            <v>0.29999995231628401</v>
          </cell>
          <cell r="F626" t="str">
            <v>m2</v>
          </cell>
          <cell r="G626">
            <v>0.29999995231628401</v>
          </cell>
          <cell r="H626">
            <v>0.8</v>
          </cell>
          <cell r="I626">
            <v>0.79999971389770497</v>
          </cell>
        </row>
        <row r="627">
          <cell r="B627" t="str">
            <v>Keo05</v>
          </cell>
          <cell r="C627" t="str">
            <v>Cây keo</v>
          </cell>
          <cell r="D627" t="str">
            <v>đk gốc &lt; 5cm</v>
          </cell>
          <cell r="E627">
            <v>4</v>
          </cell>
          <cell r="F627" t="str">
            <v>cây</v>
          </cell>
          <cell r="G627">
            <v>36000</v>
          </cell>
          <cell r="H627">
            <v>0.8</v>
          </cell>
          <cell r="I627">
            <v>0.79999971389770497</v>
          </cell>
          <cell r="J627" t="str">
            <v>ĐG 30.12.2022</v>
          </cell>
        </row>
        <row r="628">
          <cell r="B628" t="str">
            <v>Keo510</v>
          </cell>
          <cell r="C628" t="str">
            <v>Cây keo</v>
          </cell>
          <cell r="D628" t="str">
            <v>5cm ≤ đk gốc &lt; 10cm</v>
          </cell>
          <cell r="E628">
            <v>4</v>
          </cell>
          <cell r="F628" t="str">
            <v>cây</v>
          </cell>
          <cell r="G628">
            <v>60000</v>
          </cell>
          <cell r="H628">
            <v>0.8</v>
          </cell>
          <cell r="I628">
            <v>0.79999971389770497</v>
          </cell>
          <cell r="J628" t="str">
            <v>ĐG 30.12.2022</v>
          </cell>
        </row>
        <row r="629">
          <cell r="B629" t="str">
            <v>Keo1013</v>
          </cell>
          <cell r="C629" t="str">
            <v>Cây keo</v>
          </cell>
          <cell r="D629" t="str">
            <v>10cm ≤ đk gốc &lt; 13cm</v>
          </cell>
          <cell r="E629">
            <v>5</v>
          </cell>
          <cell r="F629" t="str">
            <v>cây</v>
          </cell>
          <cell r="G629">
            <v>90000</v>
          </cell>
          <cell r="H629">
            <v>0.8</v>
          </cell>
          <cell r="I629">
            <v>0.79999971389770497</v>
          </cell>
          <cell r="J629" t="str">
            <v>ĐG 30.12.2022</v>
          </cell>
        </row>
        <row r="630">
          <cell r="B630" t="str">
            <v>Keo1320</v>
          </cell>
          <cell r="C630" t="str">
            <v>Cây keo</v>
          </cell>
          <cell r="D630" t="str">
            <v>13cm ≤ đk gốc &lt; 20cm</v>
          </cell>
          <cell r="E630">
            <v>5</v>
          </cell>
          <cell r="F630" t="str">
            <v>cây</v>
          </cell>
          <cell r="G630">
            <v>120000</v>
          </cell>
          <cell r="H630">
            <v>0.8</v>
          </cell>
          <cell r="I630">
            <v>0.79999971389770497</v>
          </cell>
          <cell r="J630" t="str">
            <v>ĐG 30.12.2022</v>
          </cell>
        </row>
        <row r="631">
          <cell r="B631" t="str">
            <v>Keo2050</v>
          </cell>
          <cell r="C631" t="str">
            <v>Cây keo</v>
          </cell>
          <cell r="D631" t="str">
            <v>20cm ≤ đk gốc &lt;50cm</v>
          </cell>
          <cell r="E631">
            <v>6.6666666666666696</v>
          </cell>
          <cell r="F631" t="str">
            <v>cây</v>
          </cell>
          <cell r="G631">
            <v>150000</v>
          </cell>
          <cell r="H631">
            <v>0.8</v>
          </cell>
          <cell r="I631">
            <v>0.79999971389770497</v>
          </cell>
          <cell r="J631" t="str">
            <v>ĐG 30.12.2022</v>
          </cell>
        </row>
        <row r="632">
          <cell r="B632" t="str">
            <v>Keo50+</v>
          </cell>
          <cell r="C632" t="str">
            <v>Cây keo</v>
          </cell>
          <cell r="D632" t="str">
            <v>đk gốc từ 50cm trở lên</v>
          </cell>
          <cell r="E632">
            <v>6.6666666666666696</v>
          </cell>
          <cell r="F632" t="str">
            <v>cây</v>
          </cell>
          <cell r="G632">
            <v>220000</v>
          </cell>
          <cell r="H632">
            <v>0.8</v>
          </cell>
          <cell r="I632">
            <v>0.79999971389770497</v>
          </cell>
          <cell r="J632" t="str">
            <v>ĐG 30.12.2022</v>
          </cell>
        </row>
        <row r="633">
          <cell r="B633" t="str">
            <v>Keo01vmd</v>
          </cell>
          <cell r="C633" t="str">
            <v>Cây keo</v>
          </cell>
          <cell r="D633" t="str">
            <v>cây giống</v>
          </cell>
          <cell r="E633">
            <v>0.79999971389770497</v>
          </cell>
          <cell r="F633" t="str">
            <v>m2</v>
          </cell>
          <cell r="G633">
            <v>0.79999971389770497</v>
          </cell>
          <cell r="H633">
            <v>0.4</v>
          </cell>
          <cell r="I633">
            <v>0.39999985694885298</v>
          </cell>
        </row>
        <row r="634">
          <cell r="B634" t="str">
            <v>Keo05vmd</v>
          </cell>
          <cell r="C634" t="str">
            <v>Cây keo vượt mật độ</v>
          </cell>
          <cell r="D634" t="str">
            <v>đk gốc &lt; 5cm</v>
          </cell>
          <cell r="E634">
            <v>4</v>
          </cell>
          <cell r="F634" t="str">
            <v>cây</v>
          </cell>
          <cell r="G634">
            <v>36000</v>
          </cell>
          <cell r="H634">
            <v>0.4</v>
          </cell>
          <cell r="I634">
            <v>0.39999985694885298</v>
          </cell>
          <cell r="J634" t="str">
            <v>ĐG 30.12.2022</v>
          </cell>
        </row>
        <row r="635">
          <cell r="B635" t="str">
            <v>Keo510vmd</v>
          </cell>
          <cell r="C635" t="str">
            <v>Cây keo vượt mật độ</v>
          </cell>
          <cell r="D635" t="str">
            <v>5cm ≤ đk gốc &lt; 10cm</v>
          </cell>
          <cell r="E635">
            <v>4</v>
          </cell>
          <cell r="F635" t="str">
            <v>cây</v>
          </cell>
          <cell r="G635">
            <v>60000</v>
          </cell>
          <cell r="H635">
            <v>0.4</v>
          </cell>
          <cell r="I635">
            <v>0.39999985694885298</v>
          </cell>
          <cell r="J635" t="str">
            <v>ĐG 30.12.2022</v>
          </cell>
        </row>
        <row r="636">
          <cell r="B636" t="str">
            <v>Keo1013vmd</v>
          </cell>
          <cell r="C636" t="str">
            <v>Cây keo vượt mật độ</v>
          </cell>
          <cell r="D636" t="str">
            <v>10cm ≤ đk gốc &lt; 13cm</v>
          </cell>
          <cell r="E636">
            <v>5</v>
          </cell>
          <cell r="F636" t="str">
            <v>cây</v>
          </cell>
          <cell r="G636">
            <v>90000</v>
          </cell>
          <cell r="H636">
            <v>0.4</v>
          </cell>
          <cell r="I636">
            <v>0.39999985694885298</v>
          </cell>
          <cell r="J636" t="str">
            <v>ĐG 30.12.2022</v>
          </cell>
        </row>
        <row r="637">
          <cell r="B637" t="str">
            <v>Keo1320vmd</v>
          </cell>
          <cell r="C637" t="str">
            <v>Cây keo vượt mật độ</v>
          </cell>
          <cell r="D637" t="str">
            <v>13cm ≤ đk gốc &lt; 20cm</v>
          </cell>
          <cell r="E637">
            <v>5</v>
          </cell>
          <cell r="F637" t="str">
            <v>cây</v>
          </cell>
          <cell r="G637">
            <v>120000</v>
          </cell>
          <cell r="H637">
            <v>0.4</v>
          </cell>
          <cell r="I637">
            <v>0.39999985694885298</v>
          </cell>
          <cell r="J637" t="str">
            <v>ĐG 30.12.2022</v>
          </cell>
        </row>
        <row r="638">
          <cell r="B638" t="str">
            <v>Keo2050vmd</v>
          </cell>
          <cell r="C638" t="str">
            <v>Cây keo vượt mật độ</v>
          </cell>
          <cell r="D638" t="str">
            <v>20cm ≤ đk gốc &lt;50cm</v>
          </cell>
          <cell r="E638">
            <v>6.6666666666666696</v>
          </cell>
          <cell r="F638" t="str">
            <v>cây</v>
          </cell>
          <cell r="G638">
            <v>150000</v>
          </cell>
          <cell r="H638">
            <v>0.4</v>
          </cell>
          <cell r="I638">
            <v>0.39999985694885298</v>
          </cell>
          <cell r="J638" t="str">
            <v>ĐG 30.12.2022</v>
          </cell>
        </row>
        <row r="639">
          <cell r="B639" t="str">
            <v>Keo50+vmd</v>
          </cell>
          <cell r="C639" t="str">
            <v>Cây keo vượt mật độ</v>
          </cell>
          <cell r="D639" t="str">
            <v>đk gốc từ 50cm trở lên</v>
          </cell>
          <cell r="E639">
            <v>6.6666666666666696</v>
          </cell>
          <cell r="F639" t="str">
            <v>cây</v>
          </cell>
          <cell r="G639">
            <v>220000</v>
          </cell>
          <cell r="H639">
            <v>0.4</v>
          </cell>
          <cell r="I639">
            <v>0.39999985694885298</v>
          </cell>
          <cell r="J639" t="str">
            <v>ĐG 30.12.2022</v>
          </cell>
        </row>
        <row r="640">
          <cell r="B640">
            <v>0.39999985694885298</v>
          </cell>
          <cell r="C640" t="str">
            <v>Cây Bạch đàn</v>
          </cell>
          <cell r="D640">
            <v>0.39999985694885298</v>
          </cell>
          <cell r="E640">
            <v>0.39999985694885298</v>
          </cell>
          <cell r="F640">
            <v>0.39999985694885298</v>
          </cell>
          <cell r="G640">
            <v>0.39999985694885298</v>
          </cell>
          <cell r="H640">
            <v>0.39999985694885298</v>
          </cell>
          <cell r="I640">
            <v>0.39999985694885298</v>
          </cell>
        </row>
        <row r="641">
          <cell r="B641" t="str">
            <v>Bachdan01</v>
          </cell>
          <cell r="C641" t="str">
            <v>Cây Bạch đàn</v>
          </cell>
          <cell r="D641" t="str">
            <v>cây giống</v>
          </cell>
          <cell r="E641">
            <v>0.39999985694885298</v>
          </cell>
          <cell r="F641" t="str">
            <v>m2</v>
          </cell>
          <cell r="G641">
            <v>0.39999985694885298</v>
          </cell>
          <cell r="H641">
            <v>0.8</v>
          </cell>
          <cell r="I641">
            <v>0.79999971389770497</v>
          </cell>
        </row>
        <row r="642">
          <cell r="B642" t="str">
            <v>Bachdan05</v>
          </cell>
          <cell r="C642" t="str">
            <v>Cây Bạch đàn</v>
          </cell>
          <cell r="D642" t="str">
            <v>đk gốc &lt; 5cm</v>
          </cell>
          <cell r="E642">
            <v>4</v>
          </cell>
          <cell r="F642" t="str">
            <v>cây</v>
          </cell>
          <cell r="G642">
            <v>36000</v>
          </cell>
          <cell r="H642">
            <v>0.8</v>
          </cell>
          <cell r="I642">
            <v>0.79999971389770497</v>
          </cell>
          <cell r="J642" t="str">
            <v>ĐG 30.12.2022</v>
          </cell>
        </row>
        <row r="643">
          <cell r="B643" t="str">
            <v>Bachdan510</v>
          </cell>
          <cell r="C643" t="str">
            <v>Cây Bạch đàn</v>
          </cell>
          <cell r="D643" t="str">
            <v>5cm ≤ đk gốc &lt; 10cm</v>
          </cell>
          <cell r="E643">
            <v>4</v>
          </cell>
          <cell r="F643" t="str">
            <v>cây</v>
          </cell>
          <cell r="G643">
            <v>60000</v>
          </cell>
          <cell r="H643">
            <v>0.8</v>
          </cell>
          <cell r="I643">
            <v>0.79999971389770497</v>
          </cell>
          <cell r="J643" t="str">
            <v>ĐG 30.12.2022</v>
          </cell>
        </row>
        <row r="644">
          <cell r="B644" t="str">
            <v>Bachdan1013</v>
          </cell>
          <cell r="C644" t="str">
            <v>Cây Bạch đàn</v>
          </cell>
          <cell r="D644" t="str">
            <v>10cm ≤ đk gốc &lt; 13cm</v>
          </cell>
          <cell r="E644">
            <v>5</v>
          </cell>
          <cell r="F644" t="str">
            <v>cây</v>
          </cell>
          <cell r="G644">
            <v>90000</v>
          </cell>
          <cell r="H644">
            <v>0.8</v>
          </cell>
          <cell r="I644">
            <v>0.79999971389770497</v>
          </cell>
          <cell r="J644" t="str">
            <v>ĐG 30.12.2022</v>
          </cell>
        </row>
        <row r="645">
          <cell r="B645" t="str">
            <v>Bachdan1320</v>
          </cell>
          <cell r="C645" t="str">
            <v>Cây Bạch đàn</v>
          </cell>
          <cell r="D645" t="str">
            <v>13cm ≤ đk gốc &lt; 20cm</v>
          </cell>
          <cell r="E645">
            <v>5</v>
          </cell>
          <cell r="F645" t="str">
            <v>cây</v>
          </cell>
          <cell r="G645">
            <v>120000</v>
          </cell>
          <cell r="H645">
            <v>0.8</v>
          </cell>
          <cell r="I645">
            <v>0.79999971389770497</v>
          </cell>
          <cell r="J645" t="str">
            <v>ĐG 30.12.2022</v>
          </cell>
        </row>
        <row r="646">
          <cell r="B646" t="str">
            <v>Bachdan2050</v>
          </cell>
          <cell r="C646" t="str">
            <v>Cây Bạch đàn</v>
          </cell>
          <cell r="D646" t="str">
            <v>20cm ≤ đk gốc &lt;50cm</v>
          </cell>
          <cell r="E646">
            <v>6.6666666666666696</v>
          </cell>
          <cell r="F646" t="str">
            <v>cây</v>
          </cell>
          <cell r="G646">
            <v>150000</v>
          </cell>
          <cell r="H646">
            <v>0.8</v>
          </cell>
          <cell r="I646">
            <v>0.79999971389770497</v>
          </cell>
          <cell r="J646" t="str">
            <v>ĐG 30.12.2022</v>
          </cell>
        </row>
        <row r="647">
          <cell r="B647" t="str">
            <v>Bachdan50+</v>
          </cell>
          <cell r="C647" t="str">
            <v>Cây Bạch đàn</v>
          </cell>
          <cell r="D647" t="str">
            <v>đk gốc từ 50cm trở lên</v>
          </cell>
          <cell r="E647">
            <v>6.6666666666666696</v>
          </cell>
          <cell r="F647" t="str">
            <v>cây</v>
          </cell>
          <cell r="G647">
            <v>220000</v>
          </cell>
          <cell r="H647">
            <v>0.8</v>
          </cell>
          <cell r="I647">
            <v>0.79999971389770497</v>
          </cell>
          <cell r="J647" t="str">
            <v>ĐG 30.12.2022</v>
          </cell>
        </row>
        <row r="648">
          <cell r="B648" t="str">
            <v>Bachdan01vmd</v>
          </cell>
          <cell r="C648" t="str">
            <v>Cây Bạch đàn vượt mật độ</v>
          </cell>
          <cell r="D648" t="str">
            <v>cây giống</v>
          </cell>
          <cell r="E648">
            <v>0.79999971389770497</v>
          </cell>
          <cell r="F648" t="str">
            <v>m2</v>
          </cell>
          <cell r="G648">
            <v>0.79999971389770497</v>
          </cell>
          <cell r="H648">
            <v>0.4</v>
          </cell>
          <cell r="I648">
            <v>0.39999985694885298</v>
          </cell>
        </row>
        <row r="649">
          <cell r="B649" t="str">
            <v>Bachdan05vmd</v>
          </cell>
          <cell r="C649" t="str">
            <v>Cây Bạch đàn vượt mật độ</v>
          </cell>
          <cell r="D649" t="str">
            <v>đk gốc &lt; 5cm</v>
          </cell>
          <cell r="E649">
            <v>4</v>
          </cell>
          <cell r="F649" t="str">
            <v>cây</v>
          </cell>
          <cell r="G649">
            <v>36000</v>
          </cell>
          <cell r="H649">
            <v>0.4</v>
          </cell>
          <cell r="I649">
            <v>0.39999985694885298</v>
          </cell>
          <cell r="J649" t="str">
            <v>ĐG 30.12.2022</v>
          </cell>
        </row>
        <row r="650">
          <cell r="B650" t="str">
            <v>Bachdan510vmd</v>
          </cell>
          <cell r="C650" t="str">
            <v>Cây Bạch đàn vượt mật độ</v>
          </cell>
          <cell r="D650" t="str">
            <v>5cm ≤ đk gốc &lt; 10cm</v>
          </cell>
          <cell r="E650">
            <v>4</v>
          </cell>
          <cell r="F650" t="str">
            <v>cây</v>
          </cell>
          <cell r="G650">
            <v>60000</v>
          </cell>
          <cell r="H650">
            <v>0.4</v>
          </cell>
          <cell r="I650">
            <v>0.39999985694885298</v>
          </cell>
          <cell r="J650" t="str">
            <v>ĐG 30.12.2022</v>
          </cell>
        </row>
        <row r="651">
          <cell r="B651" t="str">
            <v>Bachdan1013vmd</v>
          </cell>
          <cell r="C651" t="str">
            <v>Cây Bạch đàn vượt mật độ</v>
          </cell>
          <cell r="D651" t="str">
            <v>10cm ≤ đk gốc &lt; 13cm</v>
          </cell>
          <cell r="E651">
            <v>5</v>
          </cell>
          <cell r="F651" t="str">
            <v>cây</v>
          </cell>
          <cell r="G651">
            <v>90000</v>
          </cell>
          <cell r="H651">
            <v>0.4</v>
          </cell>
          <cell r="I651">
            <v>0.39999985694885298</v>
          </cell>
          <cell r="J651" t="str">
            <v>ĐG 30.12.2022</v>
          </cell>
        </row>
        <row r="652">
          <cell r="B652" t="str">
            <v>Bachdan1320vmd</v>
          </cell>
          <cell r="C652" t="str">
            <v>Cây Bạch đàn vượt mật độ</v>
          </cell>
          <cell r="D652" t="str">
            <v>13cm ≤ đk gốc &lt; 20cm</v>
          </cell>
          <cell r="E652">
            <v>5</v>
          </cell>
          <cell r="F652" t="str">
            <v>cây</v>
          </cell>
          <cell r="G652">
            <v>120000</v>
          </cell>
          <cell r="H652">
            <v>0.4</v>
          </cell>
          <cell r="I652">
            <v>0.39999985694885298</v>
          </cell>
          <cell r="J652" t="str">
            <v>ĐG 30.12.2022</v>
          </cell>
        </row>
        <row r="653">
          <cell r="B653" t="str">
            <v>Bachdan2050vmd</v>
          </cell>
          <cell r="C653" t="str">
            <v>Cây Bạch đàn vượt mật độ</v>
          </cell>
          <cell r="D653" t="str">
            <v>20cm ≤ đk gốc &lt;50cm</v>
          </cell>
          <cell r="E653">
            <v>6.6666666666666696</v>
          </cell>
          <cell r="F653" t="str">
            <v>cây</v>
          </cell>
          <cell r="G653">
            <v>150000</v>
          </cell>
          <cell r="H653">
            <v>0.4</v>
          </cell>
          <cell r="I653">
            <v>0.39999985694885298</v>
          </cell>
          <cell r="J653" t="str">
            <v>ĐG 30.12.2022</v>
          </cell>
        </row>
        <row r="654">
          <cell r="B654" t="str">
            <v>Bachdan50+vmd</v>
          </cell>
          <cell r="C654" t="str">
            <v>Cây Bạch đàn vượt mật độ</v>
          </cell>
          <cell r="D654" t="str">
            <v>đk gốc từ 50cm trở lên</v>
          </cell>
          <cell r="E654">
            <v>6.6666666666666696</v>
          </cell>
          <cell r="F654" t="str">
            <v>cây</v>
          </cell>
          <cell r="G654">
            <v>220000</v>
          </cell>
          <cell r="H654">
            <v>0.4</v>
          </cell>
          <cell r="I654">
            <v>0.39999985694885298</v>
          </cell>
          <cell r="J654" t="str">
            <v>ĐG 30.12.2022</v>
          </cell>
        </row>
        <row r="655">
          <cell r="B655">
            <v>0.39999985694885298</v>
          </cell>
          <cell r="C655" t="str">
            <v>Cây Sưa</v>
          </cell>
          <cell r="D655">
            <v>0.39999985694885298</v>
          </cell>
          <cell r="E655">
            <v>0.39999985694885298</v>
          </cell>
          <cell r="F655">
            <v>0.39999985694885298</v>
          </cell>
          <cell r="G655">
            <v>0.39999985694885298</v>
          </cell>
          <cell r="H655">
            <v>0.39999985694885298</v>
          </cell>
          <cell r="I655">
            <v>0.39999985694885298</v>
          </cell>
        </row>
        <row r="656">
          <cell r="B656" t="str">
            <v>Sua01</v>
          </cell>
          <cell r="C656" t="str">
            <v>Cây sưa</v>
          </cell>
          <cell r="D656" t="str">
            <v>cây giống</v>
          </cell>
          <cell r="E656">
            <v>0.39999985694885298</v>
          </cell>
          <cell r="F656" t="str">
            <v>m2</v>
          </cell>
          <cell r="G656">
            <v>0.39999985694885298</v>
          </cell>
          <cell r="H656">
            <v>0.8</v>
          </cell>
          <cell r="I656">
            <v>0.79999971389770497</v>
          </cell>
        </row>
        <row r="657">
          <cell r="B657" t="str">
            <v>Sua05</v>
          </cell>
          <cell r="C657" t="str">
            <v>Cây sưa</v>
          </cell>
          <cell r="D657" t="str">
            <v>đk gốc &lt; 5cm</v>
          </cell>
          <cell r="E657">
            <v>4</v>
          </cell>
          <cell r="F657" t="str">
            <v>cây</v>
          </cell>
          <cell r="G657">
            <v>36000</v>
          </cell>
          <cell r="H657">
            <v>0.8</v>
          </cell>
          <cell r="I657">
            <v>0.79999971389770497</v>
          </cell>
          <cell r="J657" t="str">
            <v>ĐG 30.12.2022</v>
          </cell>
        </row>
        <row r="658">
          <cell r="B658" t="str">
            <v>Sua510</v>
          </cell>
          <cell r="C658" t="str">
            <v>Cây sưa</v>
          </cell>
          <cell r="D658" t="str">
            <v>5cm ≤ đk gốc &lt; 10cm</v>
          </cell>
          <cell r="E658">
            <v>4</v>
          </cell>
          <cell r="F658" t="str">
            <v>cây</v>
          </cell>
          <cell r="G658">
            <v>60000</v>
          </cell>
          <cell r="H658">
            <v>0.8</v>
          </cell>
          <cell r="I658">
            <v>0.79999971389770497</v>
          </cell>
          <cell r="J658" t="str">
            <v>ĐG 30.12.2022</v>
          </cell>
        </row>
        <row r="659">
          <cell r="B659" t="str">
            <v>Sua1013</v>
          </cell>
          <cell r="C659" t="str">
            <v>Cây sưa</v>
          </cell>
          <cell r="D659" t="str">
            <v>10cm ≤ đk gốc &lt; 13cm</v>
          </cell>
          <cell r="E659">
            <v>5</v>
          </cell>
          <cell r="F659" t="str">
            <v>cây</v>
          </cell>
          <cell r="G659">
            <v>90000</v>
          </cell>
          <cell r="H659">
            <v>0.8</v>
          </cell>
          <cell r="I659">
            <v>0.79999971389770497</v>
          </cell>
          <cell r="J659" t="str">
            <v>ĐG 30.12.2022</v>
          </cell>
        </row>
        <row r="660">
          <cell r="B660" t="str">
            <v>Sua1320</v>
          </cell>
          <cell r="C660" t="str">
            <v>Cây sưa</v>
          </cell>
          <cell r="D660" t="str">
            <v>13cm ≤ đk gốc &lt; 20cm</v>
          </cell>
          <cell r="E660">
            <v>5</v>
          </cell>
          <cell r="F660" t="str">
            <v>cây</v>
          </cell>
          <cell r="G660">
            <v>120000</v>
          </cell>
          <cell r="H660">
            <v>0.8</v>
          </cell>
          <cell r="I660">
            <v>0.79999971389770497</v>
          </cell>
          <cell r="J660" t="str">
            <v>ĐG 30.12.2022</v>
          </cell>
        </row>
        <row r="661">
          <cell r="B661" t="str">
            <v>Sua2050</v>
          </cell>
          <cell r="C661" t="str">
            <v>Cây sưa</v>
          </cell>
          <cell r="D661" t="str">
            <v>20cm ≤ đk gốc &lt;50cm</v>
          </cell>
          <cell r="E661">
            <v>6.6666666666666696</v>
          </cell>
          <cell r="F661" t="str">
            <v>cây</v>
          </cell>
          <cell r="G661">
            <v>150000</v>
          </cell>
          <cell r="H661">
            <v>0.8</v>
          </cell>
          <cell r="I661">
            <v>0.79999971389770497</v>
          </cell>
          <cell r="J661" t="str">
            <v>ĐG 30.12.2022</v>
          </cell>
        </row>
        <row r="662">
          <cell r="B662" t="str">
            <v>Sua50+</v>
          </cell>
          <cell r="C662" t="str">
            <v>Cây sưa</v>
          </cell>
          <cell r="D662" t="str">
            <v>đk gốc từ 50cm trở lên</v>
          </cell>
          <cell r="E662">
            <v>6.6666666666666696</v>
          </cell>
          <cell r="F662" t="str">
            <v>cây</v>
          </cell>
          <cell r="G662">
            <v>220000</v>
          </cell>
          <cell r="H662">
            <v>0.8</v>
          </cell>
          <cell r="I662">
            <v>0.79999971389770497</v>
          </cell>
          <cell r="J662" t="str">
            <v>ĐG 30.12.2022</v>
          </cell>
        </row>
        <row r="663">
          <cell r="B663" t="str">
            <v>Sua01vmd</v>
          </cell>
          <cell r="C663" t="str">
            <v>Cây sưa vượt mật độ</v>
          </cell>
          <cell r="D663" t="str">
            <v>cây giống</v>
          </cell>
          <cell r="E663">
            <v>0.79999971389770497</v>
          </cell>
          <cell r="F663" t="str">
            <v>m2</v>
          </cell>
          <cell r="G663">
            <v>0.79999971389770497</v>
          </cell>
          <cell r="H663">
            <v>0.4</v>
          </cell>
          <cell r="I663">
            <v>0.39999985694885298</v>
          </cell>
        </row>
        <row r="664">
          <cell r="B664" t="str">
            <v>Sua05vmd</v>
          </cell>
          <cell r="C664" t="str">
            <v>Cây sưa vượt mật độ</v>
          </cell>
          <cell r="D664" t="str">
            <v>đk gốc &lt; 5cm</v>
          </cell>
          <cell r="E664">
            <v>4</v>
          </cell>
          <cell r="F664" t="str">
            <v>cây</v>
          </cell>
          <cell r="G664">
            <v>36000</v>
          </cell>
          <cell r="H664">
            <v>0.4</v>
          </cell>
          <cell r="I664">
            <v>0.39999985694885298</v>
          </cell>
          <cell r="J664" t="str">
            <v>ĐG 30.12.2022</v>
          </cell>
        </row>
        <row r="665">
          <cell r="B665" t="str">
            <v>Sua510vmd</v>
          </cell>
          <cell r="C665" t="str">
            <v>Cây sưa vượt mật độ</v>
          </cell>
          <cell r="D665" t="str">
            <v>5cm ≤ đk gốc &lt; 10cm</v>
          </cell>
          <cell r="E665">
            <v>4</v>
          </cell>
          <cell r="F665" t="str">
            <v>cây</v>
          </cell>
          <cell r="G665">
            <v>60000</v>
          </cell>
          <cell r="H665">
            <v>0.4</v>
          </cell>
          <cell r="I665">
            <v>0.39999985694885298</v>
          </cell>
          <cell r="J665" t="str">
            <v>ĐG 30.12.2022</v>
          </cell>
        </row>
        <row r="666">
          <cell r="B666" t="str">
            <v>Sua1013vmd</v>
          </cell>
          <cell r="C666" t="str">
            <v>Cây sưa vượt mật độ</v>
          </cell>
          <cell r="D666" t="str">
            <v>10cm ≤ đk gốc &lt; 13cm</v>
          </cell>
          <cell r="E666">
            <v>5</v>
          </cell>
          <cell r="F666" t="str">
            <v>cây</v>
          </cell>
          <cell r="G666">
            <v>90000</v>
          </cell>
          <cell r="H666">
            <v>0.4</v>
          </cell>
          <cell r="I666">
            <v>0.39999985694885298</v>
          </cell>
          <cell r="J666" t="str">
            <v>ĐG 30.12.2022</v>
          </cell>
        </row>
        <row r="667">
          <cell r="B667" t="str">
            <v>Sua1320vmd</v>
          </cell>
          <cell r="C667" t="str">
            <v>Cây sưa vượt mật độ</v>
          </cell>
          <cell r="D667" t="str">
            <v>13cm ≤ đk gốc &lt; 20cm</v>
          </cell>
          <cell r="E667">
            <v>5</v>
          </cell>
          <cell r="F667" t="str">
            <v>cây</v>
          </cell>
          <cell r="G667">
            <v>120000</v>
          </cell>
          <cell r="H667">
            <v>0.4</v>
          </cell>
          <cell r="I667">
            <v>0.39999985694885298</v>
          </cell>
          <cell r="J667" t="str">
            <v>ĐG 30.12.2022</v>
          </cell>
        </row>
        <row r="668">
          <cell r="B668" t="str">
            <v>Sua2050vmd</v>
          </cell>
          <cell r="C668" t="str">
            <v>Cây sưa vượt mật độ</v>
          </cell>
          <cell r="D668" t="str">
            <v>20cm ≤ đk gốc &lt;50cm</v>
          </cell>
          <cell r="E668">
            <v>6.6666666666666696</v>
          </cell>
          <cell r="F668" t="str">
            <v>cây</v>
          </cell>
          <cell r="G668">
            <v>150000</v>
          </cell>
          <cell r="H668">
            <v>0.4</v>
          </cell>
          <cell r="I668">
            <v>0.39999985694885298</v>
          </cell>
          <cell r="J668" t="str">
            <v>ĐG 30.12.2022</v>
          </cell>
        </row>
        <row r="669">
          <cell r="B669" t="str">
            <v>Sua50+vmd</v>
          </cell>
          <cell r="C669" t="str">
            <v>Cây sưa vượt mật độ</v>
          </cell>
          <cell r="D669" t="str">
            <v>đk gốc từ 50cm trở lên</v>
          </cell>
          <cell r="E669">
            <v>6.6666666666666696</v>
          </cell>
          <cell r="F669" t="str">
            <v>cây</v>
          </cell>
          <cell r="G669">
            <v>220000</v>
          </cell>
          <cell r="H669">
            <v>0.4</v>
          </cell>
          <cell r="I669">
            <v>0.39999985694885298</v>
          </cell>
          <cell r="J669" t="str">
            <v>ĐG 30.12.2022</v>
          </cell>
        </row>
        <row r="670">
          <cell r="B670">
            <v>0.39999985694885298</v>
          </cell>
          <cell r="C670" t="str">
            <v>Cây Duối</v>
          </cell>
          <cell r="D670">
            <v>0.39999985694885298</v>
          </cell>
          <cell r="E670">
            <v>0.39999985694885298</v>
          </cell>
          <cell r="F670">
            <v>0.39999985694885298</v>
          </cell>
          <cell r="G670">
            <v>0.39999985694885298</v>
          </cell>
          <cell r="H670">
            <v>0.39999985694885298</v>
          </cell>
          <cell r="I670">
            <v>0.39999985694885298</v>
          </cell>
        </row>
        <row r="671">
          <cell r="B671" t="str">
            <v>Duối01</v>
          </cell>
          <cell r="C671" t="str">
            <v>Cây duối</v>
          </cell>
          <cell r="D671" t="str">
            <v>cây giống</v>
          </cell>
          <cell r="E671">
            <v>0.39999985694885298</v>
          </cell>
          <cell r="F671" t="str">
            <v>m2</v>
          </cell>
          <cell r="G671">
            <v>36000</v>
          </cell>
          <cell r="H671">
            <v>0.8</v>
          </cell>
          <cell r="I671">
            <v>0.79999971389770497</v>
          </cell>
          <cell r="J671" t="str">
            <v>ĐG 30.12.2022</v>
          </cell>
        </row>
        <row r="672">
          <cell r="B672" t="str">
            <v>Duối27</v>
          </cell>
          <cell r="C672" t="str">
            <v>Cây duối</v>
          </cell>
          <cell r="D672" t="str">
            <v>2cm ≤ đk gốc &lt; 7cm</v>
          </cell>
          <cell r="E672">
            <v>5</v>
          </cell>
          <cell r="F672" t="str">
            <v>cây</v>
          </cell>
          <cell r="G672">
            <v>45000</v>
          </cell>
          <cell r="H672">
            <v>0.8</v>
          </cell>
          <cell r="I672">
            <v>0.79999971389770497</v>
          </cell>
          <cell r="J672" t="str">
            <v>ĐG 30.12.2022</v>
          </cell>
        </row>
        <row r="673">
          <cell r="B673" t="str">
            <v>Duối712</v>
          </cell>
          <cell r="C673" t="str">
            <v>Cây duối</v>
          </cell>
          <cell r="D673" t="str">
            <v>7cm ≤ đk gốc &lt; 12cm</v>
          </cell>
          <cell r="E673">
            <v>6.6666666666666696</v>
          </cell>
          <cell r="F673" t="str">
            <v>cây</v>
          </cell>
          <cell r="G673">
            <v>80000</v>
          </cell>
          <cell r="H673">
            <v>0.8</v>
          </cell>
          <cell r="I673">
            <v>0.79999971389770497</v>
          </cell>
          <cell r="J673" t="str">
            <v>ĐG 30.12.2022</v>
          </cell>
        </row>
        <row r="674">
          <cell r="B674" t="str">
            <v>Duối1220</v>
          </cell>
          <cell r="C674" t="str">
            <v>Cây duối</v>
          </cell>
          <cell r="D674" t="str">
            <v>12cm ≤ đk gốc &lt; 20cm</v>
          </cell>
          <cell r="E674">
            <v>8.3720930232558093</v>
          </cell>
          <cell r="F674" t="str">
            <v>cây</v>
          </cell>
          <cell r="G674">
            <v>110000</v>
          </cell>
          <cell r="H674">
            <v>0.8</v>
          </cell>
          <cell r="I674">
            <v>0.79999971389770497</v>
          </cell>
          <cell r="J674" t="str">
            <v>ĐG 30.12.2022</v>
          </cell>
        </row>
        <row r="675">
          <cell r="B675" t="str">
            <v>Duối2030</v>
          </cell>
          <cell r="C675" t="str">
            <v>Cây duối</v>
          </cell>
          <cell r="D675" t="str">
            <v>20cm ≤ đk gốc &lt; 30cm</v>
          </cell>
          <cell r="E675">
            <v>8.3720930232558093</v>
          </cell>
          <cell r="F675" t="str">
            <v>cây</v>
          </cell>
          <cell r="G675">
            <v>150000</v>
          </cell>
          <cell r="H675">
            <v>0.8</v>
          </cell>
          <cell r="I675">
            <v>0.79999971389770497</v>
          </cell>
          <cell r="J675" t="str">
            <v>ĐG 30.12.2022</v>
          </cell>
        </row>
        <row r="676">
          <cell r="B676" t="str">
            <v>Duối30+</v>
          </cell>
          <cell r="C676" t="str">
            <v>Cây duối</v>
          </cell>
          <cell r="D676" t="str">
            <v>đk gốc từ 30cm trở lên</v>
          </cell>
          <cell r="E676">
            <v>16.363636363636399</v>
          </cell>
          <cell r="F676" t="str">
            <v>cây</v>
          </cell>
          <cell r="G676">
            <v>220000</v>
          </cell>
          <cell r="H676">
            <v>0.8</v>
          </cell>
          <cell r="I676">
            <v>0.79999971389770497</v>
          </cell>
          <cell r="J676" t="str">
            <v>ĐG 30.12.2022</v>
          </cell>
        </row>
        <row r="677">
          <cell r="B677" t="str">
            <v>Duối01vmd</v>
          </cell>
          <cell r="C677" t="str">
            <v>Cây duối vượt mật độ</v>
          </cell>
          <cell r="D677" t="str">
            <v>cây giống</v>
          </cell>
          <cell r="E677">
            <v>0.79999971389770497</v>
          </cell>
          <cell r="F677" t="str">
            <v>m2</v>
          </cell>
          <cell r="G677">
            <v>36000</v>
          </cell>
          <cell r="H677">
            <v>0.4</v>
          </cell>
          <cell r="I677">
            <v>0.39999985694885298</v>
          </cell>
          <cell r="J677" t="str">
            <v>ĐG 30.12.2022</v>
          </cell>
        </row>
        <row r="678">
          <cell r="B678" t="str">
            <v>Duối27vmd</v>
          </cell>
          <cell r="C678" t="str">
            <v>Cây duối vượt mật độ</v>
          </cell>
          <cell r="D678" t="str">
            <v>2cm ≤ đk gốc &lt; 7cm</v>
          </cell>
          <cell r="E678">
            <v>5</v>
          </cell>
          <cell r="F678" t="str">
            <v>cây</v>
          </cell>
          <cell r="G678">
            <v>45000</v>
          </cell>
          <cell r="H678">
            <v>0.4</v>
          </cell>
          <cell r="I678">
            <v>0.39999985694885298</v>
          </cell>
          <cell r="J678" t="str">
            <v>ĐG 30.12.2022</v>
          </cell>
        </row>
        <row r="679">
          <cell r="B679" t="str">
            <v>Duối712vmd</v>
          </cell>
          <cell r="C679" t="str">
            <v>Cây duối vượt mật độ</v>
          </cell>
          <cell r="D679" t="str">
            <v>7cm ≤ đk gốc &lt; 12cm</v>
          </cell>
          <cell r="E679">
            <v>6.6666666666666696</v>
          </cell>
          <cell r="F679" t="str">
            <v>cây</v>
          </cell>
          <cell r="G679">
            <v>80000</v>
          </cell>
          <cell r="H679">
            <v>0.4</v>
          </cell>
          <cell r="I679">
            <v>0.39999985694885298</v>
          </cell>
          <cell r="J679" t="str">
            <v>ĐG 30.12.2022</v>
          </cell>
        </row>
        <row r="680">
          <cell r="B680" t="str">
            <v>Duối1220vmd</v>
          </cell>
          <cell r="C680" t="str">
            <v>Cây duối</v>
          </cell>
          <cell r="D680" t="str">
            <v>12cm ≤ đk gốc &lt; 20cm</v>
          </cell>
          <cell r="E680">
            <v>8.3720930232558093</v>
          </cell>
          <cell r="F680" t="str">
            <v>cây</v>
          </cell>
          <cell r="G680">
            <v>110000</v>
          </cell>
          <cell r="H680">
            <v>0.4</v>
          </cell>
          <cell r="I680">
            <v>0.39999985694885298</v>
          </cell>
          <cell r="J680" t="str">
            <v>ĐG 30.12.2022</v>
          </cell>
        </row>
        <row r="681">
          <cell r="B681" t="str">
            <v>Duối2030vmd</v>
          </cell>
          <cell r="C681" t="str">
            <v>Cây duối vượt mật độ</v>
          </cell>
          <cell r="D681" t="str">
            <v>20cm ≤ đk gốc &lt; 30cm</v>
          </cell>
          <cell r="E681">
            <v>8.3720930232558093</v>
          </cell>
          <cell r="F681" t="str">
            <v>cây</v>
          </cell>
          <cell r="G681">
            <v>150000</v>
          </cell>
          <cell r="H681">
            <v>0.4</v>
          </cell>
          <cell r="I681">
            <v>0.39999985694885298</v>
          </cell>
          <cell r="J681" t="str">
            <v>ĐG 30.12.2022</v>
          </cell>
        </row>
        <row r="682">
          <cell r="B682" t="str">
            <v>Duối30+vmd</v>
          </cell>
          <cell r="C682" t="str">
            <v>Cây duối vượt mật độ</v>
          </cell>
          <cell r="D682" t="str">
            <v>đk gốc từ 30cm trở lên</v>
          </cell>
          <cell r="E682">
            <v>16.363636363636399</v>
          </cell>
          <cell r="F682" t="str">
            <v>cây</v>
          </cell>
          <cell r="G682">
            <v>220000</v>
          </cell>
          <cell r="H682">
            <v>0.4</v>
          </cell>
          <cell r="I682">
            <v>0.39999985694885298</v>
          </cell>
          <cell r="J682" t="str">
            <v>ĐG 30.12.2022</v>
          </cell>
        </row>
        <row r="683">
          <cell r="B683">
            <v>0.39999985694885298</v>
          </cell>
          <cell r="C683" t="str">
            <v>Cây dâu tằm</v>
          </cell>
          <cell r="D683">
            <v>0.39999985694885298</v>
          </cell>
          <cell r="E683">
            <v>0.39999985694885298</v>
          </cell>
          <cell r="F683">
            <v>0.39999985694885298</v>
          </cell>
          <cell r="G683">
            <v>0.39999985694885298</v>
          </cell>
          <cell r="H683">
            <v>0.39999985694885298</v>
          </cell>
          <cell r="I683">
            <v>0.39999985694885298</v>
          </cell>
        </row>
        <row r="684">
          <cell r="B684" t="str">
            <v>Dautam01</v>
          </cell>
          <cell r="C684" t="str">
            <v>Cây dâu tằm</v>
          </cell>
          <cell r="D684" t="str">
            <v>cây giống</v>
          </cell>
          <cell r="E684">
            <v>0.39999985694885298</v>
          </cell>
          <cell r="F684" t="str">
            <v>m2</v>
          </cell>
          <cell r="G684">
            <v>36000</v>
          </cell>
          <cell r="H684">
            <v>0.8</v>
          </cell>
          <cell r="I684">
            <v>0.79999971389770497</v>
          </cell>
        </row>
        <row r="685">
          <cell r="B685" t="str">
            <v>Dautam05</v>
          </cell>
          <cell r="C685" t="str">
            <v>Cây dâu tằm</v>
          </cell>
          <cell r="D685" t="str">
            <v>đk gốc &lt; 5cm</v>
          </cell>
          <cell r="E685">
            <v>4</v>
          </cell>
          <cell r="F685" t="str">
            <v>cây</v>
          </cell>
          <cell r="G685">
            <v>48000</v>
          </cell>
          <cell r="H685">
            <v>0.8</v>
          </cell>
          <cell r="I685">
            <v>0.79999971389770497</v>
          </cell>
        </row>
        <row r="686">
          <cell r="B686" t="str">
            <v>Dautam510</v>
          </cell>
          <cell r="C686" t="str">
            <v>Cây dâu tằm</v>
          </cell>
          <cell r="D686" t="str">
            <v>5cm ≤ đk gốc &lt; 10cm</v>
          </cell>
          <cell r="E686">
            <v>4</v>
          </cell>
          <cell r="F686" t="str">
            <v>cây</v>
          </cell>
          <cell r="G686">
            <v>70000</v>
          </cell>
          <cell r="H686">
            <v>0.8</v>
          </cell>
          <cell r="I686">
            <v>0.79999971389770497</v>
          </cell>
        </row>
        <row r="687">
          <cell r="B687" t="str">
            <v>Dautam1013</v>
          </cell>
          <cell r="C687" t="str">
            <v>Cây dâu tằm</v>
          </cell>
          <cell r="D687" t="str">
            <v>10cm ≤ đk gốc &lt; 13cm</v>
          </cell>
          <cell r="E687">
            <v>5</v>
          </cell>
          <cell r="F687" t="str">
            <v>cây</v>
          </cell>
          <cell r="G687">
            <v>95000</v>
          </cell>
          <cell r="H687">
            <v>0.8</v>
          </cell>
          <cell r="I687">
            <v>0.79999971389770497</v>
          </cell>
        </row>
        <row r="688">
          <cell r="B688" t="str">
            <v>Dautam1320</v>
          </cell>
          <cell r="C688" t="str">
            <v>Cây dâu tằm</v>
          </cell>
          <cell r="D688" t="str">
            <v>13cm ≤ đk gốc &lt; 20cm</v>
          </cell>
          <cell r="E688">
            <v>5</v>
          </cell>
          <cell r="F688" t="str">
            <v>cây</v>
          </cell>
          <cell r="G688">
            <v>120000</v>
          </cell>
          <cell r="H688">
            <v>0.8</v>
          </cell>
          <cell r="I688">
            <v>0.79999971389770497</v>
          </cell>
        </row>
        <row r="689">
          <cell r="B689" t="str">
            <v>Dautam2050</v>
          </cell>
          <cell r="C689" t="str">
            <v>Cây dâu tằm</v>
          </cell>
          <cell r="D689" t="str">
            <v>20cm ≤ đk gốc &lt;50cm</v>
          </cell>
          <cell r="E689">
            <v>6.6666666666666696</v>
          </cell>
          <cell r="F689" t="str">
            <v>cây</v>
          </cell>
          <cell r="G689">
            <v>145000</v>
          </cell>
          <cell r="H689">
            <v>0.8</v>
          </cell>
          <cell r="I689">
            <v>0.79999971389770497</v>
          </cell>
        </row>
        <row r="690">
          <cell r="B690" t="str">
            <v>Dautam50+</v>
          </cell>
          <cell r="C690" t="str">
            <v>Cây dâu tằm</v>
          </cell>
          <cell r="D690" t="str">
            <v>đk gốc từ 50cm trở lên</v>
          </cell>
          <cell r="E690">
            <v>6.6666666666666696</v>
          </cell>
          <cell r="F690" t="str">
            <v>cây</v>
          </cell>
          <cell r="G690">
            <v>180000</v>
          </cell>
          <cell r="H690">
            <v>0.8</v>
          </cell>
          <cell r="I690">
            <v>0.79999971389770497</v>
          </cell>
        </row>
        <row r="691">
          <cell r="B691">
            <v>0.79999971389770497</v>
          </cell>
          <cell r="C691" t="str">
            <v>Cây Trúc</v>
          </cell>
          <cell r="D691">
            <v>0.79999971389770497</v>
          </cell>
          <cell r="E691">
            <v>0.79999971389770497</v>
          </cell>
          <cell r="F691">
            <v>0.79999971389770497</v>
          </cell>
          <cell r="G691">
            <v>0.79999971389770497</v>
          </cell>
          <cell r="H691">
            <v>0.79999971389770497</v>
          </cell>
          <cell r="I691">
            <v>0.79999971389770497</v>
          </cell>
        </row>
        <row r="692">
          <cell r="B692" t="str">
            <v>Trúc</v>
          </cell>
          <cell r="C692" t="str">
            <v>Cây trúc</v>
          </cell>
          <cell r="D692">
            <v>0.79999971389770497</v>
          </cell>
          <cell r="E692">
            <v>0.79999971389770497</v>
          </cell>
          <cell r="F692" t="str">
            <v>m2</v>
          </cell>
          <cell r="G692">
            <v>40000</v>
          </cell>
          <cell r="H692">
            <v>0.8</v>
          </cell>
          <cell r="I692">
            <v>0.79999971389770497</v>
          </cell>
        </row>
        <row r="693">
          <cell r="B693" t="str">
            <v>Trúc.vmd</v>
          </cell>
          <cell r="C693" t="str">
            <v>Cây trúc vượt mật độ</v>
          </cell>
          <cell r="D693">
            <v>0.79999971389770497</v>
          </cell>
          <cell r="E693">
            <v>0.79999971389770497</v>
          </cell>
          <cell r="F693" t="str">
            <v>m2</v>
          </cell>
          <cell r="G693">
            <v>40000</v>
          </cell>
          <cell r="H693">
            <v>0.4</v>
          </cell>
          <cell r="I693">
            <v>0.39999985694885298</v>
          </cell>
        </row>
        <row r="694">
          <cell r="B694" t="str">
            <v>Trúc02</v>
          </cell>
          <cell r="C694" t="str">
            <v>Cây trúc</v>
          </cell>
          <cell r="D694" t="str">
            <v>đk gốc 2cm</v>
          </cell>
          <cell r="E694">
            <v>0.39999985694885298</v>
          </cell>
          <cell r="F694" t="str">
            <v>m2</v>
          </cell>
          <cell r="G694">
            <v>40000</v>
          </cell>
          <cell r="H694">
            <v>0.8</v>
          </cell>
          <cell r="I694">
            <v>0.79999971389770497</v>
          </cell>
          <cell r="J694" t="str">
            <v>Quy tính diện tích còn lại</v>
          </cell>
        </row>
        <row r="695">
          <cell r="B695" t="str">
            <v>Trúc05</v>
          </cell>
          <cell r="C695" t="str">
            <v>Cây trúc</v>
          </cell>
          <cell r="D695" t="str">
            <v>đk gốc 5cm</v>
          </cell>
          <cell r="E695">
            <v>0.79999971389770497</v>
          </cell>
          <cell r="F695" t="str">
            <v>m2</v>
          </cell>
          <cell r="G695">
            <v>40000</v>
          </cell>
          <cell r="H695">
            <v>0.8</v>
          </cell>
          <cell r="I695">
            <v>0.79999971389770497</v>
          </cell>
          <cell r="J695" t="str">
            <v>Quy tính diện tích còn lại</v>
          </cell>
        </row>
        <row r="696">
          <cell r="B696" t="str">
            <v>Trúc02#</v>
          </cell>
          <cell r="C696" t="str">
            <v>Cây trúc trồng trên đất GTTL</v>
          </cell>
          <cell r="D696" t="str">
            <v>đk gốc 2cm</v>
          </cell>
          <cell r="E696">
            <v>0.79999971389770497</v>
          </cell>
          <cell r="F696" t="str">
            <v>m2</v>
          </cell>
          <cell r="G696">
            <v>40000</v>
          </cell>
          <cell r="H696">
            <v>0.8</v>
          </cell>
          <cell r="I696">
            <v>0.79999971389770497</v>
          </cell>
          <cell r="J696" t="str">
            <v>Quy tính diện tích còn lại</v>
          </cell>
        </row>
        <row r="697">
          <cell r="B697" t="str">
            <v>TrúcQT01</v>
          </cell>
          <cell r="C697" t="str">
            <v>Cây trúc quân tử</v>
          </cell>
          <cell r="D697">
            <v>0.79999971389770497</v>
          </cell>
          <cell r="E697">
            <v>0.79999971389770497</v>
          </cell>
          <cell r="F697" t="str">
            <v>m2</v>
          </cell>
          <cell r="G697">
            <v>40000</v>
          </cell>
          <cell r="H697">
            <v>0.8</v>
          </cell>
          <cell r="I697">
            <v>0.79999971389770497</v>
          </cell>
        </row>
        <row r="698">
          <cell r="B698" t="str">
            <v>TrúcQT02</v>
          </cell>
          <cell r="C698" t="str">
            <v>Cây trúc quân tử</v>
          </cell>
          <cell r="D698" t="str">
            <v>đk gốc 2cm</v>
          </cell>
          <cell r="E698">
            <v>0.79999971389770497</v>
          </cell>
          <cell r="F698" t="str">
            <v>m2</v>
          </cell>
          <cell r="G698">
            <v>40000</v>
          </cell>
          <cell r="H698">
            <v>0.8</v>
          </cell>
          <cell r="I698">
            <v>0.79999971389770497</v>
          </cell>
          <cell r="J698" t="str">
            <v>Quy tính diện tích còn lại</v>
          </cell>
        </row>
        <row r="699">
          <cell r="B699" t="str">
            <v>TrúcQT05</v>
          </cell>
          <cell r="C699" t="str">
            <v>Cây trúc quân tử</v>
          </cell>
          <cell r="D699" t="str">
            <v>đk gốc 5cm</v>
          </cell>
          <cell r="E699">
            <v>0.79999971389770497</v>
          </cell>
          <cell r="F699" t="str">
            <v>m2</v>
          </cell>
          <cell r="G699">
            <v>40000</v>
          </cell>
          <cell r="H699">
            <v>0.8</v>
          </cell>
          <cell r="I699">
            <v>0.79999971389770497</v>
          </cell>
          <cell r="J699" t="str">
            <v>Quy tính diện tích còn lại</v>
          </cell>
        </row>
        <row r="700">
          <cell r="B700" t="str">
            <v>Trúcmây02</v>
          </cell>
          <cell r="C700" t="str">
            <v>Cây trúc mây</v>
          </cell>
          <cell r="D700" t="str">
            <v>đk gốc 2cm</v>
          </cell>
          <cell r="E700">
            <v>0.79999971389770497</v>
          </cell>
          <cell r="F700" t="str">
            <v>m2</v>
          </cell>
          <cell r="G700">
            <v>40000</v>
          </cell>
          <cell r="H700">
            <v>0.8</v>
          </cell>
          <cell r="I700">
            <v>0.79999971389770497</v>
          </cell>
          <cell r="J700" t="str">
            <v>Quy tính diện tích còn lại</v>
          </cell>
        </row>
        <row r="701">
          <cell r="B701" t="str">
            <v>Trúcpb</v>
          </cell>
          <cell r="C701" t="str">
            <v>Cây trúc phật bà</v>
          </cell>
          <cell r="D701" t="str">
            <v>5cm ≤ đk gốc</v>
          </cell>
          <cell r="E701">
            <v>0.79999971389770497</v>
          </cell>
          <cell r="F701" t="str">
            <v>m2</v>
          </cell>
          <cell r="G701">
            <v>40000</v>
          </cell>
          <cell r="H701">
            <v>0.8</v>
          </cell>
          <cell r="I701">
            <v>0.79999971389770497</v>
          </cell>
          <cell r="J701" t="str">
            <v>Quy tính diện tích còn lại</v>
          </cell>
        </row>
        <row r="702">
          <cell r="B702" t="str">
            <v>Trúcpb35</v>
          </cell>
          <cell r="C702" t="str">
            <v>Cây trúc phật bà</v>
          </cell>
          <cell r="D702" t="str">
            <v>3cm ≤ đk gốc ≤ 5cm</v>
          </cell>
          <cell r="E702">
            <v>0.79999971389770497</v>
          </cell>
          <cell r="F702" t="str">
            <v>m2</v>
          </cell>
          <cell r="G702">
            <v>40000</v>
          </cell>
          <cell r="H702">
            <v>0.8</v>
          </cell>
          <cell r="I702">
            <v>0.79999971389770497</v>
          </cell>
          <cell r="J702" t="str">
            <v>Quy tính diện tích còn lại</v>
          </cell>
        </row>
        <row r="703">
          <cell r="B703" t="str">
            <v>Trúcpb710</v>
          </cell>
          <cell r="C703" t="str">
            <v>Cây trúc phật bà</v>
          </cell>
          <cell r="D703" t="str">
            <v>7cm ≤ đk gốc ≤ 10cm</v>
          </cell>
          <cell r="E703">
            <v>0.79999971389770497</v>
          </cell>
          <cell r="F703" t="str">
            <v>m2</v>
          </cell>
          <cell r="G703">
            <v>40000</v>
          </cell>
          <cell r="H703">
            <v>0.8</v>
          </cell>
          <cell r="I703">
            <v>0.79999971389770497</v>
          </cell>
          <cell r="J703" t="str">
            <v>Quy tính diện tích còn lại</v>
          </cell>
        </row>
        <row r="704">
          <cell r="B704" t="str">
            <v>Trúcpb35mt</v>
          </cell>
          <cell r="C704" t="str">
            <v>Cây trúc phật bà mới trồng</v>
          </cell>
          <cell r="D704" t="str">
            <v>3cm ≤ đk gốc ≤ 5cm</v>
          </cell>
          <cell r="E704">
            <v>0.79999971389770497</v>
          </cell>
          <cell r="F704" t="str">
            <v>m2</v>
          </cell>
          <cell r="G704">
            <v>40000</v>
          </cell>
          <cell r="H704">
            <v>0.8</v>
          </cell>
          <cell r="I704">
            <v>0.79999971389770497</v>
          </cell>
          <cell r="J704" t="str">
            <v>Quy tính diện tích còn lại</v>
          </cell>
        </row>
        <row r="705">
          <cell r="B705" t="str">
            <v>TrúcNhật01</v>
          </cell>
          <cell r="C705" t="str">
            <v>Cây trúc Nhật</v>
          </cell>
          <cell r="D705">
            <v>0.79999971389770497</v>
          </cell>
          <cell r="E705">
            <v>0.79999971389770497</v>
          </cell>
          <cell r="F705" t="str">
            <v>m2</v>
          </cell>
          <cell r="G705">
            <v>40000</v>
          </cell>
          <cell r="H705">
            <v>0.8</v>
          </cell>
          <cell r="I705">
            <v>0.79999971389770497</v>
          </cell>
        </row>
        <row r="706">
          <cell r="B706" t="str">
            <v>đã sửa</v>
          </cell>
          <cell r="C706" t="str">
            <v>Cây Đào</v>
          </cell>
          <cell r="D706">
            <v>0.79999971389770497</v>
          </cell>
          <cell r="E706">
            <v>0.79999971389770497</v>
          </cell>
          <cell r="F706">
            <v>0.79999971389770497</v>
          </cell>
          <cell r="G706">
            <v>0.79999971389770497</v>
          </cell>
          <cell r="H706">
            <v>0.79999971389770497</v>
          </cell>
          <cell r="I706">
            <v>0.79999971389770497</v>
          </cell>
        </row>
        <row r="707">
          <cell r="B707" t="str">
            <v>Đào01</v>
          </cell>
          <cell r="C707" t="str">
            <v>Cây đào</v>
          </cell>
          <cell r="D707" t="str">
            <v>cây giống</v>
          </cell>
          <cell r="E707">
            <v>0.79999971389770497</v>
          </cell>
          <cell r="F707" t="str">
            <v>m2</v>
          </cell>
          <cell r="G707">
            <v>30000</v>
          </cell>
          <cell r="H707">
            <v>0.8</v>
          </cell>
          <cell r="I707">
            <v>0.79999971389770497</v>
          </cell>
          <cell r="J707" t="str">
            <v>ĐG 01.02.2025</v>
          </cell>
        </row>
        <row r="708">
          <cell r="B708" t="str">
            <v>Đào25</v>
          </cell>
          <cell r="C708" t="str">
            <v>Cây đào</v>
          </cell>
          <cell r="D708" t="str">
            <v>2cm ≤ đk gốc &lt; 5cm</v>
          </cell>
          <cell r="E708">
            <v>0.79999971389770497</v>
          </cell>
          <cell r="F708" t="str">
            <v>cây</v>
          </cell>
          <cell r="G708">
            <v>70000</v>
          </cell>
          <cell r="H708">
            <v>0.8</v>
          </cell>
          <cell r="I708">
            <v>0.79999971389770497</v>
          </cell>
          <cell r="J708" t="str">
            <v>ĐG 01.02.2025</v>
          </cell>
        </row>
        <row r="709">
          <cell r="B709" t="str">
            <v>Đào57</v>
          </cell>
          <cell r="C709" t="str">
            <v>Cây đào</v>
          </cell>
          <cell r="D709" t="str">
            <v>5cm ≤ đk gốc &lt; 7cm</v>
          </cell>
          <cell r="E709">
            <v>0.79999971389770497</v>
          </cell>
          <cell r="F709" t="str">
            <v>cây</v>
          </cell>
          <cell r="G709">
            <v>150000</v>
          </cell>
          <cell r="H709">
            <v>0.8</v>
          </cell>
          <cell r="I709">
            <v>0.79999971389770497</v>
          </cell>
          <cell r="J709" t="str">
            <v>ĐG 01.02.2025</v>
          </cell>
        </row>
        <row r="710">
          <cell r="B710" t="str">
            <v>Đào710</v>
          </cell>
          <cell r="C710" t="str">
            <v>Cây đào</v>
          </cell>
          <cell r="D710" t="str">
            <v>7cm ≤ đk gốc &lt; 10cm</v>
          </cell>
          <cell r="E710">
            <v>0.79999971389770497</v>
          </cell>
          <cell r="F710" t="str">
            <v>cây</v>
          </cell>
          <cell r="G710">
            <v>200000</v>
          </cell>
          <cell r="H710">
            <v>0.8</v>
          </cell>
          <cell r="I710">
            <v>0.79999971389770497</v>
          </cell>
          <cell r="J710" t="str">
            <v>ĐG 01.02.2025</v>
          </cell>
        </row>
        <row r="711">
          <cell r="B711" t="str">
            <v>Đào10+</v>
          </cell>
          <cell r="C711" t="str">
            <v>Cây đào</v>
          </cell>
          <cell r="D711" t="str">
            <v>đk gốc từ 10cm trở lên</v>
          </cell>
          <cell r="E711">
            <v>0.79999971389770497</v>
          </cell>
          <cell r="F711" t="str">
            <v>cây</v>
          </cell>
          <cell r="G711">
            <v>420000</v>
          </cell>
          <cell r="H711">
            <v>0.8</v>
          </cell>
          <cell r="I711">
            <v>0.79999971389770497</v>
          </cell>
          <cell r="J711" t="str">
            <v>ĐG 01.02.2025</v>
          </cell>
        </row>
        <row r="712">
          <cell r="B712" t="str">
            <v>Đào25vmd</v>
          </cell>
          <cell r="C712" t="str">
            <v>Cây đào vượt mật độ</v>
          </cell>
          <cell r="D712" t="str">
            <v>2cm ≤ đk gốc &lt; 5cm</v>
          </cell>
          <cell r="E712">
            <v>0.79999971389770497</v>
          </cell>
          <cell r="F712" t="str">
            <v>cây</v>
          </cell>
          <cell r="G712">
            <v>70000</v>
          </cell>
          <cell r="H712">
            <v>0.4</v>
          </cell>
          <cell r="I712">
            <v>0.39999985694885298</v>
          </cell>
          <cell r="J712" t="str">
            <v>ĐG 01.02.2025</v>
          </cell>
        </row>
        <row r="713">
          <cell r="B713" t="str">
            <v>Đào57vmd</v>
          </cell>
          <cell r="C713" t="str">
            <v>Cây đào vượt mật độ</v>
          </cell>
          <cell r="D713" t="str">
            <v>5cm ≤ đk gốc &lt; 7cm</v>
          </cell>
          <cell r="E713">
            <v>0.39999985694885298</v>
          </cell>
          <cell r="F713" t="str">
            <v>cây</v>
          </cell>
          <cell r="G713">
            <v>150000</v>
          </cell>
          <cell r="H713">
            <v>0.4</v>
          </cell>
          <cell r="I713">
            <v>0.39999985694885298</v>
          </cell>
          <cell r="J713" t="str">
            <v>ĐG 01.02.2025</v>
          </cell>
        </row>
        <row r="714">
          <cell r="B714" t="str">
            <v>Đào710vmd</v>
          </cell>
          <cell r="C714" t="str">
            <v>Cây đào vượt mật độ</v>
          </cell>
          <cell r="D714" t="str">
            <v>7cm ≤ đk gốc &lt; 10cm</v>
          </cell>
          <cell r="E714">
            <v>0.39999985694885298</v>
          </cell>
          <cell r="F714" t="str">
            <v>cây</v>
          </cell>
          <cell r="G714">
            <v>200000</v>
          </cell>
          <cell r="H714">
            <v>0.4</v>
          </cell>
          <cell r="I714">
            <v>0.39999985694885298</v>
          </cell>
          <cell r="J714" t="str">
            <v>ĐG 01.02.2025</v>
          </cell>
        </row>
        <row r="715">
          <cell r="B715" t="str">
            <v>Đào10+vmd</v>
          </cell>
          <cell r="C715" t="str">
            <v>Cây đào vượt mật độ</v>
          </cell>
          <cell r="D715" t="str">
            <v>đk gốc từ 10cm trở lên</v>
          </cell>
          <cell r="E715">
            <v>0.39999985694885298</v>
          </cell>
          <cell r="F715" t="str">
            <v>cây</v>
          </cell>
          <cell r="G715">
            <v>420000</v>
          </cell>
          <cell r="H715">
            <v>0.4</v>
          </cell>
          <cell r="I715">
            <v>0.39999985694885298</v>
          </cell>
          <cell r="J715" t="str">
            <v>ĐG 01.02.2025</v>
          </cell>
        </row>
        <row r="716">
          <cell r="B716">
            <v>0.39999985694885298</v>
          </cell>
          <cell r="C716" t="str">
            <v>Cây Mai</v>
          </cell>
          <cell r="D716">
            <v>0.39999985694885298</v>
          </cell>
          <cell r="E716">
            <v>0.39999985694885298</v>
          </cell>
          <cell r="F716">
            <v>0.39999985694885298</v>
          </cell>
          <cell r="G716">
            <v>0.39999985694885298</v>
          </cell>
          <cell r="H716">
            <v>0.39999985694885298</v>
          </cell>
          <cell r="I716">
            <v>0.39999985694885298</v>
          </cell>
        </row>
        <row r="717">
          <cell r="B717" t="str">
            <v>Mai01</v>
          </cell>
          <cell r="C717" t="str">
            <v>Cây mai</v>
          </cell>
          <cell r="D717" t="str">
            <v>cây giống</v>
          </cell>
          <cell r="E717">
            <v>0.39999985694885298</v>
          </cell>
          <cell r="F717" t="str">
            <v>m2</v>
          </cell>
          <cell r="G717">
            <v>30000</v>
          </cell>
          <cell r="H717">
            <v>0.8</v>
          </cell>
          <cell r="I717">
            <v>0.79999971389770497</v>
          </cell>
          <cell r="J717" t="str">
            <v>ĐG 01.02.2025</v>
          </cell>
        </row>
        <row r="718">
          <cell r="B718" t="str">
            <v>Mai25</v>
          </cell>
          <cell r="C718" t="str">
            <v>Cây mai</v>
          </cell>
          <cell r="D718" t="str">
            <v>2cm ≤ đk gốc &lt; 5cm</v>
          </cell>
          <cell r="E718">
            <v>0.79999971389770497</v>
          </cell>
          <cell r="F718" t="str">
            <v>cây</v>
          </cell>
          <cell r="G718">
            <v>70000</v>
          </cell>
          <cell r="H718">
            <v>0.8</v>
          </cell>
          <cell r="I718">
            <v>0.79999971389770497</v>
          </cell>
          <cell r="J718" t="str">
            <v>ĐG 01.02.2025</v>
          </cell>
        </row>
        <row r="719">
          <cell r="B719" t="str">
            <v>Mai57</v>
          </cell>
          <cell r="C719" t="str">
            <v>Cây mai</v>
          </cell>
          <cell r="D719" t="str">
            <v>5cm ≤ đk gốc &lt; 7cm</v>
          </cell>
          <cell r="E719">
            <v>0.79999971389770497</v>
          </cell>
          <cell r="F719" t="str">
            <v>cây</v>
          </cell>
          <cell r="G719">
            <v>150000</v>
          </cell>
          <cell r="H719">
            <v>0.8</v>
          </cell>
          <cell r="I719">
            <v>0.79999971389770497</v>
          </cell>
          <cell r="J719" t="str">
            <v>ĐG 01.02.2025</v>
          </cell>
        </row>
        <row r="720">
          <cell r="B720" t="str">
            <v>Mai710</v>
          </cell>
          <cell r="C720" t="str">
            <v>Cây mai</v>
          </cell>
          <cell r="D720" t="str">
            <v>7cm ≤ đk gốc &lt; 10cm</v>
          </cell>
          <cell r="E720">
            <v>0.79999971389770497</v>
          </cell>
          <cell r="F720" t="str">
            <v>cây</v>
          </cell>
          <cell r="G720">
            <v>200000</v>
          </cell>
          <cell r="H720">
            <v>0.8</v>
          </cell>
          <cell r="I720">
            <v>0.79999971389770497</v>
          </cell>
          <cell r="J720" t="str">
            <v>ĐG 01.02.2025</v>
          </cell>
        </row>
        <row r="721">
          <cell r="B721" t="str">
            <v>Mai10+</v>
          </cell>
          <cell r="C721" t="str">
            <v>Cây mai</v>
          </cell>
          <cell r="D721" t="str">
            <v>đk gốc từ 10cm trở lên</v>
          </cell>
          <cell r="E721">
            <v>0.79999971389770497</v>
          </cell>
          <cell r="F721" t="str">
            <v>cây</v>
          </cell>
          <cell r="G721">
            <v>420000</v>
          </cell>
          <cell r="H721">
            <v>0.8</v>
          </cell>
          <cell r="I721">
            <v>0.79999971389770497</v>
          </cell>
          <cell r="J721" t="str">
            <v>ĐG 01.02.2025</v>
          </cell>
        </row>
        <row r="722">
          <cell r="B722" t="str">
            <v>Mai25vmd</v>
          </cell>
          <cell r="C722" t="str">
            <v>Cây mai vượt mật độ</v>
          </cell>
          <cell r="D722" t="str">
            <v>2cm ≤ đk gốc &lt; 5cm</v>
          </cell>
          <cell r="E722">
            <v>0.79999971389770497</v>
          </cell>
          <cell r="F722" t="str">
            <v>cây</v>
          </cell>
          <cell r="G722">
            <v>70000</v>
          </cell>
          <cell r="H722">
            <v>0.4</v>
          </cell>
          <cell r="I722">
            <v>0.39999985694885298</v>
          </cell>
          <cell r="J722" t="str">
            <v>ĐG 01.02.2025</v>
          </cell>
        </row>
        <row r="723">
          <cell r="B723" t="str">
            <v>Mai57vmd</v>
          </cell>
          <cell r="C723" t="str">
            <v>Cây mai vượt mật độ</v>
          </cell>
          <cell r="D723" t="str">
            <v>5cm ≤ đk gốc &lt; 7cm</v>
          </cell>
          <cell r="E723">
            <v>0.39999985694885298</v>
          </cell>
          <cell r="F723" t="str">
            <v>cây</v>
          </cell>
          <cell r="G723">
            <v>150000</v>
          </cell>
          <cell r="H723">
            <v>0.4</v>
          </cell>
          <cell r="I723">
            <v>0.39999985694885298</v>
          </cell>
          <cell r="J723" t="str">
            <v>ĐG 01.02.2025</v>
          </cell>
        </row>
        <row r="724">
          <cell r="B724" t="str">
            <v>Mai710vmd</v>
          </cell>
          <cell r="C724" t="str">
            <v>Cây mai vượt mật độ</v>
          </cell>
          <cell r="D724" t="str">
            <v>7cm ≤ đk gốc &lt; 10cm</v>
          </cell>
          <cell r="E724">
            <v>0.39999985694885298</v>
          </cell>
          <cell r="F724" t="str">
            <v>cây</v>
          </cell>
          <cell r="G724">
            <v>200000</v>
          </cell>
          <cell r="H724">
            <v>0.4</v>
          </cell>
          <cell r="I724">
            <v>0.39999985694885298</v>
          </cell>
          <cell r="J724" t="str">
            <v>ĐG 01.02.2025</v>
          </cell>
        </row>
        <row r="725">
          <cell r="B725" t="str">
            <v>Mai10+vmd</v>
          </cell>
          <cell r="C725" t="str">
            <v>Cây mai vượt mật độ</v>
          </cell>
          <cell r="D725" t="str">
            <v>đk gốc từ 10cm trở lên</v>
          </cell>
          <cell r="E725">
            <v>0.39999985694885298</v>
          </cell>
          <cell r="F725" t="str">
            <v>cây</v>
          </cell>
          <cell r="G725">
            <v>420000</v>
          </cell>
          <cell r="H725">
            <v>0.4</v>
          </cell>
          <cell r="I725">
            <v>0.39999985694885298</v>
          </cell>
          <cell r="J725" t="str">
            <v>ĐG 01.02.2025</v>
          </cell>
        </row>
        <row r="726">
          <cell r="B726">
            <v>0.39999985694885298</v>
          </cell>
          <cell r="C726" t="str">
            <v>Cây Mộc</v>
          </cell>
          <cell r="D726">
            <v>0.39999985694885298</v>
          </cell>
          <cell r="E726">
            <v>0.39999985694885298</v>
          </cell>
          <cell r="F726">
            <v>0.39999985694885298</v>
          </cell>
          <cell r="G726">
            <v>0.39999985694885298</v>
          </cell>
          <cell r="H726">
            <v>0.39999985694885298</v>
          </cell>
          <cell r="I726">
            <v>0.39999985694885298</v>
          </cell>
        </row>
        <row r="727">
          <cell r="B727" t="str">
            <v>Mộc01</v>
          </cell>
          <cell r="C727" t="str">
            <v>Cây mộc</v>
          </cell>
          <cell r="D727" t="str">
            <v>cây giống</v>
          </cell>
          <cell r="E727">
            <v>0.39999985694885298</v>
          </cell>
          <cell r="F727" t="str">
            <v>m2</v>
          </cell>
          <cell r="G727">
            <v>30000</v>
          </cell>
          <cell r="H727">
            <v>0.8</v>
          </cell>
          <cell r="I727">
            <v>0.79999971389770497</v>
          </cell>
          <cell r="J727" t="str">
            <v>ĐG 01.02.2025</v>
          </cell>
        </row>
        <row r="728">
          <cell r="B728" t="str">
            <v>Mộc25</v>
          </cell>
          <cell r="C728" t="str">
            <v>Cây mộc</v>
          </cell>
          <cell r="D728" t="str">
            <v>2cm ≤ đk gốc &lt; 5cm</v>
          </cell>
          <cell r="E728">
            <v>0.79999971389770497</v>
          </cell>
          <cell r="F728" t="str">
            <v>m2</v>
          </cell>
          <cell r="G728">
            <v>70000</v>
          </cell>
          <cell r="H728">
            <v>0.8</v>
          </cell>
          <cell r="I728">
            <v>0.79999971389770497</v>
          </cell>
          <cell r="J728" t="str">
            <v>ĐG 01.02.2025</v>
          </cell>
        </row>
        <row r="729">
          <cell r="B729" t="str">
            <v>Mộc57</v>
          </cell>
          <cell r="C729" t="str">
            <v>Cây mộc</v>
          </cell>
          <cell r="D729" t="str">
            <v>5cm ≤ đk gốc &lt; 7cm</v>
          </cell>
          <cell r="E729">
            <v>0.79999971389770497</v>
          </cell>
          <cell r="F729" t="str">
            <v>cây</v>
          </cell>
          <cell r="G729">
            <v>150000</v>
          </cell>
          <cell r="H729">
            <v>0.8</v>
          </cell>
          <cell r="I729">
            <v>0.79999971389770497</v>
          </cell>
          <cell r="J729" t="str">
            <v>ĐG 01.02.2025</v>
          </cell>
        </row>
        <row r="730">
          <cell r="B730" t="str">
            <v>Mộc710</v>
          </cell>
          <cell r="C730" t="str">
            <v>Cây mộc</v>
          </cell>
          <cell r="D730" t="str">
            <v>7cm ≤ đk gốc &lt; 10cm</v>
          </cell>
          <cell r="E730">
            <v>0.79999971389770497</v>
          </cell>
          <cell r="F730" t="str">
            <v>cây</v>
          </cell>
          <cell r="G730">
            <v>200000</v>
          </cell>
          <cell r="H730">
            <v>0.8</v>
          </cell>
          <cell r="I730">
            <v>0.79999971389770497</v>
          </cell>
          <cell r="J730" t="str">
            <v>ĐG 01.02.2025</v>
          </cell>
        </row>
        <row r="731">
          <cell r="B731" t="str">
            <v>Mộc10+</v>
          </cell>
          <cell r="C731" t="str">
            <v>Cây mộc</v>
          </cell>
          <cell r="D731" t="str">
            <v>đk gốc từ 10cm trở lên</v>
          </cell>
          <cell r="E731">
            <v>0.79999971389770497</v>
          </cell>
          <cell r="F731" t="str">
            <v>cây</v>
          </cell>
          <cell r="G731">
            <v>420000</v>
          </cell>
          <cell r="H731">
            <v>0.8</v>
          </cell>
          <cell r="I731">
            <v>0.79999971389770497</v>
          </cell>
          <cell r="J731" t="str">
            <v>ĐG 01.02.2025</v>
          </cell>
        </row>
        <row r="732">
          <cell r="B732" t="str">
            <v>Mộc01vmd</v>
          </cell>
          <cell r="C732" t="str">
            <v>Cây mộc vượt mật độ</v>
          </cell>
          <cell r="D732" t="str">
            <v>cây giống</v>
          </cell>
          <cell r="E732">
            <v>0.79999971389770497</v>
          </cell>
          <cell r="F732" t="str">
            <v>m2</v>
          </cell>
          <cell r="G732">
            <v>30000</v>
          </cell>
          <cell r="H732">
            <v>0.4</v>
          </cell>
          <cell r="I732">
            <v>0.39999985694885298</v>
          </cell>
          <cell r="J732" t="str">
            <v>ĐG 01.02.2025</v>
          </cell>
        </row>
        <row r="733">
          <cell r="B733" t="str">
            <v>Mộc25vmd</v>
          </cell>
          <cell r="C733" t="str">
            <v>Cây mộc vượt mật độ</v>
          </cell>
          <cell r="D733" t="str">
            <v>2cm ≤ đk gốc &lt; 5cm</v>
          </cell>
          <cell r="E733">
            <v>0.39999985694885298</v>
          </cell>
          <cell r="F733" t="str">
            <v>cây</v>
          </cell>
          <cell r="G733">
            <v>70000</v>
          </cell>
          <cell r="H733">
            <v>0.4</v>
          </cell>
          <cell r="I733">
            <v>0.39999985694885298</v>
          </cell>
          <cell r="J733" t="str">
            <v>ĐG 01.02.2025</v>
          </cell>
        </row>
        <row r="734">
          <cell r="B734" t="str">
            <v>Mộc57vmd</v>
          </cell>
          <cell r="C734" t="str">
            <v>Cây mộc vượt mật độ</v>
          </cell>
          <cell r="D734" t="str">
            <v>5cm ≤ đk gốc &lt; 7cm</v>
          </cell>
          <cell r="E734">
            <v>0.39999985694885298</v>
          </cell>
          <cell r="F734" t="str">
            <v>cây</v>
          </cell>
          <cell r="G734">
            <v>150000</v>
          </cell>
          <cell r="H734">
            <v>0.4</v>
          </cell>
          <cell r="I734">
            <v>0.39999985694885298</v>
          </cell>
          <cell r="J734" t="str">
            <v>ĐG 01.02.2025</v>
          </cell>
        </row>
        <row r="735">
          <cell r="B735" t="str">
            <v>Mộc710vmd</v>
          </cell>
          <cell r="C735" t="str">
            <v>Cây mộc vượt mật độ</v>
          </cell>
          <cell r="D735" t="str">
            <v>7cm ≤ đk gốc &lt; 10cm</v>
          </cell>
          <cell r="E735">
            <v>0.39999985694885298</v>
          </cell>
          <cell r="F735" t="str">
            <v>cây</v>
          </cell>
          <cell r="G735">
            <v>200000</v>
          </cell>
          <cell r="H735">
            <v>0.4</v>
          </cell>
          <cell r="I735">
            <v>0.39999985694885298</v>
          </cell>
          <cell r="J735" t="str">
            <v>ĐG 01.02.2025</v>
          </cell>
        </row>
        <row r="736">
          <cell r="B736" t="str">
            <v>Mộc10+vmd</v>
          </cell>
          <cell r="C736" t="str">
            <v>Cây mộc vượt mật độ</v>
          </cell>
          <cell r="D736" t="str">
            <v>đk gốc từ 10cm trở lên</v>
          </cell>
          <cell r="E736">
            <v>0.39999985694885298</v>
          </cell>
          <cell r="F736" t="str">
            <v>cây</v>
          </cell>
          <cell r="G736">
            <v>420000</v>
          </cell>
          <cell r="H736">
            <v>0.4</v>
          </cell>
          <cell r="I736">
            <v>0.39999985694885298</v>
          </cell>
          <cell r="J736" t="str">
            <v>ĐG 01.02.2025</v>
          </cell>
        </row>
        <row r="737">
          <cell r="B737">
            <v>0.39999985694885298</v>
          </cell>
          <cell r="C737" t="str">
            <v>Cây hoa Ban</v>
          </cell>
          <cell r="D737">
            <v>0.39999985694885298</v>
          </cell>
          <cell r="E737">
            <v>0.39999985694885298</v>
          </cell>
          <cell r="F737">
            <v>0.39999985694885298</v>
          </cell>
          <cell r="G737">
            <v>0.39999985694885298</v>
          </cell>
          <cell r="H737">
            <v>0.39999985694885298</v>
          </cell>
          <cell r="I737">
            <v>0.39999985694885298</v>
          </cell>
        </row>
        <row r="738">
          <cell r="B738" t="str">
            <v>Ban05</v>
          </cell>
          <cell r="C738" t="str">
            <v>Cây hoa Ban</v>
          </cell>
          <cell r="D738" t="str">
            <v>đk gốc &lt; 5cm</v>
          </cell>
          <cell r="E738">
            <v>0.39999985694885298</v>
          </cell>
          <cell r="F738" t="str">
            <v>cây</v>
          </cell>
          <cell r="G738">
            <v>80000</v>
          </cell>
          <cell r="H738">
            <v>0.8</v>
          </cell>
          <cell r="I738">
            <v>0.79999971389770497</v>
          </cell>
          <cell r="J738" t="str">
            <v>ĐG 01.02.2025</v>
          </cell>
        </row>
        <row r="739">
          <cell r="B739" t="str">
            <v>Ban57</v>
          </cell>
          <cell r="C739" t="str">
            <v>Cây hoa Ban</v>
          </cell>
          <cell r="D739" t="str">
            <v>5cm ≤ đk gốc &lt; 7cm</v>
          </cell>
          <cell r="E739">
            <v>0.79999971389770497</v>
          </cell>
          <cell r="F739" t="str">
            <v>cây</v>
          </cell>
          <cell r="G739">
            <v>100000</v>
          </cell>
          <cell r="H739">
            <v>0.8</v>
          </cell>
          <cell r="I739">
            <v>0.79999971389770497</v>
          </cell>
          <cell r="J739" t="str">
            <v>ĐG 01.02.2025</v>
          </cell>
        </row>
        <row r="740">
          <cell r="B740" t="str">
            <v>Ban710</v>
          </cell>
          <cell r="C740" t="str">
            <v>Cây hoa Ban</v>
          </cell>
          <cell r="D740" t="str">
            <v>7cm ≤ đk gốc &lt; 10cm</v>
          </cell>
          <cell r="E740">
            <v>0.79999971389770497</v>
          </cell>
          <cell r="F740" t="str">
            <v>cây</v>
          </cell>
          <cell r="G740">
            <v>160000</v>
          </cell>
          <cell r="H740">
            <v>0.8</v>
          </cell>
          <cell r="I740">
            <v>0.79999971389770497</v>
          </cell>
          <cell r="J740" t="str">
            <v>ĐG 01.02.2025</v>
          </cell>
        </row>
        <row r="741">
          <cell r="B741" t="str">
            <v>Ban1015</v>
          </cell>
          <cell r="C741" t="str">
            <v>Cây hoa Ban</v>
          </cell>
          <cell r="D741" t="str">
            <v>10cm ≤ đk gốc &lt; 15cm</v>
          </cell>
          <cell r="E741">
            <v>0.79999971389770497</v>
          </cell>
          <cell r="F741" t="str">
            <v>cây</v>
          </cell>
          <cell r="G741">
            <v>280000</v>
          </cell>
          <cell r="H741">
            <v>0.8</v>
          </cell>
          <cell r="I741">
            <v>0.79999971389770497</v>
          </cell>
          <cell r="J741" t="str">
            <v>ĐG 01.02.2025</v>
          </cell>
        </row>
        <row r="742">
          <cell r="B742" t="str">
            <v>Ban1520</v>
          </cell>
          <cell r="C742" t="str">
            <v>Cây hoa Ban</v>
          </cell>
          <cell r="D742" t="str">
            <v>15cm ≤ đk gốc &lt; 20cm</v>
          </cell>
          <cell r="E742">
            <v>0.79999971389770497</v>
          </cell>
          <cell r="F742" t="str">
            <v>cây</v>
          </cell>
          <cell r="G742">
            <v>400000</v>
          </cell>
          <cell r="H742">
            <v>0.8</v>
          </cell>
          <cell r="I742">
            <v>0.79999971389770497</v>
          </cell>
          <cell r="J742" t="str">
            <v>ĐG 01.02.2025</v>
          </cell>
        </row>
        <row r="743">
          <cell r="B743" t="str">
            <v>Ban20+</v>
          </cell>
          <cell r="C743" t="str">
            <v>Cây hoa Ban</v>
          </cell>
          <cell r="D743" t="str">
            <v>đk gốc từ 20cm trở lên</v>
          </cell>
          <cell r="E743">
            <v>0.79999971389770497</v>
          </cell>
          <cell r="F743" t="str">
            <v>cây</v>
          </cell>
          <cell r="G743">
            <v>520000</v>
          </cell>
          <cell r="H743">
            <v>0.8</v>
          </cell>
          <cell r="I743">
            <v>0.79999971389770497</v>
          </cell>
          <cell r="J743" t="str">
            <v>ĐG 01.02.2025</v>
          </cell>
        </row>
        <row r="744">
          <cell r="B744" t="str">
            <v>Ban05vmd</v>
          </cell>
          <cell r="C744" t="str">
            <v>Cây hoa Ban vượt mật độ</v>
          </cell>
          <cell r="D744" t="str">
            <v>đk gốc &lt; 5cm</v>
          </cell>
          <cell r="E744">
            <v>0.79999971389770497</v>
          </cell>
          <cell r="F744" t="str">
            <v>cây</v>
          </cell>
          <cell r="G744">
            <v>80000</v>
          </cell>
          <cell r="H744">
            <v>0.4</v>
          </cell>
          <cell r="I744">
            <v>0.39999985694885298</v>
          </cell>
          <cell r="J744" t="str">
            <v>ĐG 01.02.2025</v>
          </cell>
        </row>
        <row r="745">
          <cell r="B745" t="str">
            <v>Ban57vmd</v>
          </cell>
          <cell r="C745" t="str">
            <v>Cây hoa Ban vượt mật độ</v>
          </cell>
          <cell r="D745" t="str">
            <v>5cm ≤ đk gốc &lt; 7cm</v>
          </cell>
          <cell r="E745">
            <v>0.39999985694885298</v>
          </cell>
          <cell r="F745" t="str">
            <v>cây</v>
          </cell>
          <cell r="G745">
            <v>100000</v>
          </cell>
          <cell r="H745">
            <v>0.4</v>
          </cell>
          <cell r="I745">
            <v>0.39999985694885298</v>
          </cell>
          <cell r="J745" t="str">
            <v>ĐG 01.02.2025</v>
          </cell>
        </row>
        <row r="746">
          <cell r="B746" t="str">
            <v>Ban710vmd</v>
          </cell>
          <cell r="C746" t="str">
            <v>Cây hoa Ban vượt mật độ</v>
          </cell>
          <cell r="D746" t="str">
            <v>7cm ≤ đk gốc &lt; 10cm</v>
          </cell>
          <cell r="E746">
            <v>0.39999985694885298</v>
          </cell>
          <cell r="F746" t="str">
            <v>cây</v>
          </cell>
          <cell r="G746">
            <v>160000</v>
          </cell>
          <cell r="H746">
            <v>0.4</v>
          </cell>
          <cell r="I746">
            <v>0.39999985694885298</v>
          </cell>
          <cell r="J746" t="str">
            <v>ĐG 01.02.2025</v>
          </cell>
        </row>
        <row r="747">
          <cell r="B747" t="str">
            <v>Ban1015vmd</v>
          </cell>
          <cell r="C747" t="str">
            <v>Cây hoa Ban vượt mật độ</v>
          </cell>
          <cell r="D747" t="str">
            <v>10cm ≤ đk gốc &lt; 15cm</v>
          </cell>
          <cell r="E747">
            <v>0.39999985694885298</v>
          </cell>
          <cell r="F747" t="str">
            <v>cây</v>
          </cell>
          <cell r="G747">
            <v>280000</v>
          </cell>
          <cell r="H747">
            <v>0.4</v>
          </cell>
          <cell r="I747">
            <v>0.39999985694885298</v>
          </cell>
          <cell r="J747" t="str">
            <v>ĐG 01.02.2025</v>
          </cell>
        </row>
        <row r="748">
          <cell r="B748" t="str">
            <v>Ban1520vmd</v>
          </cell>
          <cell r="C748" t="str">
            <v>Cây hoa Ban vượt mật độ</v>
          </cell>
          <cell r="D748" t="str">
            <v>15cm ≤ đk gốc &lt; 20cm</v>
          </cell>
          <cell r="E748">
            <v>0.39999985694885298</v>
          </cell>
          <cell r="F748" t="str">
            <v>cây</v>
          </cell>
          <cell r="G748">
            <v>400000</v>
          </cell>
          <cell r="H748">
            <v>0.4</v>
          </cell>
          <cell r="I748">
            <v>0.39999985694885298</v>
          </cell>
          <cell r="J748" t="str">
            <v>ĐG 01.02.2025</v>
          </cell>
        </row>
        <row r="749">
          <cell r="B749" t="str">
            <v>Ban20+vmd</v>
          </cell>
          <cell r="C749" t="str">
            <v>Cây hoa Ban vượt mật độ</v>
          </cell>
          <cell r="D749" t="str">
            <v>đk gốc từ 20cm trở lên</v>
          </cell>
          <cell r="E749">
            <v>0.39999985694885298</v>
          </cell>
          <cell r="F749" t="str">
            <v>cây</v>
          </cell>
          <cell r="G749">
            <v>520000</v>
          </cell>
          <cell r="H749">
            <v>0.4</v>
          </cell>
          <cell r="I749">
            <v>0.39999985694885298</v>
          </cell>
          <cell r="J749" t="str">
            <v>ĐG 01.02.2025</v>
          </cell>
        </row>
        <row r="750">
          <cell r="B750">
            <v>0.39999985694885298</v>
          </cell>
          <cell r="C750" t="str">
            <v>Cây Đa</v>
          </cell>
          <cell r="D750">
            <v>0.39999985694885298</v>
          </cell>
          <cell r="E750">
            <v>0.39999985694885298</v>
          </cell>
          <cell r="F750">
            <v>0.39999985694885298</v>
          </cell>
          <cell r="G750">
            <v>0.39999985694885298</v>
          </cell>
          <cell r="H750">
            <v>0.39999985694885298</v>
          </cell>
          <cell r="I750">
            <v>0.39999985694885298</v>
          </cell>
        </row>
        <row r="751">
          <cell r="B751" t="str">
            <v>Đa05</v>
          </cell>
          <cell r="C751" t="str">
            <v>Cây Đa</v>
          </cell>
          <cell r="D751" t="str">
            <v>đk gốc &lt; 5cm</v>
          </cell>
          <cell r="E751">
            <v>0.39999985694885298</v>
          </cell>
          <cell r="F751" t="str">
            <v>cây</v>
          </cell>
          <cell r="G751">
            <v>80000</v>
          </cell>
          <cell r="H751">
            <v>0.8</v>
          </cell>
          <cell r="I751">
            <v>0.79999971389770497</v>
          </cell>
          <cell r="J751" t="str">
            <v>ĐG 01.02.2025</v>
          </cell>
        </row>
        <row r="752">
          <cell r="B752" t="str">
            <v>Đa57</v>
          </cell>
          <cell r="C752" t="str">
            <v>Cây Đa</v>
          </cell>
          <cell r="D752" t="str">
            <v>5cm ≤ đk gốc &lt; 7cm</v>
          </cell>
          <cell r="E752">
            <v>0.79999971389770497</v>
          </cell>
          <cell r="F752" t="str">
            <v>cây</v>
          </cell>
          <cell r="G752">
            <v>100000</v>
          </cell>
          <cell r="H752">
            <v>0.8</v>
          </cell>
          <cell r="I752">
            <v>0.79999971389770497</v>
          </cell>
          <cell r="J752" t="str">
            <v>ĐG 01.02.2025</v>
          </cell>
        </row>
        <row r="753">
          <cell r="B753" t="str">
            <v>Đa710</v>
          </cell>
          <cell r="C753" t="str">
            <v>Cây Đa</v>
          </cell>
          <cell r="D753" t="str">
            <v>7cm ≤ đk gốc &lt; 10cm</v>
          </cell>
          <cell r="E753">
            <v>0.79999971389770497</v>
          </cell>
          <cell r="F753" t="str">
            <v>cây</v>
          </cell>
          <cell r="G753">
            <v>160000</v>
          </cell>
          <cell r="H753">
            <v>0.8</v>
          </cell>
          <cell r="I753">
            <v>0.79999971389770497</v>
          </cell>
          <cell r="J753" t="str">
            <v>ĐG 01.02.2025</v>
          </cell>
        </row>
        <row r="754">
          <cell r="B754" t="str">
            <v>Đa1015</v>
          </cell>
          <cell r="C754" t="str">
            <v>Cây Đa</v>
          </cell>
          <cell r="D754" t="str">
            <v>10cm ≤ đk gốc &lt; 15cm</v>
          </cell>
          <cell r="E754">
            <v>0.79999971389770497</v>
          </cell>
          <cell r="F754" t="str">
            <v>cây</v>
          </cell>
          <cell r="G754">
            <v>280000</v>
          </cell>
          <cell r="H754">
            <v>0.8</v>
          </cell>
          <cell r="I754">
            <v>0.79999971389770497</v>
          </cell>
          <cell r="J754" t="str">
            <v>ĐG 01.02.2025</v>
          </cell>
        </row>
        <row r="755">
          <cell r="B755" t="str">
            <v>Đa1520</v>
          </cell>
          <cell r="C755" t="str">
            <v>Cây Đa</v>
          </cell>
          <cell r="D755" t="str">
            <v>15cm ≤ đk gốc &lt; 20cm</v>
          </cell>
          <cell r="E755">
            <v>0.79999971389770497</v>
          </cell>
          <cell r="F755" t="str">
            <v>cây</v>
          </cell>
          <cell r="G755">
            <v>400000</v>
          </cell>
          <cell r="H755">
            <v>0.8</v>
          </cell>
          <cell r="I755">
            <v>0.79999971389770497</v>
          </cell>
          <cell r="J755" t="str">
            <v>ĐG 01.02.2025</v>
          </cell>
        </row>
        <row r="756">
          <cell r="B756" t="str">
            <v>Đa20+</v>
          </cell>
          <cell r="C756" t="str">
            <v>Cây Đa</v>
          </cell>
          <cell r="D756" t="str">
            <v>đk gốc từ 20cm trở lên</v>
          </cell>
          <cell r="E756">
            <v>0.79999971389770497</v>
          </cell>
          <cell r="F756" t="str">
            <v>cây</v>
          </cell>
          <cell r="G756">
            <v>520000</v>
          </cell>
          <cell r="H756">
            <v>0.8</v>
          </cell>
          <cell r="I756">
            <v>0.79999971389770497</v>
          </cell>
          <cell r="J756" t="str">
            <v>ĐG 01.02.2025</v>
          </cell>
        </row>
        <row r="757">
          <cell r="B757" t="str">
            <v>Đa05vmd</v>
          </cell>
          <cell r="C757" t="str">
            <v>Cây Đa vượt mật độ</v>
          </cell>
          <cell r="D757" t="str">
            <v>đk gốc &lt; 5cm</v>
          </cell>
          <cell r="E757">
            <v>0.79999971389770497</v>
          </cell>
          <cell r="F757" t="str">
            <v>cây</v>
          </cell>
          <cell r="G757">
            <v>80000</v>
          </cell>
          <cell r="H757">
            <v>0.4</v>
          </cell>
          <cell r="I757">
            <v>0.39999985694885298</v>
          </cell>
          <cell r="J757" t="str">
            <v>ĐG 01.02.2025</v>
          </cell>
        </row>
        <row r="758">
          <cell r="B758" t="str">
            <v>Đa57vmd</v>
          </cell>
          <cell r="C758" t="str">
            <v>Cây Đa vượt mật độ</v>
          </cell>
          <cell r="D758" t="str">
            <v>5cm ≤ đk gốc &lt; 7cm</v>
          </cell>
          <cell r="E758">
            <v>0.39999985694885298</v>
          </cell>
          <cell r="F758" t="str">
            <v>cây</v>
          </cell>
          <cell r="G758">
            <v>100000</v>
          </cell>
          <cell r="H758">
            <v>0.4</v>
          </cell>
          <cell r="I758">
            <v>0.39999985694885298</v>
          </cell>
          <cell r="J758" t="str">
            <v>ĐG 01.02.2025</v>
          </cell>
        </row>
        <row r="759">
          <cell r="B759" t="str">
            <v>Đa710vmd</v>
          </cell>
          <cell r="C759" t="str">
            <v>Cây Đa vượt mật độ</v>
          </cell>
          <cell r="D759" t="str">
            <v>7cm ≤ đk gốc &lt; 10cm</v>
          </cell>
          <cell r="E759">
            <v>0.39999985694885298</v>
          </cell>
          <cell r="F759" t="str">
            <v>cây</v>
          </cell>
          <cell r="G759">
            <v>160000</v>
          </cell>
          <cell r="H759">
            <v>0.4</v>
          </cell>
          <cell r="I759">
            <v>0.39999985694885298</v>
          </cell>
          <cell r="J759" t="str">
            <v>ĐG 01.02.2025</v>
          </cell>
        </row>
        <row r="760">
          <cell r="B760" t="str">
            <v>Đa1015vmd</v>
          </cell>
          <cell r="C760" t="str">
            <v>Cây Đa vượt mật độ</v>
          </cell>
          <cell r="D760" t="str">
            <v>10cm ≤ đk gốc &lt; 15cm</v>
          </cell>
          <cell r="E760">
            <v>0.39999985694885298</v>
          </cell>
          <cell r="F760" t="str">
            <v>cây</v>
          </cell>
          <cell r="G760">
            <v>280000</v>
          </cell>
          <cell r="H760">
            <v>0.4</v>
          </cell>
          <cell r="I760">
            <v>0.39999985694885298</v>
          </cell>
          <cell r="J760" t="str">
            <v>ĐG 01.02.2025</v>
          </cell>
        </row>
        <row r="761">
          <cell r="B761" t="str">
            <v>Đa1520vmd</v>
          </cell>
          <cell r="C761" t="str">
            <v>Cây Đa vượt mật độ</v>
          </cell>
          <cell r="D761" t="str">
            <v>15cm ≤ đk gốc &lt; 20cm</v>
          </cell>
          <cell r="E761">
            <v>0.39999985694885298</v>
          </cell>
          <cell r="F761" t="str">
            <v>cây</v>
          </cell>
          <cell r="G761">
            <v>400000</v>
          </cell>
          <cell r="H761">
            <v>0.4</v>
          </cell>
          <cell r="I761">
            <v>0.39999985694885298</v>
          </cell>
          <cell r="J761" t="str">
            <v>ĐG 01.02.2025</v>
          </cell>
        </row>
        <row r="762">
          <cell r="B762" t="str">
            <v>Đa20+vmd</v>
          </cell>
          <cell r="C762" t="str">
            <v>Cây Đa vượt mật độ</v>
          </cell>
          <cell r="D762" t="str">
            <v>đk gốc từ 20cm trở lên</v>
          </cell>
          <cell r="E762">
            <v>0.39999985694885298</v>
          </cell>
          <cell r="F762" t="str">
            <v>cây</v>
          </cell>
          <cell r="G762">
            <v>520000</v>
          </cell>
          <cell r="H762">
            <v>0.4</v>
          </cell>
          <cell r="I762">
            <v>0.39999985694885298</v>
          </cell>
          <cell r="J762" t="str">
            <v>ĐG 01.02.2025</v>
          </cell>
        </row>
        <row r="763">
          <cell r="B763">
            <v>0.39999985694885298</v>
          </cell>
          <cell r="C763" t="str">
            <v>Cây Đa Lan</v>
          </cell>
          <cell r="D763">
            <v>0.39999985694885298</v>
          </cell>
          <cell r="E763">
            <v>0.39999985694885298</v>
          </cell>
          <cell r="F763">
            <v>0.39999985694885298</v>
          </cell>
          <cell r="G763">
            <v>0.39999985694885298</v>
          </cell>
          <cell r="H763">
            <v>0.39999985694885298</v>
          </cell>
          <cell r="I763">
            <v>0.39999985694885298</v>
          </cell>
        </row>
        <row r="764">
          <cell r="B764" t="str">
            <v>Đa lan05</v>
          </cell>
          <cell r="C764" t="str">
            <v>Cây Đa Lan</v>
          </cell>
          <cell r="D764" t="str">
            <v>đk gốc &lt; 5cm</v>
          </cell>
          <cell r="E764">
            <v>0.39999985694885298</v>
          </cell>
          <cell r="F764" t="str">
            <v>cây</v>
          </cell>
          <cell r="G764">
            <v>80000</v>
          </cell>
          <cell r="H764">
            <v>0.8</v>
          </cell>
          <cell r="I764">
            <v>0.79999971389770497</v>
          </cell>
          <cell r="J764" t="str">
            <v>ĐG 01.02.2025</v>
          </cell>
        </row>
        <row r="765">
          <cell r="B765" t="str">
            <v>Đa lan57</v>
          </cell>
          <cell r="C765" t="str">
            <v>Cây Đa Lan</v>
          </cell>
          <cell r="D765" t="str">
            <v>5cm ≤ đk gốc &lt; 7cm</v>
          </cell>
          <cell r="E765">
            <v>0.79999971389770497</v>
          </cell>
          <cell r="F765" t="str">
            <v>cây</v>
          </cell>
          <cell r="G765">
            <v>100000</v>
          </cell>
          <cell r="H765">
            <v>0.8</v>
          </cell>
          <cell r="I765">
            <v>0.79999971389770497</v>
          </cell>
          <cell r="J765" t="str">
            <v>ĐG 01.02.2025</v>
          </cell>
        </row>
        <row r="766">
          <cell r="B766" t="str">
            <v>Đa lan710</v>
          </cell>
          <cell r="C766" t="str">
            <v>Cây Đa Lan</v>
          </cell>
          <cell r="D766" t="str">
            <v>7cm ≤ đk gốc &lt; 10cm</v>
          </cell>
          <cell r="E766">
            <v>0.79999971389770497</v>
          </cell>
          <cell r="F766" t="str">
            <v>cây</v>
          </cell>
          <cell r="G766">
            <v>160000</v>
          </cell>
          <cell r="H766">
            <v>0.8</v>
          </cell>
          <cell r="I766">
            <v>0.79999971389770497</v>
          </cell>
          <cell r="J766" t="str">
            <v>ĐG 01.02.2025</v>
          </cell>
        </row>
        <row r="767">
          <cell r="B767" t="str">
            <v>Đa lan1015</v>
          </cell>
          <cell r="C767" t="str">
            <v>Cây Đa Lan</v>
          </cell>
          <cell r="D767" t="str">
            <v>10cm ≤ đk gốc &lt; 15cm</v>
          </cell>
          <cell r="E767">
            <v>0.79999971389770497</v>
          </cell>
          <cell r="F767" t="str">
            <v>cây</v>
          </cell>
          <cell r="G767">
            <v>280000</v>
          </cell>
          <cell r="H767">
            <v>0.8</v>
          </cell>
          <cell r="I767">
            <v>0.79999971389770497</v>
          </cell>
          <cell r="J767" t="str">
            <v>ĐG 01.02.2025</v>
          </cell>
        </row>
        <row r="768">
          <cell r="B768" t="str">
            <v>Đa lan1520</v>
          </cell>
          <cell r="C768" t="str">
            <v>Cây Đa Lan</v>
          </cell>
          <cell r="D768" t="str">
            <v>15cm ≤ đk gốc &lt; 20cm</v>
          </cell>
          <cell r="E768">
            <v>0.79999971389770497</v>
          </cell>
          <cell r="F768" t="str">
            <v>cây</v>
          </cell>
          <cell r="G768">
            <v>400000</v>
          </cell>
          <cell r="H768">
            <v>0.8</v>
          </cell>
          <cell r="I768">
            <v>0.79999971389770497</v>
          </cell>
          <cell r="J768" t="str">
            <v>ĐG 01.02.2025</v>
          </cell>
        </row>
        <row r="769">
          <cell r="B769" t="str">
            <v>Đa lan20+</v>
          </cell>
          <cell r="C769" t="str">
            <v>Cây Đa Lan</v>
          </cell>
          <cell r="D769" t="str">
            <v>đk gốc từ 20cm trở lên</v>
          </cell>
          <cell r="E769">
            <v>0.79999971389770497</v>
          </cell>
          <cell r="F769" t="str">
            <v>cây</v>
          </cell>
          <cell r="G769">
            <v>520000</v>
          </cell>
          <cell r="H769">
            <v>0.8</v>
          </cell>
          <cell r="I769">
            <v>0.79999971389770497</v>
          </cell>
          <cell r="J769" t="str">
            <v>ĐG 01.02.2025</v>
          </cell>
        </row>
        <row r="770">
          <cell r="B770" t="str">
            <v>Đa lan05vmd</v>
          </cell>
          <cell r="C770" t="str">
            <v>Cây Đa Lan vượt mật độ</v>
          </cell>
          <cell r="D770" t="str">
            <v>đk gốc &lt; 5cm</v>
          </cell>
          <cell r="E770">
            <v>0.79999971389770497</v>
          </cell>
          <cell r="F770" t="str">
            <v>cây</v>
          </cell>
          <cell r="G770">
            <v>80000</v>
          </cell>
          <cell r="H770">
            <v>0.4</v>
          </cell>
          <cell r="I770">
            <v>0.39999985694885298</v>
          </cell>
          <cell r="J770" t="str">
            <v>ĐG 01.02.2025</v>
          </cell>
        </row>
        <row r="771">
          <cell r="B771" t="str">
            <v>Đa lan57vmd</v>
          </cell>
          <cell r="C771" t="str">
            <v>Cây Đa Lan vượt mật độ</v>
          </cell>
          <cell r="D771" t="str">
            <v>5cm ≤ đk gốc &lt; 7cm</v>
          </cell>
          <cell r="E771">
            <v>0.39999985694885298</v>
          </cell>
          <cell r="F771" t="str">
            <v>cây</v>
          </cell>
          <cell r="G771">
            <v>100000</v>
          </cell>
          <cell r="H771">
            <v>0.4</v>
          </cell>
          <cell r="I771">
            <v>0.39999985694885298</v>
          </cell>
          <cell r="J771" t="str">
            <v>ĐG 01.02.2025</v>
          </cell>
        </row>
        <row r="772">
          <cell r="B772" t="str">
            <v>Đa lan710vmd</v>
          </cell>
          <cell r="C772" t="str">
            <v>Cây Đa Lan vượt mật độ</v>
          </cell>
          <cell r="D772" t="str">
            <v>7cm ≤ đk gốc &lt; 10cm</v>
          </cell>
          <cell r="E772">
            <v>0.39999985694885298</v>
          </cell>
          <cell r="F772" t="str">
            <v>cây</v>
          </cell>
          <cell r="G772">
            <v>160000</v>
          </cell>
          <cell r="H772">
            <v>0.4</v>
          </cell>
          <cell r="I772">
            <v>0.39999985694885298</v>
          </cell>
          <cell r="J772" t="str">
            <v>ĐG 01.02.2025</v>
          </cell>
        </row>
        <row r="773">
          <cell r="B773" t="str">
            <v>Đa lan1015vmd</v>
          </cell>
          <cell r="C773" t="str">
            <v>Cây Đa Lan vượt mật độ</v>
          </cell>
          <cell r="D773" t="str">
            <v>10cm ≤ đk gốc &lt; 15cm</v>
          </cell>
          <cell r="E773">
            <v>0.39999985694885298</v>
          </cell>
          <cell r="F773" t="str">
            <v>cây</v>
          </cell>
          <cell r="G773">
            <v>280000</v>
          </cell>
          <cell r="H773">
            <v>0.4</v>
          </cell>
          <cell r="I773">
            <v>0.39999985694885298</v>
          </cell>
          <cell r="J773" t="str">
            <v>ĐG 01.02.2025</v>
          </cell>
        </row>
        <row r="774">
          <cell r="B774" t="str">
            <v>Đa lan1520vmd</v>
          </cell>
          <cell r="C774" t="str">
            <v>Cây Đa Lan vượt mật độ</v>
          </cell>
          <cell r="D774" t="str">
            <v>15cm ≤ đk gốc &lt; 20cm</v>
          </cell>
          <cell r="E774">
            <v>0.39999985694885298</v>
          </cell>
          <cell r="F774" t="str">
            <v>cây</v>
          </cell>
          <cell r="G774">
            <v>400000</v>
          </cell>
          <cell r="H774">
            <v>0.4</v>
          </cell>
          <cell r="I774">
            <v>0.39999985694885298</v>
          </cell>
          <cell r="J774" t="str">
            <v>ĐG 01.02.2025</v>
          </cell>
        </row>
        <row r="775">
          <cell r="B775" t="str">
            <v>Đa lan20+vmd</v>
          </cell>
          <cell r="C775" t="str">
            <v>Cây Đa Lan vượt mật độ</v>
          </cell>
          <cell r="D775" t="str">
            <v>đk gốc từ 20cm trở lên</v>
          </cell>
          <cell r="E775">
            <v>0.39999985694885298</v>
          </cell>
          <cell r="F775" t="str">
            <v>cây</v>
          </cell>
          <cell r="G775">
            <v>520000</v>
          </cell>
          <cell r="H775">
            <v>0.4</v>
          </cell>
          <cell r="I775">
            <v>0.39999985694885298</v>
          </cell>
          <cell r="J775" t="str">
            <v>ĐG 01.02.2025</v>
          </cell>
        </row>
        <row r="776">
          <cell r="B776">
            <v>0.39999985694885298</v>
          </cell>
          <cell r="C776" t="str">
            <v>Cây Ngọc lan</v>
          </cell>
          <cell r="D776">
            <v>0.39999985694885298</v>
          </cell>
          <cell r="E776">
            <v>0.39999985694885298</v>
          </cell>
          <cell r="F776">
            <v>0.39999985694885298</v>
          </cell>
          <cell r="G776">
            <v>0.39999985694885298</v>
          </cell>
          <cell r="H776">
            <v>0.39999985694885298</v>
          </cell>
          <cell r="I776">
            <v>0.39999985694885298</v>
          </cell>
        </row>
        <row r="777">
          <cell r="B777" t="str">
            <v>Ngọc lan05</v>
          </cell>
          <cell r="C777" t="str">
            <v>Cây Ngọc lan</v>
          </cell>
          <cell r="D777" t="str">
            <v>đk gốc &lt; 5cm</v>
          </cell>
          <cell r="E777">
            <v>1</v>
          </cell>
          <cell r="F777" t="str">
            <v>cây</v>
          </cell>
          <cell r="G777">
            <v>80000</v>
          </cell>
          <cell r="H777">
            <v>0.8</v>
          </cell>
          <cell r="I777">
            <v>0.79999971389770497</v>
          </cell>
          <cell r="J777" t="str">
            <v>ĐG 01.02.2025</v>
          </cell>
        </row>
        <row r="778">
          <cell r="B778" t="str">
            <v>Ngọc lan57</v>
          </cell>
          <cell r="C778" t="str">
            <v>Cây Ngọc lan</v>
          </cell>
          <cell r="D778" t="str">
            <v>5cm ≤ đk gốc &lt; 7cm</v>
          </cell>
          <cell r="E778">
            <v>1</v>
          </cell>
          <cell r="F778" t="str">
            <v>cây</v>
          </cell>
          <cell r="G778">
            <v>100000</v>
          </cell>
          <cell r="H778">
            <v>0.8</v>
          </cell>
          <cell r="I778">
            <v>0.79999971389770497</v>
          </cell>
          <cell r="J778" t="str">
            <v>ĐG 01.02.2025</v>
          </cell>
        </row>
        <row r="779">
          <cell r="B779" t="str">
            <v>Ngọc lan710</v>
          </cell>
          <cell r="C779" t="str">
            <v>Cây Ngọc lan</v>
          </cell>
          <cell r="D779" t="str">
            <v>7cm ≤ đk gốc &lt; 10cm</v>
          </cell>
          <cell r="E779">
            <v>1.5</v>
          </cell>
          <cell r="F779" t="str">
            <v>cây</v>
          </cell>
          <cell r="G779">
            <v>160000</v>
          </cell>
          <cell r="H779">
            <v>0.8</v>
          </cell>
          <cell r="I779">
            <v>0.79999971389770497</v>
          </cell>
          <cell r="J779" t="str">
            <v>ĐG 01.02.2025</v>
          </cell>
        </row>
        <row r="780">
          <cell r="B780" t="str">
            <v>Ngọc lan1015</v>
          </cell>
          <cell r="C780" t="str">
            <v>Cây Ngọc lan</v>
          </cell>
          <cell r="D780" t="str">
            <v>10cm ≤ đk gốc &lt; 15cm</v>
          </cell>
          <cell r="E780">
            <v>2</v>
          </cell>
          <cell r="F780" t="str">
            <v>cây</v>
          </cell>
          <cell r="G780">
            <v>280000</v>
          </cell>
          <cell r="H780">
            <v>0.8</v>
          </cell>
          <cell r="I780">
            <v>0.79999971389770497</v>
          </cell>
          <cell r="J780" t="str">
            <v>ĐG 01.02.2025</v>
          </cell>
        </row>
        <row r="781">
          <cell r="B781" t="str">
            <v>Ngọc lan1520</v>
          </cell>
          <cell r="C781" t="str">
            <v>Cây Ngọc lan</v>
          </cell>
          <cell r="D781" t="str">
            <v>15cm ≤ đk gốc &lt; 20cm</v>
          </cell>
          <cell r="E781">
            <v>2.5</v>
          </cell>
          <cell r="F781" t="str">
            <v>cây</v>
          </cell>
          <cell r="G781">
            <v>400000</v>
          </cell>
          <cell r="H781">
            <v>0.8</v>
          </cell>
          <cell r="I781">
            <v>0.79999971389770497</v>
          </cell>
          <cell r="J781" t="str">
            <v>ĐG 01.02.2025</v>
          </cell>
        </row>
        <row r="782">
          <cell r="B782" t="str">
            <v>Ngọc lan20+</v>
          </cell>
          <cell r="C782" t="str">
            <v>Cây Ngọc lan</v>
          </cell>
          <cell r="D782" t="str">
            <v>đk gốc từ 20cm trở lên</v>
          </cell>
          <cell r="E782">
            <v>3</v>
          </cell>
          <cell r="F782" t="str">
            <v>cây</v>
          </cell>
          <cell r="G782">
            <v>520000</v>
          </cell>
          <cell r="H782">
            <v>0.8</v>
          </cell>
          <cell r="I782">
            <v>0.79999971389770497</v>
          </cell>
          <cell r="J782" t="str">
            <v>ĐG 01.02.2025</v>
          </cell>
        </row>
        <row r="783">
          <cell r="B783" t="str">
            <v>Ngọc lan05vmd</v>
          </cell>
          <cell r="C783" t="str">
            <v>Cây Ngọc lan vượt mật độ</v>
          </cell>
          <cell r="D783" t="str">
            <v>đk gốc &lt; 5cm</v>
          </cell>
          <cell r="E783">
            <v>1</v>
          </cell>
          <cell r="F783" t="str">
            <v>cây</v>
          </cell>
          <cell r="G783">
            <v>80000</v>
          </cell>
          <cell r="H783">
            <v>0.4</v>
          </cell>
          <cell r="I783">
            <v>0.39999985694885298</v>
          </cell>
          <cell r="J783" t="str">
            <v>ĐG 01.02.2025</v>
          </cell>
        </row>
        <row r="784">
          <cell r="B784" t="str">
            <v>Ngọc lan57vmd</v>
          </cell>
          <cell r="C784" t="str">
            <v>Cây Ngọc lan vượt mật độ</v>
          </cell>
          <cell r="D784" t="str">
            <v>5cm ≤ đk gốc &lt; 7cm</v>
          </cell>
          <cell r="E784">
            <v>1</v>
          </cell>
          <cell r="F784" t="str">
            <v>cây</v>
          </cell>
          <cell r="G784">
            <v>100000</v>
          </cell>
          <cell r="H784">
            <v>0.4</v>
          </cell>
          <cell r="I784">
            <v>0.39999985694885298</v>
          </cell>
          <cell r="J784" t="str">
            <v>ĐG 01.02.2025</v>
          </cell>
        </row>
        <row r="785">
          <cell r="B785" t="str">
            <v>Ngọc lan710vmd</v>
          </cell>
          <cell r="C785" t="str">
            <v>Cây Ngọc lan vượt mật độ</v>
          </cell>
          <cell r="D785" t="str">
            <v>7cm ≤ đk gốc &lt; 10cm</v>
          </cell>
          <cell r="E785">
            <v>1.5</v>
          </cell>
          <cell r="F785" t="str">
            <v>cây</v>
          </cell>
          <cell r="G785">
            <v>160000</v>
          </cell>
          <cell r="H785">
            <v>0.4</v>
          </cell>
          <cell r="I785">
            <v>0.39999985694885298</v>
          </cell>
          <cell r="J785" t="str">
            <v>ĐG 01.02.2025</v>
          </cell>
        </row>
        <row r="786">
          <cell r="B786" t="str">
            <v>Ngọc lan1015vmd</v>
          </cell>
          <cell r="C786" t="str">
            <v>Cây Ngọc lan vượt mật độ</v>
          </cell>
          <cell r="D786" t="str">
            <v>10cm ≤ đk gốc &lt; 15cm</v>
          </cell>
          <cell r="E786">
            <v>2</v>
          </cell>
          <cell r="F786" t="str">
            <v>cây</v>
          </cell>
          <cell r="G786">
            <v>280000</v>
          </cell>
          <cell r="H786">
            <v>0.4</v>
          </cell>
          <cell r="I786">
            <v>0.39999985694885298</v>
          </cell>
          <cell r="J786" t="str">
            <v>ĐG 01.02.2025</v>
          </cell>
        </row>
        <row r="787">
          <cell r="B787" t="str">
            <v>Ngọc lan1520vmd</v>
          </cell>
          <cell r="C787" t="str">
            <v>Cây Ngọc lan vượt mật độ</v>
          </cell>
          <cell r="D787" t="str">
            <v>15cm ≤ đk gốc &lt; 20cm</v>
          </cell>
          <cell r="E787">
            <v>2.5</v>
          </cell>
          <cell r="F787" t="str">
            <v>cây</v>
          </cell>
          <cell r="G787">
            <v>400000</v>
          </cell>
          <cell r="H787">
            <v>0.4</v>
          </cell>
          <cell r="I787">
            <v>0.39999985694885298</v>
          </cell>
          <cell r="J787" t="str">
            <v>ĐG 01.02.2025</v>
          </cell>
        </row>
        <row r="788">
          <cell r="B788" t="str">
            <v>Ngọc lan20+vmd</v>
          </cell>
          <cell r="C788" t="str">
            <v>Cây Ngọc lan vượt mật độ</v>
          </cell>
          <cell r="D788" t="str">
            <v>đk gốc từ 20cm trở lên</v>
          </cell>
          <cell r="E788">
            <v>3</v>
          </cell>
          <cell r="F788" t="str">
            <v>cây</v>
          </cell>
          <cell r="G788">
            <v>520000</v>
          </cell>
          <cell r="H788">
            <v>0.4</v>
          </cell>
          <cell r="I788">
            <v>0.39999985694885298</v>
          </cell>
          <cell r="J788" t="str">
            <v>ĐG 01.02.2025</v>
          </cell>
        </row>
        <row r="789">
          <cell r="B789">
            <v>0.39999985694885298</v>
          </cell>
          <cell r="C789" t="str">
            <v>Cây Tường vi</v>
          </cell>
          <cell r="D789">
            <v>0.39999985694885298</v>
          </cell>
          <cell r="E789">
            <v>0.39999985694885298</v>
          </cell>
          <cell r="F789">
            <v>0.39999985694885298</v>
          </cell>
          <cell r="G789">
            <v>0.39999985694885298</v>
          </cell>
          <cell r="H789">
            <v>0.39999985694885298</v>
          </cell>
          <cell r="I789">
            <v>0.39999985694885298</v>
          </cell>
        </row>
        <row r="790">
          <cell r="B790" t="str">
            <v>Tườngvi01</v>
          </cell>
          <cell r="C790" t="str">
            <v>Cây tường vi</v>
          </cell>
          <cell r="D790" t="str">
            <v>cây giống</v>
          </cell>
          <cell r="E790">
            <v>0.39999985694885298</v>
          </cell>
          <cell r="F790" t="str">
            <v>m2</v>
          </cell>
          <cell r="G790">
            <v>33000</v>
          </cell>
          <cell r="H790">
            <v>0.8</v>
          </cell>
          <cell r="I790">
            <v>0.79999971389770497</v>
          </cell>
          <cell r="J790" t="str">
            <v>ĐG 01.02.2025</v>
          </cell>
        </row>
        <row r="791">
          <cell r="B791" t="str">
            <v>Tườngvi05</v>
          </cell>
          <cell r="C791" t="str">
            <v>Cây tường vi</v>
          </cell>
          <cell r="D791" t="str">
            <v>đk gốc &lt; 5cm</v>
          </cell>
          <cell r="E791">
            <v>0.79999971389770497</v>
          </cell>
          <cell r="F791" t="str">
            <v>cây</v>
          </cell>
          <cell r="G791">
            <v>33000</v>
          </cell>
          <cell r="H791">
            <v>0.8</v>
          </cell>
          <cell r="I791">
            <v>0.79999971389770497</v>
          </cell>
          <cell r="J791" t="str">
            <v>ĐG 01.02.2025</v>
          </cell>
        </row>
        <row r="792">
          <cell r="B792" t="str">
            <v>Tườngvi510</v>
          </cell>
          <cell r="C792" t="str">
            <v>Cây tường vi</v>
          </cell>
          <cell r="D792" t="str">
            <v>5cm ≤ đk gốc &lt; 10cm</v>
          </cell>
          <cell r="E792">
            <v>0.79999971389770497</v>
          </cell>
          <cell r="F792" t="str">
            <v>cây</v>
          </cell>
          <cell r="G792">
            <v>55000</v>
          </cell>
          <cell r="H792">
            <v>0.8</v>
          </cell>
          <cell r="I792">
            <v>0.79999971389770497</v>
          </cell>
          <cell r="J792" t="str">
            <v>ĐG 01.02.2025</v>
          </cell>
        </row>
        <row r="793">
          <cell r="B793" t="str">
            <v>Tườngvi1013</v>
          </cell>
          <cell r="C793" t="str">
            <v>Cây tường vi</v>
          </cell>
          <cell r="D793" t="str">
            <v>10cm ≤ đk gốc &lt; 13cm</v>
          </cell>
          <cell r="E793">
            <v>0.79999971389770497</v>
          </cell>
          <cell r="F793" t="str">
            <v>cây</v>
          </cell>
          <cell r="G793">
            <v>80000</v>
          </cell>
          <cell r="H793">
            <v>0.8</v>
          </cell>
          <cell r="I793">
            <v>0.79999971389770497</v>
          </cell>
          <cell r="J793" t="str">
            <v>ĐG 01.02.2025</v>
          </cell>
        </row>
        <row r="794">
          <cell r="B794" t="str">
            <v>Tườngvi1320</v>
          </cell>
          <cell r="C794" t="str">
            <v>Cây tường vi</v>
          </cell>
          <cell r="D794" t="str">
            <v>13cm &lt; đk gốc &lt; 20cm</v>
          </cell>
          <cell r="E794">
            <v>0.79999971389770497</v>
          </cell>
          <cell r="F794" t="str">
            <v>cây</v>
          </cell>
          <cell r="G794">
            <v>100000</v>
          </cell>
          <cell r="H794">
            <v>0.8</v>
          </cell>
          <cell r="I794">
            <v>0.79999971389770497</v>
          </cell>
          <cell r="J794" t="str">
            <v>ĐG 01.02.2025</v>
          </cell>
        </row>
        <row r="795">
          <cell r="B795" t="str">
            <v>Tườngvi2040</v>
          </cell>
          <cell r="C795" t="str">
            <v>Cây tường vi</v>
          </cell>
          <cell r="D795" t="str">
            <v>20cm &lt; đk gốc &lt; 40cm</v>
          </cell>
          <cell r="E795">
            <v>0.79999971389770497</v>
          </cell>
          <cell r="F795" t="str">
            <v>cây</v>
          </cell>
          <cell r="G795">
            <v>200000</v>
          </cell>
          <cell r="H795">
            <v>0.8</v>
          </cell>
          <cell r="I795">
            <v>0.79999971389770497</v>
          </cell>
          <cell r="J795" t="str">
            <v>ĐG 01.02.2025</v>
          </cell>
        </row>
        <row r="796">
          <cell r="B796" t="str">
            <v>Tườngvi40+</v>
          </cell>
          <cell r="C796" t="str">
            <v>Cây tường vi</v>
          </cell>
          <cell r="D796" t="str">
            <v>đk gốc trên 40cm</v>
          </cell>
          <cell r="E796">
            <v>0.79999971389770497</v>
          </cell>
          <cell r="F796" t="str">
            <v>cây</v>
          </cell>
          <cell r="G796">
            <v>220000</v>
          </cell>
          <cell r="H796">
            <v>0.8</v>
          </cell>
          <cell r="I796">
            <v>0.79999971389770497</v>
          </cell>
          <cell r="J796" t="str">
            <v>ĐG 01.02.2025</v>
          </cell>
        </row>
        <row r="797">
          <cell r="B797" t="str">
            <v>Tườngvi01vmd</v>
          </cell>
          <cell r="C797" t="str">
            <v>Cây tường vi vượt mật độ</v>
          </cell>
          <cell r="D797" t="str">
            <v>cây giống</v>
          </cell>
          <cell r="E797">
            <v>0.79999971389770497</v>
          </cell>
          <cell r="F797" t="str">
            <v>m2</v>
          </cell>
          <cell r="G797">
            <v>33000</v>
          </cell>
          <cell r="H797">
            <v>0.4</v>
          </cell>
          <cell r="I797">
            <v>0.39999985694885298</v>
          </cell>
          <cell r="J797" t="str">
            <v>ĐG 01.02.2025</v>
          </cell>
        </row>
        <row r="798">
          <cell r="B798" t="str">
            <v>Tườngvi05vmd</v>
          </cell>
          <cell r="C798" t="str">
            <v>Cây tường vi vượt mật độ</v>
          </cell>
          <cell r="D798" t="str">
            <v>đk gốc &lt; 5cm</v>
          </cell>
          <cell r="E798">
            <v>0.39999985694885298</v>
          </cell>
          <cell r="F798" t="str">
            <v>cây</v>
          </cell>
          <cell r="G798">
            <v>33000</v>
          </cell>
          <cell r="H798">
            <v>0.4</v>
          </cell>
          <cell r="I798">
            <v>0.39999985694885298</v>
          </cell>
          <cell r="J798" t="str">
            <v>ĐG 01.02.2025</v>
          </cell>
        </row>
        <row r="799">
          <cell r="B799" t="str">
            <v>Tườngvi510vmd</v>
          </cell>
          <cell r="C799" t="str">
            <v>Cây tường vi vượt mật độ</v>
          </cell>
          <cell r="D799" t="str">
            <v>5cm ≤ đk gốc &lt; 10cm</v>
          </cell>
          <cell r="E799">
            <v>0.39999985694885298</v>
          </cell>
          <cell r="F799" t="str">
            <v>cây</v>
          </cell>
          <cell r="G799">
            <v>55000</v>
          </cell>
          <cell r="H799">
            <v>0.4</v>
          </cell>
          <cell r="I799">
            <v>0.39999985694885298</v>
          </cell>
          <cell r="J799" t="str">
            <v>ĐG 01.02.2025</v>
          </cell>
        </row>
        <row r="800">
          <cell r="B800" t="str">
            <v>Tườngvi1013vmd</v>
          </cell>
          <cell r="C800" t="str">
            <v>Cây tường vi vượt mật độ</v>
          </cell>
          <cell r="D800" t="str">
            <v>10cm ≤ đk gốc &lt; 13cm</v>
          </cell>
          <cell r="E800">
            <v>0.39999985694885298</v>
          </cell>
          <cell r="F800" t="str">
            <v>cây</v>
          </cell>
          <cell r="G800">
            <v>80000</v>
          </cell>
          <cell r="H800">
            <v>0.4</v>
          </cell>
          <cell r="I800">
            <v>0.39999985694885298</v>
          </cell>
          <cell r="J800" t="str">
            <v>ĐG 01.02.2025</v>
          </cell>
        </row>
        <row r="801">
          <cell r="B801" t="str">
            <v>Tườngvi1320vmd</v>
          </cell>
          <cell r="C801" t="str">
            <v>Cây tường vi vượt mật độ</v>
          </cell>
          <cell r="D801" t="str">
            <v>13cm &lt; đk gốc &lt; 20cm</v>
          </cell>
          <cell r="E801">
            <v>0.39999985694885298</v>
          </cell>
          <cell r="F801" t="str">
            <v>cây</v>
          </cell>
          <cell r="G801">
            <v>100000</v>
          </cell>
          <cell r="H801">
            <v>0.4</v>
          </cell>
          <cell r="I801">
            <v>0.39999985694885298</v>
          </cell>
          <cell r="J801" t="str">
            <v>ĐG 01.02.2025</v>
          </cell>
        </row>
        <row r="802">
          <cell r="B802" t="str">
            <v>Tườngvi2040vmd</v>
          </cell>
          <cell r="C802" t="str">
            <v>Cây tường vi vượt mật độ</v>
          </cell>
          <cell r="D802" t="str">
            <v>20cm &lt; đk gốc &lt; 40cm</v>
          </cell>
          <cell r="E802">
            <v>0.39999985694885298</v>
          </cell>
          <cell r="F802" t="str">
            <v>cây</v>
          </cell>
          <cell r="G802">
            <v>200000</v>
          </cell>
          <cell r="H802">
            <v>0.4</v>
          </cell>
          <cell r="I802">
            <v>0.39999985694885298</v>
          </cell>
          <cell r="J802" t="str">
            <v>ĐG 01.02.2025</v>
          </cell>
        </row>
        <row r="803">
          <cell r="B803" t="str">
            <v>Tườngvi40+vmd</v>
          </cell>
          <cell r="C803" t="str">
            <v>Cây tường vi vượt mật độ</v>
          </cell>
          <cell r="D803" t="str">
            <v>đk gốc trên 40cm</v>
          </cell>
          <cell r="E803">
            <v>0.39999985694885298</v>
          </cell>
          <cell r="F803" t="str">
            <v>cây</v>
          </cell>
          <cell r="G803">
            <v>220000</v>
          </cell>
          <cell r="H803">
            <v>0.4</v>
          </cell>
          <cell r="I803">
            <v>0.39999985694885298</v>
          </cell>
          <cell r="J803" t="str">
            <v>ĐG 01.02.2025</v>
          </cell>
        </row>
        <row r="804">
          <cell r="B804">
            <v>0.39999985694885298</v>
          </cell>
          <cell r="C804" t="str">
            <v>Cây Lựu</v>
          </cell>
          <cell r="D804">
            <v>0.39999985694885298</v>
          </cell>
          <cell r="E804">
            <v>0.39999985694885298</v>
          </cell>
          <cell r="F804">
            <v>0.39999985694885298</v>
          </cell>
          <cell r="G804">
            <v>0.39999985694885298</v>
          </cell>
          <cell r="H804">
            <v>0.39999985694885298</v>
          </cell>
          <cell r="I804">
            <v>0.39999985694885298</v>
          </cell>
          <cell r="J804">
            <v>0.39999985694885298</v>
          </cell>
        </row>
        <row r="805">
          <cell r="B805" t="str">
            <v>lựu01</v>
          </cell>
          <cell r="C805" t="str">
            <v>Cây Lựu</v>
          </cell>
          <cell r="D805" t="str">
            <v>cây giống</v>
          </cell>
          <cell r="E805">
            <v>0.39999985694885298</v>
          </cell>
          <cell r="F805" t="str">
            <v>m2</v>
          </cell>
          <cell r="G805">
            <v>33000</v>
          </cell>
          <cell r="H805">
            <v>0.8</v>
          </cell>
          <cell r="I805">
            <v>0.79999971389770497</v>
          </cell>
          <cell r="J805" t="str">
            <v>ĐG 01.02.2025</v>
          </cell>
        </row>
        <row r="806">
          <cell r="B806" t="str">
            <v>lựu05</v>
          </cell>
          <cell r="C806" t="str">
            <v>Cây Lựu</v>
          </cell>
          <cell r="D806" t="str">
            <v>đk gốc &lt; 5cm</v>
          </cell>
          <cell r="E806">
            <v>0.79999971389770497</v>
          </cell>
          <cell r="F806" t="str">
            <v>cây</v>
          </cell>
          <cell r="G806">
            <v>33000</v>
          </cell>
          <cell r="H806">
            <v>0.8</v>
          </cell>
          <cell r="I806">
            <v>0.79999971389770497</v>
          </cell>
          <cell r="J806" t="str">
            <v>ĐG 01.02.2025</v>
          </cell>
        </row>
        <row r="807">
          <cell r="B807" t="str">
            <v>lựu510</v>
          </cell>
          <cell r="C807" t="str">
            <v>Cây Lựu</v>
          </cell>
          <cell r="D807" t="str">
            <v>5cm ≤ đk gốc &lt; 10cm</v>
          </cell>
          <cell r="E807">
            <v>0.79999971389770497</v>
          </cell>
          <cell r="F807" t="str">
            <v>cây</v>
          </cell>
          <cell r="G807">
            <v>55000</v>
          </cell>
          <cell r="H807">
            <v>0.8</v>
          </cell>
          <cell r="I807">
            <v>0.79999971389770497</v>
          </cell>
          <cell r="J807" t="str">
            <v>ĐG 01.02.2025</v>
          </cell>
        </row>
        <row r="808">
          <cell r="B808" t="str">
            <v>lựu1013</v>
          </cell>
          <cell r="C808" t="str">
            <v>Cây Lựu</v>
          </cell>
          <cell r="D808" t="str">
            <v>10cm ≤ đk gốc &lt; 13cm</v>
          </cell>
          <cell r="E808">
            <v>0.79999971389770497</v>
          </cell>
          <cell r="F808" t="str">
            <v>cây</v>
          </cell>
          <cell r="G808">
            <v>80000</v>
          </cell>
          <cell r="H808">
            <v>0.8</v>
          </cell>
          <cell r="I808">
            <v>0.79999971389770497</v>
          </cell>
          <cell r="J808" t="str">
            <v>ĐG 01.02.2025</v>
          </cell>
        </row>
        <row r="809">
          <cell r="B809" t="str">
            <v>lựu1320</v>
          </cell>
          <cell r="C809" t="str">
            <v>Cây Lựu</v>
          </cell>
          <cell r="D809" t="str">
            <v>13cm &lt; đk gốc &lt; 20cm</v>
          </cell>
          <cell r="E809">
            <v>0.79999971389770497</v>
          </cell>
          <cell r="F809" t="str">
            <v>cây</v>
          </cell>
          <cell r="G809">
            <v>100000</v>
          </cell>
          <cell r="H809">
            <v>0.8</v>
          </cell>
          <cell r="I809">
            <v>0.79999971389770497</v>
          </cell>
          <cell r="J809" t="str">
            <v>ĐG 01.02.2025</v>
          </cell>
        </row>
        <row r="810">
          <cell r="B810" t="str">
            <v>lựu2040</v>
          </cell>
          <cell r="C810" t="str">
            <v>Cây Lựu</v>
          </cell>
          <cell r="D810" t="str">
            <v>20cm &lt; đk gốc &lt; 40cm</v>
          </cell>
          <cell r="E810">
            <v>0.79999971389770497</v>
          </cell>
          <cell r="F810" t="str">
            <v>cây</v>
          </cell>
          <cell r="G810">
            <v>200000</v>
          </cell>
          <cell r="H810">
            <v>0.8</v>
          </cell>
          <cell r="I810">
            <v>0.79999971389770497</v>
          </cell>
          <cell r="J810" t="str">
            <v>ĐG 01.02.2025</v>
          </cell>
        </row>
        <row r="811">
          <cell r="B811" t="str">
            <v>lựu40+</v>
          </cell>
          <cell r="C811" t="str">
            <v>Cây Lựu</v>
          </cell>
          <cell r="D811" t="str">
            <v>đk gốc trên 40cm</v>
          </cell>
          <cell r="E811">
            <v>0.79999971389770497</v>
          </cell>
          <cell r="F811" t="str">
            <v>cây</v>
          </cell>
          <cell r="G811">
            <v>220000</v>
          </cell>
          <cell r="H811">
            <v>0.8</v>
          </cell>
          <cell r="I811">
            <v>0.79999971389770497</v>
          </cell>
          <cell r="J811" t="str">
            <v>ĐG 01.02.2025</v>
          </cell>
        </row>
        <row r="812">
          <cell r="B812" t="str">
            <v>lựu01vmd</v>
          </cell>
          <cell r="C812" t="str">
            <v>Cây Lựu vượt mật độ</v>
          </cell>
          <cell r="D812" t="str">
            <v>cây giống</v>
          </cell>
          <cell r="E812">
            <v>0.79999971389770497</v>
          </cell>
          <cell r="F812" t="str">
            <v>m2</v>
          </cell>
          <cell r="G812">
            <v>33000</v>
          </cell>
          <cell r="H812">
            <v>0.4</v>
          </cell>
          <cell r="I812">
            <v>0.39999985694885298</v>
          </cell>
          <cell r="J812" t="str">
            <v>ĐG 01.02.2025</v>
          </cell>
        </row>
        <row r="813">
          <cell r="B813" t="str">
            <v>lựu05vmd</v>
          </cell>
          <cell r="C813" t="str">
            <v>Cây Lựu vượt mật độ</v>
          </cell>
          <cell r="D813" t="str">
            <v>đk gốc &lt; 5cm</v>
          </cell>
          <cell r="E813">
            <v>0.39999985694885298</v>
          </cell>
          <cell r="F813" t="str">
            <v>cây</v>
          </cell>
          <cell r="G813">
            <v>33000</v>
          </cell>
          <cell r="H813">
            <v>0.4</v>
          </cell>
          <cell r="I813">
            <v>0.39999985694885298</v>
          </cell>
          <cell r="J813" t="str">
            <v>ĐG 01.02.2025</v>
          </cell>
        </row>
        <row r="814">
          <cell r="B814" t="str">
            <v>lựu510vmd</v>
          </cell>
          <cell r="C814" t="str">
            <v>Cây Lựu vượt mật độ</v>
          </cell>
          <cell r="D814" t="str">
            <v>5cm ≤ đk gốc &lt; 10cm</v>
          </cell>
          <cell r="E814">
            <v>0.39999985694885298</v>
          </cell>
          <cell r="F814" t="str">
            <v>cây</v>
          </cell>
          <cell r="G814">
            <v>55000</v>
          </cell>
          <cell r="H814">
            <v>0.4</v>
          </cell>
          <cell r="I814">
            <v>0.39999985694885298</v>
          </cell>
          <cell r="J814" t="str">
            <v>ĐG 01.02.2025</v>
          </cell>
        </row>
        <row r="815">
          <cell r="B815" t="str">
            <v>lựu1013vmd</v>
          </cell>
          <cell r="C815" t="str">
            <v>Cây Lựu vượt mật độ</v>
          </cell>
          <cell r="D815" t="str">
            <v>10cm ≤ đk gốc &lt; 13cm</v>
          </cell>
          <cell r="E815">
            <v>0.39999985694885298</v>
          </cell>
          <cell r="F815" t="str">
            <v>cây</v>
          </cell>
          <cell r="G815">
            <v>80000</v>
          </cell>
          <cell r="H815">
            <v>0.4</v>
          </cell>
          <cell r="I815">
            <v>0.39999985694885298</v>
          </cell>
          <cell r="J815" t="str">
            <v>ĐG 01.02.2025</v>
          </cell>
        </row>
        <row r="816">
          <cell r="B816" t="str">
            <v>lựu1320vmd</v>
          </cell>
          <cell r="C816" t="str">
            <v>Cây Lựu vượt mật độ</v>
          </cell>
          <cell r="D816" t="str">
            <v>13cm &lt; đk gốc &lt; 20cm</v>
          </cell>
          <cell r="E816">
            <v>0.39999985694885298</v>
          </cell>
          <cell r="F816" t="str">
            <v>cây</v>
          </cell>
          <cell r="G816">
            <v>100000</v>
          </cell>
          <cell r="H816">
            <v>0.4</v>
          </cell>
          <cell r="I816">
            <v>0.39999985694885298</v>
          </cell>
          <cell r="J816" t="str">
            <v>ĐG 01.02.2025</v>
          </cell>
        </row>
        <row r="817">
          <cell r="B817" t="str">
            <v>lựu2040vmd</v>
          </cell>
          <cell r="C817" t="str">
            <v>Cây Lựu vượt mật độ</v>
          </cell>
          <cell r="D817" t="str">
            <v>20cm &lt; đk gốc &lt; 40cm</v>
          </cell>
          <cell r="E817">
            <v>0.39999985694885298</v>
          </cell>
          <cell r="F817" t="str">
            <v>cây</v>
          </cell>
          <cell r="G817">
            <v>200000</v>
          </cell>
          <cell r="H817">
            <v>0.4</v>
          </cell>
          <cell r="I817">
            <v>0.39999985694885298</v>
          </cell>
          <cell r="J817" t="str">
            <v>ĐG 01.02.2025</v>
          </cell>
        </row>
        <row r="818">
          <cell r="B818" t="str">
            <v>lựu40+vmd</v>
          </cell>
          <cell r="C818" t="str">
            <v>Cây Lựu vượt mật độ</v>
          </cell>
          <cell r="D818" t="str">
            <v>đk gốc trên 40cm</v>
          </cell>
          <cell r="E818">
            <v>0.39999985694885298</v>
          </cell>
          <cell r="F818" t="str">
            <v>cây</v>
          </cell>
          <cell r="G818">
            <v>220000</v>
          </cell>
          <cell r="H818">
            <v>0.4</v>
          </cell>
          <cell r="I818">
            <v>0.39999985694885298</v>
          </cell>
          <cell r="J818" t="str">
            <v>ĐG 01.02.2025</v>
          </cell>
        </row>
        <row r="819">
          <cell r="B819">
            <v>0.39999985694885298</v>
          </cell>
          <cell r="C819" t="str">
            <v>Cây Muồng</v>
          </cell>
          <cell r="D819">
            <v>0.39999985694885298</v>
          </cell>
          <cell r="E819">
            <v>0.39999985694885298</v>
          </cell>
          <cell r="F819">
            <v>0.39999985694885298</v>
          </cell>
          <cell r="G819">
            <v>0.39999985694885298</v>
          </cell>
          <cell r="H819">
            <v>0.39999985694885298</v>
          </cell>
          <cell r="I819">
            <v>0.39999985694885298</v>
          </cell>
        </row>
        <row r="820">
          <cell r="B820" t="str">
            <v>Muồng05</v>
          </cell>
          <cell r="C820" t="str">
            <v>Cây Muồng</v>
          </cell>
          <cell r="D820" t="str">
            <v>đk gốc &lt; 5cm</v>
          </cell>
          <cell r="E820">
            <v>1</v>
          </cell>
          <cell r="F820" t="str">
            <v>cây</v>
          </cell>
          <cell r="G820">
            <v>80000</v>
          </cell>
          <cell r="H820">
            <v>0.8</v>
          </cell>
          <cell r="I820">
            <v>0.79999971389770497</v>
          </cell>
          <cell r="J820" t="str">
            <v>ĐG 30.12.2022</v>
          </cell>
        </row>
        <row r="821">
          <cell r="B821" t="str">
            <v>Muồng57</v>
          </cell>
          <cell r="C821" t="str">
            <v>Cây Muồng</v>
          </cell>
          <cell r="D821" t="str">
            <v>5cm ≤ đk gốc &lt; 7cm</v>
          </cell>
          <cell r="E821">
            <v>1</v>
          </cell>
          <cell r="F821" t="str">
            <v>cây</v>
          </cell>
          <cell r="G821">
            <v>100000</v>
          </cell>
          <cell r="H821">
            <v>0.8</v>
          </cell>
          <cell r="I821">
            <v>0.79999971389770497</v>
          </cell>
          <cell r="J821" t="str">
            <v>ĐG 30.12.2022</v>
          </cell>
        </row>
        <row r="822">
          <cell r="B822" t="str">
            <v>Muồng710</v>
          </cell>
          <cell r="C822" t="str">
            <v>Cây Muồng</v>
          </cell>
          <cell r="D822" t="str">
            <v>7cm ≤ đk gốc &lt; 10cm</v>
          </cell>
          <cell r="E822">
            <v>1.5</v>
          </cell>
          <cell r="F822" t="str">
            <v>cây</v>
          </cell>
          <cell r="G822">
            <v>160000</v>
          </cell>
          <cell r="H822">
            <v>0.8</v>
          </cell>
          <cell r="I822">
            <v>0.79999971389770497</v>
          </cell>
          <cell r="J822" t="str">
            <v>ĐG 30.12.2022</v>
          </cell>
        </row>
        <row r="823">
          <cell r="B823" t="str">
            <v>Muồng1015</v>
          </cell>
          <cell r="C823" t="str">
            <v>Cây Muồng</v>
          </cell>
          <cell r="D823" t="str">
            <v>10cm ≤ đk gốc &lt; 15cm</v>
          </cell>
          <cell r="E823">
            <v>2</v>
          </cell>
          <cell r="F823" t="str">
            <v>cây</v>
          </cell>
          <cell r="G823">
            <v>280000</v>
          </cell>
          <cell r="H823">
            <v>0.8</v>
          </cell>
          <cell r="I823">
            <v>0.79999971389770497</v>
          </cell>
          <cell r="J823" t="str">
            <v>ĐG 30.12.2022</v>
          </cell>
        </row>
        <row r="824">
          <cell r="B824" t="str">
            <v>Muồng1520</v>
          </cell>
          <cell r="C824" t="str">
            <v>Cây Muồng</v>
          </cell>
          <cell r="D824" t="str">
            <v>15cm ≤ đk gốc &lt; 20cm</v>
          </cell>
          <cell r="E824">
            <v>2.5</v>
          </cell>
          <cell r="F824" t="str">
            <v>cây</v>
          </cell>
          <cell r="G824">
            <v>400000</v>
          </cell>
          <cell r="H824">
            <v>0.8</v>
          </cell>
          <cell r="I824">
            <v>0.79999971389770497</v>
          </cell>
          <cell r="J824" t="str">
            <v>ĐG 30.12.2022</v>
          </cell>
        </row>
        <row r="825">
          <cell r="B825" t="str">
            <v>Muồng20+</v>
          </cell>
          <cell r="C825" t="str">
            <v>Cây Muồng</v>
          </cell>
          <cell r="D825" t="str">
            <v>đk gốc từ 20cm trở lên</v>
          </cell>
          <cell r="E825">
            <v>3</v>
          </cell>
          <cell r="F825" t="str">
            <v>cây</v>
          </cell>
          <cell r="G825">
            <v>520000</v>
          </cell>
          <cell r="H825">
            <v>0.8</v>
          </cell>
          <cell r="I825">
            <v>0.79999971389770497</v>
          </cell>
          <cell r="J825" t="str">
            <v>ĐG 30.12.2022</v>
          </cell>
        </row>
        <row r="826">
          <cell r="B826" t="str">
            <v>Muồng05vmd</v>
          </cell>
          <cell r="C826" t="str">
            <v>Cây Muồng vượt mật độ</v>
          </cell>
          <cell r="D826" t="str">
            <v>đk gốc &lt; 5cm</v>
          </cell>
          <cell r="E826">
            <v>1</v>
          </cell>
          <cell r="F826" t="str">
            <v>cây</v>
          </cell>
          <cell r="G826">
            <v>80000</v>
          </cell>
          <cell r="H826">
            <v>0.4</v>
          </cell>
          <cell r="I826">
            <v>0.39999985694885298</v>
          </cell>
          <cell r="J826" t="str">
            <v>ĐG 30.12.2022</v>
          </cell>
        </row>
        <row r="827">
          <cell r="B827" t="str">
            <v>Muồng57vmd</v>
          </cell>
          <cell r="C827" t="str">
            <v>Cây Muồng vượt mật độ</v>
          </cell>
          <cell r="D827" t="str">
            <v>5cm ≤ đk gốc &lt; 7cm</v>
          </cell>
          <cell r="E827">
            <v>1</v>
          </cell>
          <cell r="F827" t="str">
            <v>cây</v>
          </cell>
          <cell r="G827">
            <v>100000</v>
          </cell>
          <cell r="H827">
            <v>0.4</v>
          </cell>
          <cell r="I827">
            <v>0.39999985694885298</v>
          </cell>
          <cell r="J827" t="str">
            <v>ĐG 30.12.2022</v>
          </cell>
        </row>
        <row r="828">
          <cell r="B828" t="str">
            <v>Muồng710vmd</v>
          </cell>
          <cell r="C828" t="str">
            <v>Cây Muồng vượt mật độ</v>
          </cell>
          <cell r="D828" t="str">
            <v>7cm ≤ đk gốc &lt; 10cm</v>
          </cell>
          <cell r="E828">
            <v>1.5</v>
          </cell>
          <cell r="F828" t="str">
            <v>cây</v>
          </cell>
          <cell r="G828">
            <v>160000</v>
          </cell>
          <cell r="H828">
            <v>0.4</v>
          </cell>
          <cell r="I828">
            <v>0.39999985694885298</v>
          </cell>
          <cell r="J828" t="str">
            <v>ĐG 30.12.2022</v>
          </cell>
        </row>
        <row r="829">
          <cell r="B829" t="str">
            <v>Muồng1015vmd</v>
          </cell>
          <cell r="C829" t="str">
            <v>Cây Muồng vượt mật độ</v>
          </cell>
          <cell r="D829" t="str">
            <v>10cm ≤ đk gốc &lt; 15cm</v>
          </cell>
          <cell r="E829">
            <v>2</v>
          </cell>
          <cell r="F829" t="str">
            <v>cây</v>
          </cell>
          <cell r="G829">
            <v>280000</v>
          </cell>
          <cell r="H829">
            <v>0.4</v>
          </cell>
          <cell r="I829">
            <v>0.39999985694885298</v>
          </cell>
          <cell r="J829" t="str">
            <v>ĐG 30.12.2022</v>
          </cell>
        </row>
        <row r="830">
          <cell r="B830" t="str">
            <v>Muồng1520vmd</v>
          </cell>
          <cell r="C830" t="str">
            <v>Cây Muồng vượt mật độ</v>
          </cell>
          <cell r="D830" t="str">
            <v>15cm ≤ đk gốc &lt; 20cm</v>
          </cell>
          <cell r="E830">
            <v>2.5</v>
          </cell>
          <cell r="F830" t="str">
            <v>cây</v>
          </cell>
          <cell r="G830">
            <v>400000</v>
          </cell>
          <cell r="H830">
            <v>0.4</v>
          </cell>
          <cell r="I830">
            <v>0.39999985694885298</v>
          </cell>
          <cell r="J830" t="str">
            <v>ĐG 30.12.2022</v>
          </cell>
        </row>
        <row r="831">
          <cell r="B831" t="str">
            <v>Muồng20+vmd</v>
          </cell>
          <cell r="C831" t="str">
            <v>Cây Muồng vượt mật độ</v>
          </cell>
          <cell r="D831" t="str">
            <v>đk gốc từ 20cm trở lên</v>
          </cell>
          <cell r="E831">
            <v>3</v>
          </cell>
          <cell r="F831" t="str">
            <v>cây</v>
          </cell>
          <cell r="G831">
            <v>520000</v>
          </cell>
          <cell r="H831">
            <v>0.4</v>
          </cell>
          <cell r="I831">
            <v>0.39999985694885298</v>
          </cell>
          <cell r="J831" t="str">
            <v>ĐG 30.12.2022</v>
          </cell>
        </row>
        <row r="832">
          <cell r="B832">
            <v>0.39999985694885298</v>
          </cell>
          <cell r="C832" t="str">
            <v>Cây Muồng hoàng yến</v>
          </cell>
          <cell r="D832">
            <v>0.39999985694885298</v>
          </cell>
          <cell r="E832">
            <v>0.39999985694885298</v>
          </cell>
          <cell r="F832">
            <v>0.39999985694885298</v>
          </cell>
          <cell r="G832">
            <v>0.39999985694885298</v>
          </cell>
          <cell r="H832">
            <v>0.39999985694885298</v>
          </cell>
          <cell r="I832">
            <v>0.39999985694885298</v>
          </cell>
        </row>
        <row r="833">
          <cell r="B833" t="str">
            <v>MuồngHY05</v>
          </cell>
          <cell r="C833" t="str">
            <v>Cây Muồng hoàng yến</v>
          </cell>
          <cell r="D833" t="str">
            <v>đk gốc &lt; 5cm</v>
          </cell>
          <cell r="E833">
            <v>0.39999985694885298</v>
          </cell>
          <cell r="F833" t="str">
            <v>m2</v>
          </cell>
          <cell r="G833">
            <v>80000</v>
          </cell>
          <cell r="H833">
            <v>0.8</v>
          </cell>
          <cell r="I833">
            <v>0.79999971389770497</v>
          </cell>
          <cell r="J833" t="str">
            <v>ĐG 01.02.2025</v>
          </cell>
        </row>
        <row r="834">
          <cell r="B834" t="str">
            <v>MuồngHY57</v>
          </cell>
          <cell r="C834" t="str">
            <v>Cây Muồng hoàng yến</v>
          </cell>
          <cell r="D834" t="str">
            <v>5cm ≤ đk gốc &lt; 7cm</v>
          </cell>
          <cell r="E834">
            <v>0.79999971389770497</v>
          </cell>
          <cell r="F834" t="str">
            <v>cây</v>
          </cell>
          <cell r="G834">
            <v>100000</v>
          </cell>
          <cell r="H834">
            <v>0.8</v>
          </cell>
          <cell r="I834">
            <v>0.79999971389770497</v>
          </cell>
          <cell r="J834" t="str">
            <v>ĐG 01.02.2025</v>
          </cell>
        </row>
        <row r="835">
          <cell r="B835" t="str">
            <v>MuồngHY710</v>
          </cell>
          <cell r="C835" t="str">
            <v>Cây Muồng hoàng yến</v>
          </cell>
          <cell r="D835" t="str">
            <v>7cm ≤ đk gốc &lt; 10cm</v>
          </cell>
          <cell r="E835">
            <v>0.79999971389770497</v>
          </cell>
          <cell r="F835" t="str">
            <v>cây</v>
          </cell>
          <cell r="G835">
            <v>160000</v>
          </cell>
          <cell r="H835">
            <v>0.8</v>
          </cell>
          <cell r="I835">
            <v>0.79999971389770497</v>
          </cell>
          <cell r="J835" t="str">
            <v>ĐG 01.02.2025</v>
          </cell>
        </row>
        <row r="836">
          <cell r="B836" t="str">
            <v>MuồngHY1015</v>
          </cell>
          <cell r="C836" t="str">
            <v>Cây Muồng hoàng yến</v>
          </cell>
          <cell r="D836" t="str">
            <v>10cm ≤ đk gốc &lt; 15cm</v>
          </cell>
          <cell r="E836">
            <v>0.79999971389770497</v>
          </cell>
          <cell r="F836" t="str">
            <v>cây</v>
          </cell>
          <cell r="G836">
            <v>280000</v>
          </cell>
          <cell r="H836">
            <v>0.8</v>
          </cell>
          <cell r="I836">
            <v>0.79999971389770497</v>
          </cell>
          <cell r="J836" t="str">
            <v>ĐG 01.02.2025</v>
          </cell>
        </row>
        <row r="837">
          <cell r="B837" t="str">
            <v>MuồngHY1520</v>
          </cell>
          <cell r="C837" t="str">
            <v>Cây Muồng hoàng yến</v>
          </cell>
          <cell r="D837" t="str">
            <v>15cm ≤ đk gốc &lt; 20cm</v>
          </cell>
          <cell r="E837">
            <v>0.79999971389770497</v>
          </cell>
          <cell r="F837" t="str">
            <v>cây</v>
          </cell>
          <cell r="G837">
            <v>400000</v>
          </cell>
          <cell r="H837">
            <v>0.8</v>
          </cell>
          <cell r="I837">
            <v>0.79999971389770497</v>
          </cell>
          <cell r="J837" t="str">
            <v>ĐG 01.02.2025</v>
          </cell>
        </row>
        <row r="838">
          <cell r="B838" t="str">
            <v>MuồngHY20+</v>
          </cell>
          <cell r="C838" t="str">
            <v>Cây Muồng hoàng yến</v>
          </cell>
          <cell r="D838" t="str">
            <v>đk gốc từ 20cm trở lên</v>
          </cell>
          <cell r="E838">
            <v>0.79999971389770497</v>
          </cell>
          <cell r="F838" t="str">
            <v>cây</v>
          </cell>
          <cell r="G838">
            <v>520000</v>
          </cell>
          <cell r="H838">
            <v>0.8</v>
          </cell>
          <cell r="I838">
            <v>0.79999971389770497</v>
          </cell>
          <cell r="J838" t="str">
            <v>ĐG 01.02.2025</v>
          </cell>
        </row>
        <row r="839">
          <cell r="B839" t="str">
            <v>MuồngHY05vmd</v>
          </cell>
          <cell r="C839" t="str">
            <v>Cây Muồng hoàng yến vượt mật độ</v>
          </cell>
          <cell r="D839" t="str">
            <v>đk gốc &lt; 5cm</v>
          </cell>
          <cell r="E839">
            <v>0.79999971389770497</v>
          </cell>
          <cell r="F839" t="str">
            <v>cây</v>
          </cell>
          <cell r="G839">
            <v>80000</v>
          </cell>
          <cell r="H839">
            <v>0.4</v>
          </cell>
          <cell r="I839">
            <v>0.39999985694885298</v>
          </cell>
          <cell r="J839" t="str">
            <v>ĐG 01.02.2025</v>
          </cell>
        </row>
        <row r="840">
          <cell r="B840" t="str">
            <v>MuồngHY57vmd</v>
          </cell>
          <cell r="C840" t="str">
            <v>Cây Muồng hoàng yến vượt mật độ</v>
          </cell>
          <cell r="D840" t="str">
            <v>5cm ≤ đk gốc &lt; 7cm</v>
          </cell>
          <cell r="E840">
            <v>0.39999985694885298</v>
          </cell>
          <cell r="F840" t="str">
            <v>cây</v>
          </cell>
          <cell r="G840">
            <v>100000</v>
          </cell>
          <cell r="H840">
            <v>0.4</v>
          </cell>
          <cell r="I840">
            <v>0.39999985694885298</v>
          </cell>
          <cell r="J840" t="str">
            <v>ĐG 01.02.2025</v>
          </cell>
        </row>
        <row r="841">
          <cell r="B841" t="str">
            <v>MuồngHY710vmd</v>
          </cell>
          <cell r="C841" t="str">
            <v>Cây Muồng hoàng yến vượt mật độ</v>
          </cell>
          <cell r="D841" t="str">
            <v>7cm ≤ đk gốc &lt; 10cm</v>
          </cell>
          <cell r="E841">
            <v>0.39999985694885298</v>
          </cell>
          <cell r="F841" t="str">
            <v>cây</v>
          </cell>
          <cell r="G841">
            <v>160000</v>
          </cell>
          <cell r="H841">
            <v>0.4</v>
          </cell>
          <cell r="I841">
            <v>0.39999985694885298</v>
          </cell>
          <cell r="J841" t="str">
            <v>ĐG 01.02.2025</v>
          </cell>
        </row>
        <row r="842">
          <cell r="B842" t="str">
            <v>MuồngHY1015vmd</v>
          </cell>
          <cell r="C842" t="str">
            <v>Cây Muồng hoàng yến vượt mật độ</v>
          </cell>
          <cell r="D842" t="str">
            <v>10cm ≤ đk gốc &lt; 15cm</v>
          </cell>
          <cell r="E842">
            <v>0.39999985694885298</v>
          </cell>
          <cell r="F842" t="str">
            <v>cây</v>
          </cell>
          <cell r="G842">
            <v>280000</v>
          </cell>
          <cell r="H842">
            <v>0.4</v>
          </cell>
          <cell r="I842">
            <v>0.39999985694885298</v>
          </cell>
          <cell r="J842" t="str">
            <v>ĐG 01.02.2025</v>
          </cell>
        </row>
        <row r="843">
          <cell r="B843" t="str">
            <v>MuồngHY1520vmd</v>
          </cell>
          <cell r="C843" t="str">
            <v>Cây Muồng hoàng yến vượt mật độ</v>
          </cell>
          <cell r="D843" t="str">
            <v>15cm ≤ đk gốc &lt; 20cm</v>
          </cell>
          <cell r="E843">
            <v>0.39999985694885298</v>
          </cell>
          <cell r="F843" t="str">
            <v>cây</v>
          </cell>
          <cell r="G843">
            <v>400000</v>
          </cell>
          <cell r="H843">
            <v>0.4</v>
          </cell>
          <cell r="I843">
            <v>0.39999985694885298</v>
          </cell>
          <cell r="J843" t="str">
            <v>ĐG 01.02.2025</v>
          </cell>
        </row>
        <row r="844">
          <cell r="B844" t="str">
            <v>MuồngHY20+vmd</v>
          </cell>
          <cell r="C844" t="str">
            <v>Cây Muồng hoàng yến vượt mật độ</v>
          </cell>
          <cell r="D844" t="str">
            <v>đk gốc từ 20cm trở lên</v>
          </cell>
          <cell r="E844">
            <v>0.39999985694885298</v>
          </cell>
          <cell r="F844" t="str">
            <v>cây</v>
          </cell>
          <cell r="G844">
            <v>520000</v>
          </cell>
          <cell r="H844">
            <v>0.4</v>
          </cell>
          <cell r="I844">
            <v>0.39999985694885298</v>
          </cell>
          <cell r="J844" t="str">
            <v>ĐG 01.02.2025</v>
          </cell>
        </row>
        <row r="845">
          <cell r="B845">
            <v>0.39999985694885298</v>
          </cell>
          <cell r="C845" t="str">
            <v>Cây Phượng vĩ</v>
          </cell>
          <cell r="D845">
            <v>0.39999985694885298</v>
          </cell>
          <cell r="E845">
            <v>0.39999985694885298</v>
          </cell>
          <cell r="F845">
            <v>0.39999985694885298</v>
          </cell>
          <cell r="G845">
            <v>0.39999985694885298</v>
          </cell>
          <cell r="H845">
            <v>0.39999985694885298</v>
          </cell>
          <cell r="I845">
            <v>0.39999985694885298</v>
          </cell>
        </row>
        <row r="846">
          <cell r="B846" t="str">
            <v>Phuong01</v>
          </cell>
          <cell r="C846" t="str">
            <v>Cây phượng vĩ</v>
          </cell>
          <cell r="D846" t="str">
            <v>cây giống</v>
          </cell>
          <cell r="E846">
            <v>0.39999985694885298</v>
          </cell>
          <cell r="F846" t="str">
            <v>m2</v>
          </cell>
          <cell r="G846">
            <v>36000</v>
          </cell>
          <cell r="H846">
            <v>0.8</v>
          </cell>
          <cell r="I846">
            <v>0.79999971389770497</v>
          </cell>
          <cell r="J846" t="str">
            <v>ĐG 01.02.2025</v>
          </cell>
        </row>
        <row r="847">
          <cell r="B847" t="str">
            <v>Phuong05</v>
          </cell>
          <cell r="C847" t="str">
            <v>Cây phượng vĩ</v>
          </cell>
          <cell r="D847" t="str">
            <v>đk gốc &lt; 5cm</v>
          </cell>
          <cell r="E847">
            <v>0.79999971389770497</v>
          </cell>
          <cell r="F847" t="str">
            <v>cây</v>
          </cell>
          <cell r="G847">
            <v>36000</v>
          </cell>
          <cell r="H847">
            <v>0.8</v>
          </cell>
          <cell r="I847">
            <v>0.79999971389770497</v>
          </cell>
          <cell r="J847" t="str">
            <v>ĐG 01.02.2025</v>
          </cell>
        </row>
        <row r="848">
          <cell r="B848" t="str">
            <v>Phuong510</v>
          </cell>
          <cell r="C848" t="str">
            <v>Cây phượng vĩ</v>
          </cell>
          <cell r="D848" t="str">
            <v>5cm ≤ đk gốc &lt; 10cm</v>
          </cell>
          <cell r="E848">
            <v>0.79999971389770497</v>
          </cell>
          <cell r="F848" t="str">
            <v>cây</v>
          </cell>
          <cell r="G848">
            <v>60000</v>
          </cell>
          <cell r="H848">
            <v>0.8</v>
          </cell>
          <cell r="I848">
            <v>0.79999971389770497</v>
          </cell>
          <cell r="J848" t="str">
            <v>ĐG 01.02.2025</v>
          </cell>
        </row>
        <row r="849">
          <cell r="B849" t="str">
            <v>Phuong1013</v>
          </cell>
          <cell r="C849" t="str">
            <v>Cây phượng vĩ</v>
          </cell>
          <cell r="D849" t="str">
            <v>10cm ≤ đk gốc &lt; 13cm</v>
          </cell>
          <cell r="E849">
            <v>0.79999971389770497</v>
          </cell>
          <cell r="F849" t="str">
            <v>cây</v>
          </cell>
          <cell r="G849">
            <v>85000</v>
          </cell>
          <cell r="H849">
            <v>0.8</v>
          </cell>
          <cell r="I849">
            <v>0.79999971389770497</v>
          </cell>
          <cell r="J849" t="str">
            <v>ĐG 01.02.2025</v>
          </cell>
        </row>
        <row r="850">
          <cell r="B850" t="str">
            <v>Phuong1320</v>
          </cell>
          <cell r="C850" t="str">
            <v>Cây phượng vĩ</v>
          </cell>
          <cell r="D850" t="str">
            <v>13cm ≤ đk gốc &lt; 20cm</v>
          </cell>
          <cell r="E850">
            <v>0.79999971389770497</v>
          </cell>
          <cell r="F850" t="str">
            <v>cây</v>
          </cell>
          <cell r="G850">
            <v>110000</v>
          </cell>
          <cell r="H850">
            <v>0.8</v>
          </cell>
          <cell r="I850">
            <v>0.79999971389770497</v>
          </cell>
          <cell r="J850" t="str">
            <v>ĐG 01.02.2025</v>
          </cell>
        </row>
        <row r="851">
          <cell r="B851" t="str">
            <v>Phuong2040</v>
          </cell>
          <cell r="C851" t="str">
            <v>Cây phượng vĩ</v>
          </cell>
          <cell r="D851" t="str">
            <v>20cm ≤ đk gốc &lt; 40cm</v>
          </cell>
          <cell r="E851">
            <v>0.79999971389770497</v>
          </cell>
          <cell r="F851" t="str">
            <v>cây</v>
          </cell>
          <cell r="G851">
            <v>150000</v>
          </cell>
          <cell r="H851">
            <v>0.8</v>
          </cell>
          <cell r="I851">
            <v>0.79999971389770497</v>
          </cell>
          <cell r="J851" t="str">
            <v>ĐG 01.02.2025</v>
          </cell>
        </row>
        <row r="852">
          <cell r="B852" t="str">
            <v>Phuong40+</v>
          </cell>
          <cell r="C852" t="str">
            <v>Cây phượng vĩ</v>
          </cell>
          <cell r="D852" t="str">
            <v>đk gốc từ trên 40cm</v>
          </cell>
          <cell r="E852">
            <v>0.79999971389770497</v>
          </cell>
          <cell r="F852" t="str">
            <v>cây</v>
          </cell>
          <cell r="G852">
            <v>220000</v>
          </cell>
          <cell r="H852">
            <v>0.8</v>
          </cell>
          <cell r="I852">
            <v>0.79999971389770497</v>
          </cell>
          <cell r="J852" t="str">
            <v>ĐG 01.02.2025</v>
          </cell>
        </row>
        <row r="853">
          <cell r="B853" t="str">
            <v>Phuong01vmd</v>
          </cell>
          <cell r="C853" t="str">
            <v>Cây phượng vĩ vượt mật độ</v>
          </cell>
          <cell r="D853" t="str">
            <v>cây giống</v>
          </cell>
          <cell r="E853">
            <v>0.79999971389770497</v>
          </cell>
          <cell r="F853" t="str">
            <v>m2</v>
          </cell>
          <cell r="G853">
            <v>36000</v>
          </cell>
          <cell r="H853">
            <v>0.4</v>
          </cell>
          <cell r="I853">
            <v>0.39999985694885298</v>
          </cell>
          <cell r="J853" t="str">
            <v>ĐG 01.02.2025</v>
          </cell>
        </row>
        <row r="854">
          <cell r="B854" t="str">
            <v>Phuong05vmd</v>
          </cell>
          <cell r="C854" t="str">
            <v>Cây phượng vĩ vượt mật độ</v>
          </cell>
          <cell r="D854" t="str">
            <v>đk gốc &lt; 5cm</v>
          </cell>
          <cell r="E854">
            <v>0.39999985694885298</v>
          </cell>
          <cell r="F854" t="str">
            <v>cây</v>
          </cell>
          <cell r="G854">
            <v>36000</v>
          </cell>
          <cell r="H854">
            <v>0.4</v>
          </cell>
          <cell r="I854">
            <v>0.39999985694885298</v>
          </cell>
          <cell r="J854" t="str">
            <v>ĐG 01.02.2025</v>
          </cell>
        </row>
        <row r="855">
          <cell r="B855" t="str">
            <v>Phuong510vmd</v>
          </cell>
          <cell r="C855" t="str">
            <v>Cây phượng vĩ vượt mật độ</v>
          </cell>
          <cell r="D855" t="str">
            <v>5cm ≤ đk gốc ≤ 10cm</v>
          </cell>
          <cell r="E855">
            <v>0.39999985694885298</v>
          </cell>
          <cell r="F855" t="str">
            <v>cây</v>
          </cell>
          <cell r="G855">
            <v>60000</v>
          </cell>
          <cell r="H855">
            <v>0.4</v>
          </cell>
          <cell r="I855">
            <v>0.39999985694885298</v>
          </cell>
          <cell r="J855" t="str">
            <v>ĐG 01.02.2025</v>
          </cell>
        </row>
        <row r="856">
          <cell r="B856" t="str">
            <v>Phuong1013vmd</v>
          </cell>
          <cell r="C856" t="str">
            <v>Cây phượng vĩ vượt mật độ</v>
          </cell>
          <cell r="D856" t="str">
            <v>10cm ≤ đk gốc &lt; 13cm</v>
          </cell>
          <cell r="E856">
            <v>0.39999985694885298</v>
          </cell>
          <cell r="F856" t="str">
            <v>cây</v>
          </cell>
          <cell r="G856">
            <v>85000</v>
          </cell>
          <cell r="H856">
            <v>0.4</v>
          </cell>
          <cell r="I856">
            <v>0.39999985694885298</v>
          </cell>
          <cell r="J856" t="str">
            <v>ĐG 01.02.2025</v>
          </cell>
        </row>
        <row r="857">
          <cell r="B857" t="str">
            <v>Phuong1320vmd</v>
          </cell>
          <cell r="C857" t="str">
            <v>Cây phượng vĩ vượt mật độ</v>
          </cell>
          <cell r="D857" t="str">
            <v>13cm ≤ đk gốc &lt; 20cm</v>
          </cell>
          <cell r="E857">
            <v>0.39999985694885298</v>
          </cell>
          <cell r="F857" t="str">
            <v>cây</v>
          </cell>
          <cell r="G857">
            <v>110000</v>
          </cell>
          <cell r="H857">
            <v>0.4</v>
          </cell>
          <cell r="I857">
            <v>0.39999985694885298</v>
          </cell>
          <cell r="J857" t="str">
            <v>ĐG 01.02.2025</v>
          </cell>
        </row>
        <row r="858">
          <cell r="B858" t="str">
            <v>Phuong2040vmd</v>
          </cell>
          <cell r="C858" t="str">
            <v>Cây phượng vĩ vượt mật độ</v>
          </cell>
          <cell r="D858" t="str">
            <v>20cm ≤ đk gốc &lt; 40cm</v>
          </cell>
          <cell r="E858">
            <v>0.39999985694885298</v>
          </cell>
          <cell r="F858" t="str">
            <v>cây</v>
          </cell>
          <cell r="G858">
            <v>150000</v>
          </cell>
          <cell r="H858">
            <v>0.4</v>
          </cell>
          <cell r="I858">
            <v>0.39999985694885298</v>
          </cell>
          <cell r="J858" t="str">
            <v>ĐG 01.02.2025</v>
          </cell>
        </row>
        <row r="859">
          <cell r="B859" t="str">
            <v>Phuong40+vmd</v>
          </cell>
          <cell r="C859" t="str">
            <v>Cây phượng vĩ vượt mật độ</v>
          </cell>
          <cell r="D859" t="str">
            <v>đk gốc từ trên 40cm</v>
          </cell>
          <cell r="E859">
            <v>0.39999985694885298</v>
          </cell>
          <cell r="F859" t="str">
            <v>cây</v>
          </cell>
          <cell r="G859">
            <v>220000</v>
          </cell>
          <cell r="H859">
            <v>0.4</v>
          </cell>
          <cell r="I859">
            <v>0.39999985694885298</v>
          </cell>
          <cell r="J859" t="str">
            <v>ĐG 01.02.2025</v>
          </cell>
        </row>
        <row r="860">
          <cell r="B860">
            <v>0.39999985694885298</v>
          </cell>
          <cell r="C860" t="str">
            <v>Cây hoa sữa</v>
          </cell>
          <cell r="D860">
            <v>0.39999985694885298</v>
          </cell>
          <cell r="E860">
            <v>0.39999985694885298</v>
          </cell>
          <cell r="F860">
            <v>0.39999985694885298</v>
          </cell>
          <cell r="G860">
            <v>0.39999985694885298</v>
          </cell>
          <cell r="H860">
            <v>0.39999985694885298</v>
          </cell>
          <cell r="I860">
            <v>0.39999985694885298</v>
          </cell>
        </row>
        <row r="861">
          <cell r="B861" t="str">
            <v>Hoasua01</v>
          </cell>
          <cell r="C861" t="str">
            <v>Cây hoa sữa</v>
          </cell>
          <cell r="D861" t="str">
            <v>cây giống</v>
          </cell>
          <cell r="E861">
            <v>0.39999985694885298</v>
          </cell>
          <cell r="F861" t="str">
            <v>m2</v>
          </cell>
          <cell r="G861">
            <v>36000</v>
          </cell>
          <cell r="H861">
            <v>0.8</v>
          </cell>
          <cell r="I861">
            <v>0.79999971389770497</v>
          </cell>
          <cell r="J861" t="str">
            <v>ĐG 01.02.2025</v>
          </cell>
        </row>
        <row r="862">
          <cell r="B862" t="str">
            <v>Hoasua05</v>
          </cell>
          <cell r="C862" t="str">
            <v>Cây hoa sữa</v>
          </cell>
          <cell r="D862" t="str">
            <v>đk gốc &lt; 5cm</v>
          </cell>
          <cell r="E862">
            <v>0.79999971389770497</v>
          </cell>
          <cell r="F862" t="str">
            <v>cây</v>
          </cell>
          <cell r="G862">
            <v>36000</v>
          </cell>
          <cell r="H862">
            <v>0.8</v>
          </cell>
          <cell r="I862">
            <v>0.79999971389770497</v>
          </cell>
          <cell r="J862" t="str">
            <v>ĐG 01.02.2025</v>
          </cell>
        </row>
        <row r="863">
          <cell r="B863" t="str">
            <v>Hoasua510</v>
          </cell>
          <cell r="C863" t="str">
            <v>Cây hoa sữa</v>
          </cell>
          <cell r="D863" t="str">
            <v>5cm ≤ đk gốc ≤ 10cm</v>
          </cell>
          <cell r="E863">
            <v>0.79999971389770497</v>
          </cell>
          <cell r="F863" t="str">
            <v>cây</v>
          </cell>
          <cell r="G863">
            <v>60000</v>
          </cell>
          <cell r="H863">
            <v>0.8</v>
          </cell>
          <cell r="I863">
            <v>0.79999971389770497</v>
          </cell>
          <cell r="J863" t="str">
            <v>ĐG 01.02.2025</v>
          </cell>
        </row>
        <row r="864">
          <cell r="B864" t="str">
            <v>Hoasua1013</v>
          </cell>
          <cell r="C864" t="str">
            <v>Cây hoa sữa</v>
          </cell>
          <cell r="D864" t="str">
            <v>10cm &lt; đk gốc ≤ 13cm</v>
          </cell>
          <cell r="E864">
            <v>0.79999971389770497</v>
          </cell>
          <cell r="F864" t="str">
            <v>cây</v>
          </cell>
          <cell r="G864">
            <v>85000</v>
          </cell>
          <cell r="H864">
            <v>0.8</v>
          </cell>
          <cell r="I864">
            <v>0.79999971389770497</v>
          </cell>
          <cell r="J864" t="str">
            <v>ĐG 01.02.2025</v>
          </cell>
        </row>
        <row r="865">
          <cell r="B865" t="str">
            <v>Hoasua1320</v>
          </cell>
          <cell r="C865" t="str">
            <v>Cây hoa sữa</v>
          </cell>
          <cell r="D865" t="str">
            <v>13cm &lt; đk gốc ≤ 20cm</v>
          </cell>
          <cell r="E865">
            <v>0.79999971389770497</v>
          </cell>
          <cell r="F865" t="str">
            <v>cây</v>
          </cell>
          <cell r="G865">
            <v>110000</v>
          </cell>
          <cell r="H865">
            <v>0.8</v>
          </cell>
          <cell r="I865">
            <v>0.79999971389770497</v>
          </cell>
          <cell r="J865" t="str">
            <v>ĐG 01.02.2025</v>
          </cell>
        </row>
        <row r="866">
          <cell r="B866" t="str">
            <v>Hoasua2040</v>
          </cell>
          <cell r="C866" t="str">
            <v>Cây hoa sữa</v>
          </cell>
          <cell r="D866" t="str">
            <v>20cm &lt; đk gốc ≤ 40cm</v>
          </cell>
          <cell r="E866">
            <v>0.79999971389770497</v>
          </cell>
          <cell r="F866" t="str">
            <v>cây</v>
          </cell>
          <cell r="G866">
            <v>150000</v>
          </cell>
          <cell r="H866">
            <v>0.8</v>
          </cell>
          <cell r="I866">
            <v>0.79999971389770497</v>
          </cell>
          <cell r="J866" t="str">
            <v>ĐG 01.02.2025</v>
          </cell>
        </row>
        <row r="867">
          <cell r="B867" t="str">
            <v>Hoasua40+</v>
          </cell>
          <cell r="C867" t="str">
            <v>Cây hoa sữa</v>
          </cell>
          <cell r="D867" t="str">
            <v>đk gốc từ trên 40cm</v>
          </cell>
          <cell r="E867">
            <v>0.79999971389770497</v>
          </cell>
          <cell r="F867" t="str">
            <v>cây</v>
          </cell>
          <cell r="G867">
            <v>220000</v>
          </cell>
          <cell r="H867">
            <v>0.8</v>
          </cell>
          <cell r="I867">
            <v>0.79999971389770497</v>
          </cell>
          <cell r="J867" t="str">
            <v>ĐG 01.02.2025</v>
          </cell>
        </row>
        <row r="868">
          <cell r="B868" t="str">
            <v>Hoasua01vmd</v>
          </cell>
          <cell r="C868" t="str">
            <v>Cây hoa sữa vượt mật độ</v>
          </cell>
          <cell r="D868" t="str">
            <v>cây giống</v>
          </cell>
          <cell r="E868">
            <v>0.79999971389770497</v>
          </cell>
          <cell r="F868" t="str">
            <v>m2</v>
          </cell>
          <cell r="G868">
            <v>36000</v>
          </cell>
          <cell r="H868">
            <v>0.4</v>
          </cell>
          <cell r="I868">
            <v>0.39999985694885298</v>
          </cell>
          <cell r="J868" t="str">
            <v>ĐG 01.02.2025</v>
          </cell>
        </row>
        <row r="869">
          <cell r="B869" t="str">
            <v>Hoasua05vmd</v>
          </cell>
          <cell r="C869" t="str">
            <v>Cây hoa sữa vượt mật độ</v>
          </cell>
          <cell r="D869" t="str">
            <v>đk gốc &lt; 5cm</v>
          </cell>
          <cell r="E869">
            <v>0.39999985694885298</v>
          </cell>
          <cell r="F869" t="str">
            <v>cây</v>
          </cell>
          <cell r="G869">
            <v>36000</v>
          </cell>
          <cell r="H869">
            <v>0.4</v>
          </cell>
          <cell r="I869">
            <v>0.39999985694885298</v>
          </cell>
          <cell r="J869" t="str">
            <v>ĐG 01.02.2025</v>
          </cell>
        </row>
        <row r="870">
          <cell r="B870" t="str">
            <v>Hoasua510vmd</v>
          </cell>
          <cell r="C870" t="str">
            <v>Cây hoa sữa vượt mật độ</v>
          </cell>
          <cell r="D870" t="str">
            <v>5cm ≤ đk gốc ≤ 10cm</v>
          </cell>
          <cell r="E870">
            <v>0.39999985694885298</v>
          </cell>
          <cell r="F870" t="str">
            <v>cây</v>
          </cell>
          <cell r="G870">
            <v>60000</v>
          </cell>
          <cell r="H870">
            <v>0.4</v>
          </cell>
          <cell r="I870">
            <v>0.39999985694885298</v>
          </cell>
          <cell r="J870" t="str">
            <v>ĐG 01.02.2025</v>
          </cell>
        </row>
        <row r="871">
          <cell r="B871" t="str">
            <v>Hoasua1013vmd</v>
          </cell>
          <cell r="C871" t="str">
            <v>Cây hoa sữa vượt mật độ</v>
          </cell>
          <cell r="D871" t="str">
            <v>10cm &lt; đk gốc ≤ 13cm</v>
          </cell>
          <cell r="E871">
            <v>0.39999985694885298</v>
          </cell>
          <cell r="F871" t="str">
            <v>cây</v>
          </cell>
          <cell r="G871">
            <v>85000</v>
          </cell>
          <cell r="H871">
            <v>0.4</v>
          </cell>
          <cell r="I871">
            <v>0.39999985694885298</v>
          </cell>
          <cell r="J871" t="str">
            <v>ĐG 01.02.2025</v>
          </cell>
        </row>
        <row r="872">
          <cell r="B872" t="str">
            <v>Hoasua1320vmd</v>
          </cell>
          <cell r="C872" t="str">
            <v>Cây hoa sữa vượt mật độ</v>
          </cell>
          <cell r="D872" t="str">
            <v>13cm &lt; đk gốc ≤ 20cm</v>
          </cell>
          <cell r="E872">
            <v>0.39999985694885298</v>
          </cell>
          <cell r="F872" t="str">
            <v>cây</v>
          </cell>
          <cell r="G872">
            <v>110000</v>
          </cell>
          <cell r="H872">
            <v>0.4</v>
          </cell>
          <cell r="I872">
            <v>0.39999985694885298</v>
          </cell>
          <cell r="J872" t="str">
            <v>ĐG 01.02.2025</v>
          </cell>
        </row>
        <row r="873">
          <cell r="B873" t="str">
            <v>Hoasua2040vmd</v>
          </cell>
          <cell r="C873" t="str">
            <v>Cây hoa sữa vượt mật độ</v>
          </cell>
          <cell r="D873" t="str">
            <v>20cm &lt; đk gốc ≤ 40cm</v>
          </cell>
          <cell r="E873">
            <v>0.39999985694885298</v>
          </cell>
          <cell r="F873" t="str">
            <v>cây</v>
          </cell>
          <cell r="G873">
            <v>150000</v>
          </cell>
          <cell r="H873">
            <v>0.4</v>
          </cell>
          <cell r="I873">
            <v>0.39999985694885298</v>
          </cell>
          <cell r="J873" t="str">
            <v>ĐG 01.02.2025</v>
          </cell>
        </row>
        <row r="874">
          <cell r="B874" t="str">
            <v>Hoasua40+vmd</v>
          </cell>
          <cell r="C874" t="str">
            <v>Cây hoa sữa vượt mật độ</v>
          </cell>
          <cell r="D874" t="str">
            <v>đk gốc từ trên 40cm</v>
          </cell>
          <cell r="E874">
            <v>0.39999985694885298</v>
          </cell>
          <cell r="F874" t="str">
            <v>cây</v>
          </cell>
          <cell r="G874">
            <v>220000</v>
          </cell>
          <cell r="H874">
            <v>0.4</v>
          </cell>
          <cell r="I874">
            <v>0.39999985694885298</v>
          </cell>
          <cell r="J874" t="str">
            <v>ĐG 01.02.2025</v>
          </cell>
        </row>
        <row r="875">
          <cell r="B875">
            <v>0.39999985694885298</v>
          </cell>
          <cell r="C875" t="str">
            <v>Cây Bàng</v>
          </cell>
          <cell r="D875">
            <v>0.39999985694885298</v>
          </cell>
          <cell r="E875">
            <v>0.39999985694885298</v>
          </cell>
          <cell r="F875">
            <v>0.39999985694885298</v>
          </cell>
          <cell r="G875">
            <v>0.39999985694885298</v>
          </cell>
          <cell r="H875">
            <v>0.39999985694885298</v>
          </cell>
          <cell r="I875">
            <v>0.39999985694885298</v>
          </cell>
        </row>
        <row r="876">
          <cell r="B876" t="str">
            <v>Bang01</v>
          </cell>
          <cell r="C876" t="str">
            <v>Cây bàng</v>
          </cell>
          <cell r="D876" t="str">
            <v>cây giống</v>
          </cell>
          <cell r="E876">
            <v>0.39999985694885298</v>
          </cell>
          <cell r="F876" t="str">
            <v>m2</v>
          </cell>
          <cell r="G876">
            <v>36000</v>
          </cell>
          <cell r="H876">
            <v>0.8</v>
          </cell>
          <cell r="I876">
            <v>0.79999971389770497</v>
          </cell>
          <cell r="J876" t="str">
            <v>ĐG 01.02.2025</v>
          </cell>
        </row>
        <row r="877">
          <cell r="B877" t="str">
            <v>Bang05</v>
          </cell>
          <cell r="C877" t="str">
            <v>Cây bàng</v>
          </cell>
          <cell r="D877" t="str">
            <v>đk gốc &lt; 5cm</v>
          </cell>
          <cell r="E877">
            <v>0.79999971389770497</v>
          </cell>
          <cell r="F877" t="str">
            <v>cây</v>
          </cell>
          <cell r="G877">
            <v>36000</v>
          </cell>
          <cell r="H877">
            <v>0.8</v>
          </cell>
          <cell r="I877">
            <v>0.79999971389770497</v>
          </cell>
          <cell r="J877" t="str">
            <v>ĐG 01.02.2025</v>
          </cell>
        </row>
        <row r="878">
          <cell r="B878" t="str">
            <v>Bang510</v>
          </cell>
          <cell r="C878" t="str">
            <v>Cây bàng</v>
          </cell>
          <cell r="D878" t="str">
            <v>5cm ≤ đk gốc ≤ 10cm</v>
          </cell>
          <cell r="E878">
            <v>0.79999971389770497</v>
          </cell>
          <cell r="F878" t="str">
            <v>cây</v>
          </cell>
          <cell r="G878">
            <v>60000</v>
          </cell>
          <cell r="H878">
            <v>0.8</v>
          </cell>
          <cell r="I878">
            <v>0.79999971389770497</v>
          </cell>
          <cell r="J878" t="str">
            <v>ĐG 01.02.2025</v>
          </cell>
        </row>
        <row r="879">
          <cell r="B879" t="str">
            <v>Bang1013</v>
          </cell>
          <cell r="C879" t="str">
            <v>Cây bàng</v>
          </cell>
          <cell r="D879" t="str">
            <v>10cm &lt; đk gốc ≤ 13cm</v>
          </cell>
          <cell r="E879">
            <v>0.79999971389770497</v>
          </cell>
          <cell r="F879" t="str">
            <v>cây</v>
          </cell>
          <cell r="G879">
            <v>85000</v>
          </cell>
          <cell r="H879">
            <v>0.8</v>
          </cell>
          <cell r="I879">
            <v>0.79999971389770497</v>
          </cell>
          <cell r="J879" t="str">
            <v>ĐG 01.02.2025</v>
          </cell>
        </row>
        <row r="880">
          <cell r="B880" t="str">
            <v>Bang1320</v>
          </cell>
          <cell r="C880" t="str">
            <v>Cây bàng</v>
          </cell>
          <cell r="D880" t="str">
            <v>13cm &lt; đk gốc ≤ 20cm</v>
          </cell>
          <cell r="E880">
            <v>0.79999971389770497</v>
          </cell>
          <cell r="F880" t="str">
            <v>cây</v>
          </cell>
          <cell r="G880">
            <v>110000</v>
          </cell>
          <cell r="H880">
            <v>0.8</v>
          </cell>
          <cell r="I880">
            <v>0.79999971389770497</v>
          </cell>
          <cell r="J880" t="str">
            <v>ĐG 01.02.2025</v>
          </cell>
        </row>
        <row r="881">
          <cell r="B881" t="str">
            <v>Bang2040</v>
          </cell>
          <cell r="C881" t="str">
            <v>Cây bàng</v>
          </cell>
          <cell r="D881" t="str">
            <v>20cm &lt; đk gốc ≤ 40cm</v>
          </cell>
          <cell r="E881">
            <v>0.79999971389770497</v>
          </cell>
          <cell r="F881" t="str">
            <v>cây</v>
          </cell>
          <cell r="G881">
            <v>150000</v>
          </cell>
          <cell r="H881">
            <v>0.8</v>
          </cell>
          <cell r="I881">
            <v>0.79999971389770497</v>
          </cell>
          <cell r="J881" t="str">
            <v>ĐG 01.02.2025</v>
          </cell>
        </row>
        <row r="882">
          <cell r="B882" t="str">
            <v>Bang40+</v>
          </cell>
          <cell r="C882" t="str">
            <v>Cây bàng</v>
          </cell>
          <cell r="D882" t="str">
            <v>đk gốc từ trên 40cm</v>
          </cell>
          <cell r="E882">
            <v>0.79999971389770497</v>
          </cell>
          <cell r="F882" t="str">
            <v>cây</v>
          </cell>
          <cell r="G882">
            <v>220000</v>
          </cell>
          <cell r="H882">
            <v>0.8</v>
          </cell>
          <cell r="I882">
            <v>0.79999971389770497</v>
          </cell>
          <cell r="J882" t="str">
            <v>ĐG 01.02.2025</v>
          </cell>
        </row>
        <row r="883">
          <cell r="B883" t="str">
            <v>Bang01vmd</v>
          </cell>
          <cell r="C883" t="str">
            <v>Cây bàng vượt mật độ</v>
          </cell>
          <cell r="D883" t="str">
            <v>cây giống</v>
          </cell>
          <cell r="E883">
            <v>0.79999971389770497</v>
          </cell>
          <cell r="F883" t="str">
            <v>m2</v>
          </cell>
          <cell r="G883">
            <v>36000</v>
          </cell>
          <cell r="H883">
            <v>0.4</v>
          </cell>
          <cell r="I883">
            <v>0.39999985694885298</v>
          </cell>
          <cell r="J883" t="str">
            <v>ĐG 01.02.2025</v>
          </cell>
        </row>
        <row r="884">
          <cell r="B884" t="str">
            <v>Bang05vmd</v>
          </cell>
          <cell r="C884" t="str">
            <v>Cây bàng vượt mật độ</v>
          </cell>
          <cell r="D884" t="str">
            <v>đk gốc &lt; 5cm</v>
          </cell>
          <cell r="E884">
            <v>0.39999985694885298</v>
          </cell>
          <cell r="F884" t="str">
            <v>cây</v>
          </cell>
          <cell r="G884">
            <v>36000</v>
          </cell>
          <cell r="H884">
            <v>0.4</v>
          </cell>
          <cell r="I884">
            <v>0.39999985694885298</v>
          </cell>
          <cell r="J884" t="str">
            <v>ĐG 01.02.2025</v>
          </cell>
        </row>
        <row r="885">
          <cell r="B885" t="str">
            <v>Bang510vmd</v>
          </cell>
          <cell r="C885" t="str">
            <v>Cây bàng vượt mật độ</v>
          </cell>
          <cell r="D885" t="str">
            <v>5cm ≤ đk gốc ≤ 10cm</v>
          </cell>
          <cell r="E885">
            <v>0.39999985694885298</v>
          </cell>
          <cell r="F885" t="str">
            <v>cây</v>
          </cell>
          <cell r="G885">
            <v>60000</v>
          </cell>
          <cell r="H885">
            <v>0.4</v>
          </cell>
          <cell r="I885">
            <v>0.39999985694885298</v>
          </cell>
          <cell r="J885" t="str">
            <v>ĐG 01.02.2025</v>
          </cell>
        </row>
        <row r="886">
          <cell r="B886" t="str">
            <v>Bang1013vmd</v>
          </cell>
          <cell r="C886" t="str">
            <v>Cây bàng vượt mật độ</v>
          </cell>
          <cell r="D886" t="str">
            <v>10cm &lt; đk gốc ≤ 13cm</v>
          </cell>
          <cell r="E886">
            <v>0.39999985694885298</v>
          </cell>
          <cell r="F886" t="str">
            <v>cây</v>
          </cell>
          <cell r="G886">
            <v>85000</v>
          </cell>
          <cell r="H886">
            <v>0.4</v>
          </cell>
          <cell r="I886">
            <v>0.39999985694885298</v>
          </cell>
          <cell r="J886" t="str">
            <v>ĐG 01.02.2025</v>
          </cell>
        </row>
        <row r="887">
          <cell r="B887" t="str">
            <v>Bang1320vmd</v>
          </cell>
          <cell r="C887" t="str">
            <v>Cây bàng vượt mật độ</v>
          </cell>
          <cell r="D887" t="str">
            <v>13cm &lt; đk gốc ≤ 20cm</v>
          </cell>
          <cell r="E887">
            <v>0.39999985694885298</v>
          </cell>
          <cell r="F887" t="str">
            <v>cây</v>
          </cell>
          <cell r="G887">
            <v>110000</v>
          </cell>
          <cell r="H887">
            <v>0.4</v>
          </cell>
          <cell r="I887">
            <v>0.39999985694885298</v>
          </cell>
          <cell r="J887" t="str">
            <v>ĐG 01.02.2025</v>
          </cell>
        </row>
        <row r="888">
          <cell r="B888" t="str">
            <v>Bang2040vmd</v>
          </cell>
          <cell r="C888" t="str">
            <v>Cây bàng vượt mật độ</v>
          </cell>
          <cell r="D888" t="str">
            <v>20cm &lt; đk gốc ≤ 40cm</v>
          </cell>
          <cell r="E888">
            <v>0.39999985694885298</v>
          </cell>
          <cell r="F888" t="str">
            <v>cây</v>
          </cell>
          <cell r="G888">
            <v>150000</v>
          </cell>
          <cell r="H888">
            <v>0.4</v>
          </cell>
          <cell r="I888">
            <v>0.39999985694885298</v>
          </cell>
          <cell r="J888" t="str">
            <v>ĐG 01.02.2025</v>
          </cell>
        </row>
        <row r="889">
          <cell r="B889" t="str">
            <v>Bang40+vmd</v>
          </cell>
          <cell r="C889" t="str">
            <v>Cây bàng vượt mật độ</v>
          </cell>
          <cell r="D889" t="str">
            <v>đk gốc từ trên 40cm</v>
          </cell>
          <cell r="E889">
            <v>0.39999985694885298</v>
          </cell>
          <cell r="F889" t="str">
            <v>cây</v>
          </cell>
          <cell r="G889">
            <v>220000</v>
          </cell>
          <cell r="H889">
            <v>0.4</v>
          </cell>
          <cell r="I889">
            <v>0.39999985694885298</v>
          </cell>
          <cell r="J889" t="str">
            <v>ĐG 01.02.2025</v>
          </cell>
        </row>
        <row r="890">
          <cell r="B890">
            <v>0.39999985694885298</v>
          </cell>
          <cell r="C890" t="str">
            <v>Cây gạo</v>
          </cell>
          <cell r="D890">
            <v>0.39999985694885298</v>
          </cell>
          <cell r="E890">
            <v>0.39999985694885298</v>
          </cell>
          <cell r="F890">
            <v>0.39999985694885298</v>
          </cell>
          <cell r="G890">
            <v>0.39999985694885298</v>
          </cell>
          <cell r="H890">
            <v>0.39999985694885298</v>
          </cell>
          <cell r="I890">
            <v>0.39999985694885298</v>
          </cell>
        </row>
        <row r="891">
          <cell r="B891" t="str">
            <v>gạo01</v>
          </cell>
          <cell r="C891" t="str">
            <v>Cây gạo</v>
          </cell>
          <cell r="D891" t="str">
            <v>cây giống</v>
          </cell>
          <cell r="E891">
            <v>0.39999985694885298</v>
          </cell>
          <cell r="F891" t="str">
            <v>m2</v>
          </cell>
          <cell r="G891">
            <v>36000</v>
          </cell>
          <cell r="H891">
            <v>0.8</v>
          </cell>
          <cell r="I891">
            <v>0.79999971389770497</v>
          </cell>
          <cell r="J891" t="str">
            <v>ĐG 01.02.2025</v>
          </cell>
        </row>
        <row r="892">
          <cell r="B892" t="str">
            <v>gạo05</v>
          </cell>
          <cell r="C892" t="str">
            <v>Cây gạo</v>
          </cell>
          <cell r="D892" t="str">
            <v>đk gốc &lt; 5cm</v>
          </cell>
          <cell r="E892">
            <v>0.79999971389770497</v>
          </cell>
          <cell r="F892" t="str">
            <v>cây</v>
          </cell>
          <cell r="G892">
            <v>36000</v>
          </cell>
          <cell r="H892">
            <v>0.8</v>
          </cell>
          <cell r="I892">
            <v>0.79999971389770497</v>
          </cell>
          <cell r="J892" t="str">
            <v>ĐG 01.02.2025</v>
          </cell>
        </row>
        <row r="893">
          <cell r="B893" t="str">
            <v>gạo510</v>
          </cell>
          <cell r="C893" t="str">
            <v>Cây gạo</v>
          </cell>
          <cell r="D893" t="str">
            <v>5cm ≤ đk gốc ≤ 10cm</v>
          </cell>
          <cell r="E893">
            <v>0.79999971389770497</v>
          </cell>
          <cell r="F893" t="str">
            <v>cây</v>
          </cell>
          <cell r="G893">
            <v>60000</v>
          </cell>
          <cell r="H893">
            <v>0.8</v>
          </cell>
          <cell r="I893">
            <v>0.79999971389770497</v>
          </cell>
          <cell r="J893" t="str">
            <v>ĐG 01.02.2025</v>
          </cell>
        </row>
        <row r="894">
          <cell r="B894" t="str">
            <v>gạo1013</v>
          </cell>
          <cell r="C894" t="str">
            <v>Cây gạo</v>
          </cell>
          <cell r="D894" t="str">
            <v>11cm ≤ đk gốc &lt; 13cm</v>
          </cell>
          <cell r="E894">
            <v>0.79999971389770497</v>
          </cell>
          <cell r="F894" t="str">
            <v>cây</v>
          </cell>
          <cell r="G894">
            <v>85000</v>
          </cell>
          <cell r="H894">
            <v>0.8</v>
          </cell>
          <cell r="I894">
            <v>0.79999971389770497</v>
          </cell>
          <cell r="J894" t="str">
            <v>ĐG 01.02.2025</v>
          </cell>
        </row>
        <row r="895">
          <cell r="B895" t="str">
            <v>gạo1320</v>
          </cell>
          <cell r="C895" t="str">
            <v>Cây gạo</v>
          </cell>
          <cell r="D895" t="str">
            <v>13cm ≤ đk gốc &lt; 20cm</v>
          </cell>
          <cell r="E895">
            <v>0.79999971389770497</v>
          </cell>
          <cell r="F895" t="str">
            <v>cây</v>
          </cell>
          <cell r="G895">
            <v>110000</v>
          </cell>
          <cell r="H895">
            <v>0.8</v>
          </cell>
          <cell r="I895">
            <v>0.79999971389770497</v>
          </cell>
          <cell r="J895" t="str">
            <v>ĐG 01.02.2025</v>
          </cell>
        </row>
        <row r="896">
          <cell r="B896" t="str">
            <v>gạo2040</v>
          </cell>
          <cell r="C896" t="str">
            <v>Cây gạo</v>
          </cell>
          <cell r="D896" t="str">
            <v>20cm ≤ đk gốc &lt; 40cm</v>
          </cell>
          <cell r="E896">
            <v>0.79999971389770497</v>
          </cell>
          <cell r="F896" t="str">
            <v>cây</v>
          </cell>
          <cell r="G896">
            <v>150000</v>
          </cell>
          <cell r="H896">
            <v>0.8</v>
          </cell>
          <cell r="I896">
            <v>0.79999971389770497</v>
          </cell>
          <cell r="J896" t="str">
            <v>ĐG 01.02.2025</v>
          </cell>
        </row>
        <row r="897">
          <cell r="B897" t="str">
            <v>gạo40+</v>
          </cell>
          <cell r="C897" t="str">
            <v>Cây gạo</v>
          </cell>
          <cell r="D897" t="str">
            <v>đk gốc từ trên 40cm</v>
          </cell>
          <cell r="E897">
            <v>0.79999971389770497</v>
          </cell>
          <cell r="F897" t="str">
            <v>cây</v>
          </cell>
          <cell r="G897">
            <v>220000</v>
          </cell>
          <cell r="H897">
            <v>0.8</v>
          </cell>
          <cell r="I897">
            <v>0.79999971389770497</v>
          </cell>
          <cell r="J897" t="str">
            <v>ĐG 01.02.2025</v>
          </cell>
        </row>
        <row r="898">
          <cell r="B898" t="str">
            <v>gạo01vmd</v>
          </cell>
          <cell r="C898" t="str">
            <v>Cây gạo vượt mật độ</v>
          </cell>
          <cell r="D898" t="str">
            <v>cây giống</v>
          </cell>
          <cell r="E898">
            <v>0.79999971389770497</v>
          </cell>
          <cell r="F898" t="str">
            <v>m2</v>
          </cell>
          <cell r="G898">
            <v>36000</v>
          </cell>
          <cell r="H898">
            <v>0.4</v>
          </cell>
          <cell r="I898">
            <v>0.39999985694885298</v>
          </cell>
          <cell r="J898" t="str">
            <v>ĐG 01.02.2025</v>
          </cell>
        </row>
        <row r="899">
          <cell r="B899" t="str">
            <v>gạo05vmd</v>
          </cell>
          <cell r="C899" t="str">
            <v>Cây gạo vượt mật độ</v>
          </cell>
          <cell r="D899" t="str">
            <v>đk gốc &lt; 5cm</v>
          </cell>
          <cell r="E899">
            <v>0.39999985694885298</v>
          </cell>
          <cell r="F899" t="str">
            <v>cây</v>
          </cell>
          <cell r="G899">
            <v>36000</v>
          </cell>
          <cell r="H899">
            <v>0.4</v>
          </cell>
          <cell r="I899">
            <v>0.39999985694885298</v>
          </cell>
          <cell r="J899" t="str">
            <v>ĐG 01.02.2025</v>
          </cell>
        </row>
        <row r="900">
          <cell r="B900" t="str">
            <v>gạo510vmd</v>
          </cell>
          <cell r="C900" t="str">
            <v>Cây gạo vượt mật độ</v>
          </cell>
          <cell r="D900" t="str">
            <v>5cm ≤ đk gốc ≤ 10cm</v>
          </cell>
          <cell r="E900">
            <v>0.39999985694885298</v>
          </cell>
          <cell r="F900" t="str">
            <v>cây</v>
          </cell>
          <cell r="G900">
            <v>60000</v>
          </cell>
          <cell r="H900">
            <v>0.4</v>
          </cell>
          <cell r="I900">
            <v>0.39999985694885298</v>
          </cell>
          <cell r="J900" t="str">
            <v>ĐG 01.02.2025</v>
          </cell>
        </row>
        <row r="901">
          <cell r="B901" t="str">
            <v>gạo1013vmd</v>
          </cell>
          <cell r="C901" t="str">
            <v>Cây gạo vượt mật độ</v>
          </cell>
          <cell r="D901" t="str">
            <v>11cm ≤ đk gốc &lt; 13cm</v>
          </cell>
          <cell r="E901">
            <v>0.39999985694885298</v>
          </cell>
          <cell r="F901" t="str">
            <v>cây</v>
          </cell>
          <cell r="G901">
            <v>85000</v>
          </cell>
          <cell r="H901">
            <v>0.4</v>
          </cell>
          <cell r="I901">
            <v>0.39999985694885298</v>
          </cell>
          <cell r="J901" t="str">
            <v>ĐG 01.02.2025</v>
          </cell>
        </row>
        <row r="902">
          <cell r="B902" t="str">
            <v>gạo1320vmd</v>
          </cell>
          <cell r="C902" t="str">
            <v>Cây gạo vượt mật độ</v>
          </cell>
          <cell r="D902" t="str">
            <v>13cm ≤ đk gốc &lt; 20cm</v>
          </cell>
          <cell r="E902">
            <v>0.39999985694885298</v>
          </cell>
          <cell r="F902" t="str">
            <v>cây</v>
          </cell>
          <cell r="G902">
            <v>110000</v>
          </cell>
          <cell r="H902">
            <v>0.4</v>
          </cell>
          <cell r="I902">
            <v>0.39999985694885298</v>
          </cell>
          <cell r="J902" t="str">
            <v>ĐG 01.02.2025</v>
          </cell>
        </row>
        <row r="903">
          <cell r="B903" t="str">
            <v>gạo2040vmd</v>
          </cell>
          <cell r="C903" t="str">
            <v>Cây gạo vượt mật độ</v>
          </cell>
          <cell r="D903" t="str">
            <v>20cm ≤ đk gốc &lt; 40cm</v>
          </cell>
          <cell r="E903">
            <v>0.39999985694885298</v>
          </cell>
          <cell r="F903" t="str">
            <v>cây</v>
          </cell>
          <cell r="G903">
            <v>150000</v>
          </cell>
          <cell r="H903">
            <v>0.4</v>
          </cell>
          <cell r="I903">
            <v>0.39999985694885298</v>
          </cell>
          <cell r="J903" t="str">
            <v>ĐG 01.02.2025</v>
          </cell>
        </row>
        <row r="904">
          <cell r="B904" t="str">
            <v>gạo40+vmd</v>
          </cell>
          <cell r="C904" t="str">
            <v>Cây gạo vượt mật độ</v>
          </cell>
          <cell r="D904" t="str">
            <v>đk gốc từ trên 40cm</v>
          </cell>
          <cell r="E904">
            <v>0.39999985694885298</v>
          </cell>
          <cell r="F904" t="str">
            <v>cây</v>
          </cell>
          <cell r="G904">
            <v>220000</v>
          </cell>
          <cell r="H904">
            <v>0.4</v>
          </cell>
          <cell r="I904">
            <v>0.39999985694885298</v>
          </cell>
          <cell r="J904" t="str">
            <v>ĐG 01.02.2025</v>
          </cell>
        </row>
        <row r="905">
          <cell r="B905">
            <v>0.39999985694885298</v>
          </cell>
          <cell r="C905" t="str">
            <v>Cây trứng cá</v>
          </cell>
          <cell r="D905">
            <v>0.39999985694885298</v>
          </cell>
          <cell r="E905">
            <v>0.39999985694885298</v>
          </cell>
          <cell r="F905">
            <v>0.39999985694885298</v>
          </cell>
          <cell r="G905">
            <v>0.39999985694885298</v>
          </cell>
          <cell r="H905">
            <v>0.39999985694885298</v>
          </cell>
          <cell r="I905">
            <v>0.39999985694885298</v>
          </cell>
        </row>
        <row r="906">
          <cell r="B906" t="str">
            <v>trungca01</v>
          </cell>
          <cell r="C906" t="str">
            <v>Cây trứng cá</v>
          </cell>
          <cell r="D906" t="str">
            <v>cây giống</v>
          </cell>
          <cell r="E906">
            <v>0.39999985694885298</v>
          </cell>
          <cell r="F906" t="str">
            <v>m2</v>
          </cell>
          <cell r="G906">
            <v>45000</v>
          </cell>
          <cell r="H906">
            <v>0.8</v>
          </cell>
          <cell r="I906">
            <v>0.79999971389770497</v>
          </cell>
          <cell r="J906" t="str">
            <v>ĐG 01.02.2025</v>
          </cell>
        </row>
        <row r="907">
          <cell r="B907" t="str">
            <v>trungca05</v>
          </cell>
          <cell r="C907" t="str">
            <v>Cây trứng cá</v>
          </cell>
          <cell r="D907" t="str">
            <v>đk gốc &lt; 5cm</v>
          </cell>
          <cell r="E907">
            <v>0.79999971389770497</v>
          </cell>
          <cell r="F907" t="str">
            <v>cây</v>
          </cell>
          <cell r="G907">
            <v>45000</v>
          </cell>
          <cell r="H907">
            <v>0.8</v>
          </cell>
          <cell r="I907">
            <v>0.79999971389770497</v>
          </cell>
          <cell r="J907" t="str">
            <v>ĐG 01.02.2025</v>
          </cell>
        </row>
        <row r="908">
          <cell r="B908" t="str">
            <v>trungca510</v>
          </cell>
          <cell r="C908" t="str">
            <v>Cây trứng cá</v>
          </cell>
          <cell r="D908" t="str">
            <v>5cm ≤ đk gốc ≤ 10cm</v>
          </cell>
          <cell r="E908">
            <v>0.79999971389770497</v>
          </cell>
          <cell r="F908" t="str">
            <v>cây</v>
          </cell>
          <cell r="G908">
            <v>75000</v>
          </cell>
          <cell r="H908">
            <v>0.8</v>
          </cell>
          <cell r="I908">
            <v>0.79999971389770497</v>
          </cell>
          <cell r="J908" t="str">
            <v>ĐG 01.02.2025</v>
          </cell>
        </row>
        <row r="909">
          <cell r="B909" t="str">
            <v>trungca1013</v>
          </cell>
          <cell r="C909" t="str">
            <v>Cây trứng cá</v>
          </cell>
          <cell r="D909" t="str">
            <v>10cm ≤ đk gốc &lt; 13cm</v>
          </cell>
          <cell r="E909">
            <v>0.79999971389770497</v>
          </cell>
          <cell r="F909" t="str">
            <v>cây</v>
          </cell>
          <cell r="G909">
            <v>105000</v>
          </cell>
          <cell r="H909">
            <v>0.8</v>
          </cell>
          <cell r="I909">
            <v>0.79999971389770497</v>
          </cell>
          <cell r="J909" t="str">
            <v>ĐG 01.02.2025</v>
          </cell>
        </row>
        <row r="910">
          <cell r="B910" t="str">
            <v>trungca1320</v>
          </cell>
          <cell r="C910" t="str">
            <v>Cây trứng cá</v>
          </cell>
          <cell r="D910" t="str">
            <v>13cm ≤ đk gốc &lt; 20cm</v>
          </cell>
          <cell r="E910">
            <v>0.79999971389770497</v>
          </cell>
          <cell r="F910" t="str">
            <v>cây</v>
          </cell>
          <cell r="G910">
            <v>135000</v>
          </cell>
          <cell r="H910">
            <v>0.8</v>
          </cell>
          <cell r="I910">
            <v>0.79999971389770497</v>
          </cell>
          <cell r="J910" t="str">
            <v>ĐG 01.02.2025</v>
          </cell>
        </row>
        <row r="911">
          <cell r="B911" t="str">
            <v>trungca2040</v>
          </cell>
          <cell r="C911" t="str">
            <v>Cây trứng cá</v>
          </cell>
          <cell r="D911" t="str">
            <v>20cm ≤ đk gốc &lt; 40cm</v>
          </cell>
          <cell r="E911">
            <v>0.79999971389770497</v>
          </cell>
          <cell r="F911" t="str">
            <v>cây</v>
          </cell>
          <cell r="G911">
            <v>200000</v>
          </cell>
          <cell r="H911">
            <v>0.8</v>
          </cell>
          <cell r="I911">
            <v>0.79999971389770497</v>
          </cell>
          <cell r="J911" t="str">
            <v>ĐG 01.02.2025</v>
          </cell>
        </row>
        <row r="912">
          <cell r="B912" t="str">
            <v>trungca40+</v>
          </cell>
          <cell r="C912" t="str">
            <v>Cây trứng cá</v>
          </cell>
          <cell r="D912" t="str">
            <v>đk gốc từ trên 40cm</v>
          </cell>
          <cell r="E912">
            <v>0.79999971389770497</v>
          </cell>
          <cell r="F912" t="str">
            <v>cây</v>
          </cell>
          <cell r="G912">
            <v>220000</v>
          </cell>
          <cell r="H912">
            <v>0.8</v>
          </cell>
          <cell r="I912">
            <v>0.79999971389770497</v>
          </cell>
          <cell r="J912" t="str">
            <v>ĐG 01.02.2025</v>
          </cell>
        </row>
        <row r="913">
          <cell r="B913" t="str">
            <v>trungca01vmd</v>
          </cell>
          <cell r="C913" t="str">
            <v>Cây trứng cá vượt mật độ</v>
          </cell>
          <cell r="D913" t="str">
            <v>cây giống</v>
          </cell>
          <cell r="E913">
            <v>0.79999971389770497</v>
          </cell>
          <cell r="F913" t="str">
            <v>m2</v>
          </cell>
          <cell r="G913">
            <v>45000</v>
          </cell>
          <cell r="H913">
            <v>0.4</v>
          </cell>
          <cell r="I913">
            <v>0.39999985694885298</v>
          </cell>
          <cell r="J913" t="str">
            <v>ĐG 01.02.2025</v>
          </cell>
        </row>
        <row r="914">
          <cell r="B914" t="str">
            <v>trungca05vmd</v>
          </cell>
          <cell r="C914" t="str">
            <v>Cây trứng cá vượt mật độ</v>
          </cell>
          <cell r="D914" t="str">
            <v>đk gốc &lt; 5cm</v>
          </cell>
          <cell r="E914">
            <v>0.39999985694885298</v>
          </cell>
          <cell r="F914" t="str">
            <v>cây</v>
          </cell>
          <cell r="G914">
            <v>45000</v>
          </cell>
          <cell r="H914">
            <v>0.4</v>
          </cell>
          <cell r="I914">
            <v>0.39999985694885298</v>
          </cell>
          <cell r="J914" t="str">
            <v>ĐG 01.02.2025</v>
          </cell>
        </row>
        <row r="915">
          <cell r="B915" t="str">
            <v>trungca510vmd</v>
          </cell>
          <cell r="C915" t="str">
            <v>Cây trứng cá vượt mật độ</v>
          </cell>
          <cell r="D915" t="str">
            <v>5cm ≤ đk gốc ≤ 10cm</v>
          </cell>
          <cell r="E915">
            <v>0.39999985694885298</v>
          </cell>
          <cell r="F915" t="str">
            <v>cây</v>
          </cell>
          <cell r="G915">
            <v>75000</v>
          </cell>
          <cell r="H915">
            <v>0.4</v>
          </cell>
          <cell r="I915">
            <v>0.39999985694885298</v>
          </cell>
          <cell r="J915" t="str">
            <v>ĐG 01.02.2025</v>
          </cell>
        </row>
        <row r="916">
          <cell r="B916" t="str">
            <v>trungca1013vmd</v>
          </cell>
          <cell r="C916" t="str">
            <v>Cây trứng cá vượt mật độ</v>
          </cell>
          <cell r="D916" t="str">
            <v>10cm ≤ đk gốc &lt; 13cm</v>
          </cell>
          <cell r="E916">
            <v>0.39999985694885298</v>
          </cell>
          <cell r="F916" t="str">
            <v>cây</v>
          </cell>
          <cell r="G916">
            <v>105000</v>
          </cell>
          <cell r="H916">
            <v>0.4</v>
          </cell>
          <cell r="I916">
            <v>0.39999985694885298</v>
          </cell>
          <cell r="J916" t="str">
            <v>ĐG 01.02.2025</v>
          </cell>
        </row>
        <row r="917">
          <cell r="B917" t="str">
            <v>trungca1320vmd</v>
          </cell>
          <cell r="C917" t="str">
            <v>Cây trứng cá vượt mật độ</v>
          </cell>
          <cell r="D917" t="str">
            <v>13cm ≤ đk gốc &lt; 20cm</v>
          </cell>
          <cell r="E917">
            <v>0.39999985694885298</v>
          </cell>
          <cell r="F917" t="str">
            <v>cây</v>
          </cell>
          <cell r="G917">
            <v>135000</v>
          </cell>
          <cell r="H917">
            <v>0.4</v>
          </cell>
          <cell r="I917">
            <v>0.39999985694885298</v>
          </cell>
          <cell r="J917" t="str">
            <v>ĐG 01.02.2025</v>
          </cell>
        </row>
        <row r="918">
          <cell r="B918" t="str">
            <v>trungca2040vmd</v>
          </cell>
          <cell r="C918" t="str">
            <v>Cây trứng cá vượt mật độ</v>
          </cell>
          <cell r="D918" t="str">
            <v>20cm ≤ đk gốc &lt; 40cm</v>
          </cell>
          <cell r="E918">
            <v>0.39999985694885298</v>
          </cell>
          <cell r="F918" t="str">
            <v>cây</v>
          </cell>
          <cell r="G918">
            <v>200000</v>
          </cell>
          <cell r="H918">
            <v>0.4</v>
          </cell>
          <cell r="I918">
            <v>0.39999985694885298</v>
          </cell>
          <cell r="J918" t="str">
            <v>ĐG 01.02.2025</v>
          </cell>
        </row>
        <row r="919">
          <cell r="B919" t="str">
            <v>trungca40+vmd</v>
          </cell>
          <cell r="C919" t="str">
            <v>Cây trứng cá vượt mật độ</v>
          </cell>
          <cell r="D919" t="str">
            <v>đk gốc từ trên 40cm</v>
          </cell>
          <cell r="E919">
            <v>0.39999985694885298</v>
          </cell>
          <cell r="F919" t="str">
            <v>cây</v>
          </cell>
          <cell r="G919">
            <v>220000</v>
          </cell>
          <cell r="H919">
            <v>0.4</v>
          </cell>
          <cell r="I919">
            <v>0.39999985694885298</v>
          </cell>
          <cell r="J919" t="str">
            <v>ĐG 01.02.2025</v>
          </cell>
        </row>
        <row r="920">
          <cell r="B920">
            <v>0.39999985694885298</v>
          </cell>
          <cell r="C920" t="str">
            <v>Cây sao đen</v>
          </cell>
          <cell r="D920">
            <v>0.39999985694885298</v>
          </cell>
          <cell r="E920">
            <v>0.39999985694885298</v>
          </cell>
          <cell r="F920">
            <v>0.39999985694885298</v>
          </cell>
          <cell r="G920">
            <v>0.39999985694885298</v>
          </cell>
          <cell r="H920">
            <v>0.39999985694885298</v>
          </cell>
          <cell r="I920">
            <v>0.39999985694885298</v>
          </cell>
        </row>
        <row r="921">
          <cell r="B921" t="str">
            <v>Saoden01</v>
          </cell>
          <cell r="C921" t="str">
            <v>Sao đen</v>
          </cell>
          <cell r="D921" t="str">
            <v>cây giống</v>
          </cell>
          <cell r="E921">
            <v>0.39999985694885298</v>
          </cell>
          <cell r="F921" t="str">
            <v>cây</v>
          </cell>
          <cell r="G921">
            <v>36000</v>
          </cell>
          <cell r="H921">
            <v>0.8</v>
          </cell>
          <cell r="I921">
            <v>0.79999971389770497</v>
          </cell>
        </row>
        <row r="922">
          <cell r="B922" t="str">
            <v>Saoden5-</v>
          </cell>
          <cell r="C922" t="str">
            <v>Sao đen</v>
          </cell>
          <cell r="D922" t="str">
            <v>đk gốc &lt; 5cm</v>
          </cell>
          <cell r="E922">
            <v>40</v>
          </cell>
          <cell r="F922" t="str">
            <v>cây</v>
          </cell>
          <cell r="G922">
            <v>60000</v>
          </cell>
          <cell r="H922">
            <v>0.8</v>
          </cell>
          <cell r="I922">
            <v>0.79999971389770497</v>
          </cell>
        </row>
        <row r="923">
          <cell r="B923" t="str">
            <v>Saoden510</v>
          </cell>
          <cell r="C923" t="str">
            <v>Sao đen</v>
          </cell>
          <cell r="D923" t="str">
            <v>5cm ≤ đk gốc ≤ 10cm</v>
          </cell>
          <cell r="E923">
            <v>40</v>
          </cell>
          <cell r="F923" t="str">
            <v>cây</v>
          </cell>
          <cell r="G923">
            <v>90000</v>
          </cell>
          <cell r="H923">
            <v>0.8</v>
          </cell>
          <cell r="I923">
            <v>0.79999971389770497</v>
          </cell>
        </row>
        <row r="924">
          <cell r="B924" t="str">
            <v>Saoden1013</v>
          </cell>
          <cell r="C924" t="str">
            <v>Sao đen</v>
          </cell>
          <cell r="D924" t="str">
            <v>10cm &lt; đk gốc ≤ 13cm</v>
          </cell>
          <cell r="E924">
            <v>5</v>
          </cell>
          <cell r="F924" t="str">
            <v>cây</v>
          </cell>
          <cell r="G924">
            <v>120000</v>
          </cell>
          <cell r="H924">
            <v>0.8</v>
          </cell>
          <cell r="I924">
            <v>0.79999971389770497</v>
          </cell>
        </row>
        <row r="925">
          <cell r="B925" t="str">
            <v>Saoden1320</v>
          </cell>
          <cell r="C925" t="str">
            <v>Sao đen</v>
          </cell>
          <cell r="D925" t="str">
            <v>13cm &lt; đk gốc ≤ 20cm</v>
          </cell>
          <cell r="E925">
            <v>5</v>
          </cell>
          <cell r="F925" t="str">
            <v>cây</v>
          </cell>
          <cell r="G925">
            <v>150000</v>
          </cell>
          <cell r="H925">
            <v>0.8</v>
          </cell>
          <cell r="I925">
            <v>0.79999971389770497</v>
          </cell>
        </row>
        <row r="926">
          <cell r="B926" t="str">
            <v>Saoden2050</v>
          </cell>
          <cell r="C926" t="str">
            <v>Sao đen</v>
          </cell>
          <cell r="D926" t="str">
            <v>20cm &lt; đk gốc ≤ 50cm</v>
          </cell>
          <cell r="E926">
            <v>6.6666666666666696</v>
          </cell>
          <cell r="F926" t="str">
            <v>cây</v>
          </cell>
          <cell r="G926">
            <v>180000</v>
          </cell>
          <cell r="H926">
            <v>0.8</v>
          </cell>
          <cell r="I926">
            <v>0.79999971389770497</v>
          </cell>
        </row>
        <row r="927">
          <cell r="B927" t="str">
            <v>Saoden50+</v>
          </cell>
          <cell r="C927" t="str">
            <v>Sao đen</v>
          </cell>
          <cell r="D927" t="str">
            <v>đk gốc từ trên 50cm</v>
          </cell>
          <cell r="E927">
            <v>6.6666666666666696</v>
          </cell>
          <cell r="F927" t="str">
            <v>cây</v>
          </cell>
          <cell r="G927">
            <v>225000</v>
          </cell>
          <cell r="H927">
            <v>0.8</v>
          </cell>
          <cell r="I927">
            <v>0.79999971389770497</v>
          </cell>
        </row>
        <row r="928">
          <cell r="B928" t="str">
            <v>Saoden1320vmd</v>
          </cell>
          <cell r="C928" t="str">
            <v>Sao đen vượt mật độ</v>
          </cell>
          <cell r="D928" t="str">
            <v>13cm &lt; đk gốc ≤ 20cm</v>
          </cell>
          <cell r="E928">
            <v>5</v>
          </cell>
          <cell r="F928" t="str">
            <v>cây</v>
          </cell>
          <cell r="G928">
            <v>150000</v>
          </cell>
          <cell r="H928">
            <v>0.4</v>
          </cell>
          <cell r="I928">
            <v>0.39999985694885298</v>
          </cell>
        </row>
        <row r="929">
          <cell r="B929">
            <v>0.39999985694885298</v>
          </cell>
          <cell r="C929" t="str">
            <v>Cây Long não</v>
          </cell>
          <cell r="D929">
            <v>0.39999985694885298</v>
          </cell>
          <cell r="E929">
            <v>0.39999985694885298</v>
          </cell>
          <cell r="F929">
            <v>0.39999985694885298</v>
          </cell>
          <cell r="G929">
            <v>0.39999985694885298</v>
          </cell>
          <cell r="H929">
            <v>0.39999985694885298</v>
          </cell>
          <cell r="I929">
            <v>0.39999985694885298</v>
          </cell>
        </row>
        <row r="930">
          <cell r="B930" t="str">
            <v>Longnao01</v>
          </cell>
          <cell r="C930" t="str">
            <v>Long não</v>
          </cell>
          <cell r="D930" t="str">
            <v>cây giống</v>
          </cell>
          <cell r="E930">
            <v>0.39999985694885298</v>
          </cell>
          <cell r="F930" t="str">
            <v>cây</v>
          </cell>
          <cell r="G930">
            <v>36000</v>
          </cell>
          <cell r="H930">
            <v>0.8</v>
          </cell>
          <cell r="I930">
            <v>0.79999971389770497</v>
          </cell>
        </row>
        <row r="931">
          <cell r="B931" t="str">
            <v>Longnao5-</v>
          </cell>
          <cell r="C931" t="str">
            <v>Long não</v>
          </cell>
          <cell r="D931" t="str">
            <v>đk gốc &lt; 5cm</v>
          </cell>
          <cell r="E931">
            <v>4</v>
          </cell>
          <cell r="F931" t="str">
            <v>cây</v>
          </cell>
          <cell r="G931">
            <v>60000</v>
          </cell>
          <cell r="H931">
            <v>0.8</v>
          </cell>
          <cell r="I931">
            <v>0.79999971389770497</v>
          </cell>
        </row>
        <row r="932">
          <cell r="B932" t="str">
            <v>Longnao510</v>
          </cell>
          <cell r="C932" t="str">
            <v>Long não</v>
          </cell>
          <cell r="D932" t="str">
            <v>5cm ≤ đk gốc ≤ 10cm</v>
          </cell>
          <cell r="E932">
            <v>4</v>
          </cell>
          <cell r="F932" t="str">
            <v>cây</v>
          </cell>
          <cell r="G932">
            <v>90000</v>
          </cell>
          <cell r="H932">
            <v>0.8</v>
          </cell>
          <cell r="I932">
            <v>0.79999971389770497</v>
          </cell>
        </row>
        <row r="933">
          <cell r="B933" t="str">
            <v>Longnao1013</v>
          </cell>
          <cell r="C933" t="str">
            <v>Long não</v>
          </cell>
          <cell r="D933" t="str">
            <v>10cm &lt; đk gốc ≤ 13cm</v>
          </cell>
          <cell r="E933">
            <v>5</v>
          </cell>
          <cell r="F933" t="str">
            <v>cây</v>
          </cell>
          <cell r="G933">
            <v>120000</v>
          </cell>
          <cell r="H933">
            <v>0.8</v>
          </cell>
          <cell r="I933">
            <v>0.79999971389770497</v>
          </cell>
        </row>
        <row r="934">
          <cell r="B934" t="str">
            <v>Longnao1320</v>
          </cell>
          <cell r="C934" t="str">
            <v>Long não</v>
          </cell>
          <cell r="D934" t="str">
            <v>13cm &lt; đk gốc ≤ 20cm</v>
          </cell>
          <cell r="E934">
            <v>5</v>
          </cell>
          <cell r="F934" t="str">
            <v>cây</v>
          </cell>
          <cell r="G934">
            <v>150000</v>
          </cell>
          <cell r="H934">
            <v>0.8</v>
          </cell>
          <cell r="I934">
            <v>0.79999971389770497</v>
          </cell>
        </row>
        <row r="935">
          <cell r="B935" t="str">
            <v>Longnao2050</v>
          </cell>
          <cell r="C935" t="str">
            <v>Long não</v>
          </cell>
          <cell r="D935" t="str">
            <v>20cm &lt; đk gốc ≤ 50cm</v>
          </cell>
          <cell r="E935">
            <v>6.6666666666666696</v>
          </cell>
          <cell r="F935" t="str">
            <v>cây</v>
          </cell>
          <cell r="G935">
            <v>180000</v>
          </cell>
          <cell r="H935">
            <v>0.8</v>
          </cell>
          <cell r="I935">
            <v>0.79999971389770497</v>
          </cell>
        </row>
        <row r="936">
          <cell r="B936" t="str">
            <v>Longnao50+</v>
          </cell>
          <cell r="C936" t="str">
            <v>Long não</v>
          </cell>
          <cell r="D936" t="str">
            <v>đk gốc từ trên 50cm</v>
          </cell>
          <cell r="E936">
            <v>6.6666666666666696</v>
          </cell>
          <cell r="F936" t="str">
            <v>cây</v>
          </cell>
          <cell r="G936">
            <v>225000</v>
          </cell>
          <cell r="H936">
            <v>0.8</v>
          </cell>
          <cell r="I936">
            <v>0.79999971389770497</v>
          </cell>
        </row>
        <row r="937">
          <cell r="B937" t="str">
            <v>Longnao01vmd</v>
          </cell>
          <cell r="C937" t="str">
            <v>Long não vượt mật độ</v>
          </cell>
          <cell r="D937" t="str">
            <v>cây giống</v>
          </cell>
          <cell r="E937">
            <v>0.79999971389770497</v>
          </cell>
          <cell r="F937" t="str">
            <v>cây</v>
          </cell>
          <cell r="G937">
            <v>36000</v>
          </cell>
          <cell r="H937">
            <v>0.4</v>
          </cell>
          <cell r="I937">
            <v>0.39999985694885298</v>
          </cell>
        </row>
        <row r="938">
          <cell r="B938" t="str">
            <v>Longnao5-vmd</v>
          </cell>
          <cell r="C938" t="str">
            <v>Long não vượt mật độ</v>
          </cell>
          <cell r="D938" t="str">
            <v>đk gốc &lt; 5cm</v>
          </cell>
          <cell r="E938">
            <v>4</v>
          </cell>
          <cell r="F938" t="str">
            <v>cây</v>
          </cell>
          <cell r="G938">
            <v>60000</v>
          </cell>
          <cell r="H938">
            <v>0.4</v>
          </cell>
          <cell r="I938">
            <v>0.39999985694885298</v>
          </cell>
        </row>
        <row r="939">
          <cell r="B939" t="str">
            <v>Longnao510vmd</v>
          </cell>
          <cell r="C939" t="str">
            <v>Long não vượt mật độ</v>
          </cell>
          <cell r="D939" t="str">
            <v>5cm ≤ đk gốc ≤ 10cm</v>
          </cell>
          <cell r="E939">
            <v>4</v>
          </cell>
          <cell r="F939" t="str">
            <v>cây</v>
          </cell>
          <cell r="G939">
            <v>90000</v>
          </cell>
          <cell r="H939">
            <v>0.4</v>
          </cell>
          <cell r="I939">
            <v>0.39999985694885298</v>
          </cell>
        </row>
        <row r="940">
          <cell r="B940" t="str">
            <v>Longnao1013vmd</v>
          </cell>
          <cell r="C940" t="str">
            <v>Long não vượt mật độ</v>
          </cell>
          <cell r="D940" t="str">
            <v>10cm &lt; đk gốc ≤ 13cm</v>
          </cell>
          <cell r="E940">
            <v>5</v>
          </cell>
          <cell r="F940" t="str">
            <v>cây</v>
          </cell>
          <cell r="G940">
            <v>120000</v>
          </cell>
          <cell r="H940">
            <v>0.4</v>
          </cell>
          <cell r="I940">
            <v>0.39999985694885298</v>
          </cell>
        </row>
        <row r="941">
          <cell r="B941" t="str">
            <v>Longnao1320vmd</v>
          </cell>
          <cell r="C941" t="str">
            <v>Long não vượt mật độ</v>
          </cell>
          <cell r="D941" t="str">
            <v>13cm &lt; đk gốc ≤ 20cm</v>
          </cell>
          <cell r="E941">
            <v>5</v>
          </cell>
          <cell r="F941" t="str">
            <v>cây</v>
          </cell>
          <cell r="G941">
            <v>150000</v>
          </cell>
          <cell r="H941">
            <v>0.4</v>
          </cell>
          <cell r="I941">
            <v>0.39999985694885298</v>
          </cell>
        </row>
        <row r="942">
          <cell r="B942" t="str">
            <v>Longnao2050vmd</v>
          </cell>
          <cell r="C942" t="str">
            <v>Long não vượt mật độ</v>
          </cell>
          <cell r="D942" t="str">
            <v>20cm &lt; đk gốc ≤ 50cm</v>
          </cell>
          <cell r="E942">
            <v>6.6666666666666696</v>
          </cell>
          <cell r="F942" t="str">
            <v>cây</v>
          </cell>
          <cell r="G942">
            <v>180000</v>
          </cell>
          <cell r="H942">
            <v>0.4</v>
          </cell>
          <cell r="I942">
            <v>0.39999985694885298</v>
          </cell>
        </row>
        <row r="943">
          <cell r="B943" t="str">
            <v>Longnao50+vmd</v>
          </cell>
          <cell r="C943" t="str">
            <v>Long não vượt mật độ</v>
          </cell>
          <cell r="D943" t="str">
            <v>đk gốc từ trên 50cm</v>
          </cell>
          <cell r="E943">
            <v>6.6666666666666696</v>
          </cell>
          <cell r="F943" t="str">
            <v>cây</v>
          </cell>
          <cell r="G943">
            <v>225000</v>
          </cell>
          <cell r="H943">
            <v>0.4</v>
          </cell>
          <cell r="I943">
            <v>0.39999985694885298</v>
          </cell>
        </row>
        <row r="944">
          <cell r="B944">
            <v>0.39999985694885298</v>
          </cell>
          <cell r="C944" t="str">
            <v>Các loại cây xen canh</v>
          </cell>
          <cell r="D944">
            <v>0.39999985694885298</v>
          </cell>
          <cell r="E944">
            <v>0.39999985694885298</v>
          </cell>
          <cell r="F944">
            <v>0.39999985694885298</v>
          </cell>
          <cell r="G944">
            <v>0.39999985694885298</v>
          </cell>
          <cell r="H944">
            <v>0.39999985694885298</v>
          </cell>
          <cell r="I944">
            <v>0.39999985694885298</v>
          </cell>
        </row>
        <row r="945">
          <cell r="B945" t="str">
            <v>CL.Rau</v>
          </cell>
          <cell r="C945" t="str">
            <v>Rau trồng toàn diện tích</v>
          </cell>
          <cell r="D945">
            <v>0.39999985694885298</v>
          </cell>
          <cell r="E945">
            <v>0.39999985694885298</v>
          </cell>
          <cell r="F945" t="str">
            <v>m2</v>
          </cell>
          <cell r="G945">
            <v>10000</v>
          </cell>
          <cell r="H945">
            <v>1</v>
          </cell>
          <cell r="I945">
            <v>1</v>
          </cell>
          <cell r="J945">
            <v>1</v>
          </cell>
        </row>
        <row r="946">
          <cell r="B946" t="str">
            <v>XC.Rau</v>
          </cell>
          <cell r="C946" t="str">
            <v>Rau xen canh</v>
          </cell>
          <cell r="D946">
            <v>1</v>
          </cell>
          <cell r="E946">
            <v>1</v>
          </cell>
          <cell r="F946" t="str">
            <v>m2</v>
          </cell>
          <cell r="G946">
            <v>10000</v>
          </cell>
          <cell r="H946">
            <v>1</v>
          </cell>
          <cell r="I946">
            <v>1</v>
          </cell>
        </row>
        <row r="947">
          <cell r="B947" t="str">
            <v>XC.Đỗ</v>
          </cell>
          <cell r="C947" t="str">
            <v>Đỗ xen canh</v>
          </cell>
          <cell r="D947">
            <v>1</v>
          </cell>
          <cell r="E947">
            <v>1</v>
          </cell>
          <cell r="F947" t="str">
            <v>m2</v>
          </cell>
          <cell r="G947">
            <v>10000</v>
          </cell>
          <cell r="H947">
            <v>1</v>
          </cell>
          <cell r="I947">
            <v>1</v>
          </cell>
        </row>
        <row r="948">
          <cell r="B948" t="str">
            <v>XC.BC</v>
          </cell>
          <cell r="C948" t="str">
            <v>Bắp cải xen canh</v>
          </cell>
          <cell r="D948">
            <v>1</v>
          </cell>
          <cell r="E948">
            <v>1</v>
          </cell>
          <cell r="F948" t="str">
            <v>m2</v>
          </cell>
          <cell r="G948">
            <v>10000</v>
          </cell>
          <cell r="H948">
            <v>1</v>
          </cell>
          <cell r="I948">
            <v>1</v>
          </cell>
        </row>
        <row r="949">
          <cell r="B949" t="str">
            <v>XC.CT</v>
          </cell>
          <cell r="C949" t="str">
            <v>Cải thảo xen canh</v>
          </cell>
          <cell r="D949">
            <v>1</v>
          </cell>
          <cell r="E949">
            <v>1</v>
          </cell>
          <cell r="F949" t="str">
            <v>m2</v>
          </cell>
          <cell r="G949">
            <v>10000</v>
          </cell>
          <cell r="H949">
            <v>1</v>
          </cell>
          <cell r="I949">
            <v>1</v>
          </cell>
        </row>
        <row r="950">
          <cell r="B950" t="str">
            <v>XC.RN</v>
          </cell>
          <cell r="C950" t="str">
            <v>Rau ngót xen canh</v>
          </cell>
          <cell r="D950">
            <v>1</v>
          </cell>
          <cell r="E950">
            <v>1</v>
          </cell>
          <cell r="F950" t="str">
            <v>m2</v>
          </cell>
          <cell r="G950">
            <v>10000</v>
          </cell>
          <cell r="H950">
            <v>1</v>
          </cell>
          <cell r="I950">
            <v>1</v>
          </cell>
        </row>
        <row r="951">
          <cell r="B951" t="str">
            <v>XC.RM</v>
          </cell>
          <cell r="C951" t="str">
            <v>Rau muống xen canh</v>
          </cell>
          <cell r="D951">
            <v>1</v>
          </cell>
          <cell r="E951">
            <v>1</v>
          </cell>
          <cell r="F951" t="str">
            <v>m2</v>
          </cell>
          <cell r="G951">
            <v>10000</v>
          </cell>
          <cell r="H951">
            <v>1</v>
          </cell>
          <cell r="I951">
            <v>1</v>
          </cell>
        </row>
        <row r="952">
          <cell r="B952" t="str">
            <v>XC.RC</v>
          </cell>
          <cell r="C952" t="str">
            <v>Rau cải xen canh</v>
          </cell>
          <cell r="D952">
            <v>1</v>
          </cell>
          <cell r="E952">
            <v>1</v>
          </cell>
          <cell r="F952" t="str">
            <v>m2</v>
          </cell>
          <cell r="G952">
            <v>10000</v>
          </cell>
          <cell r="H952">
            <v>1</v>
          </cell>
          <cell r="I952">
            <v>1</v>
          </cell>
        </row>
        <row r="953">
          <cell r="B953" t="str">
            <v>XC.RB</v>
          </cell>
          <cell r="C953" t="str">
            <v>Rau bí xen canh</v>
          </cell>
          <cell r="D953">
            <v>1</v>
          </cell>
          <cell r="E953">
            <v>1</v>
          </cell>
          <cell r="F953" t="str">
            <v>m2</v>
          </cell>
          <cell r="G953">
            <v>10000</v>
          </cell>
          <cell r="H953">
            <v>1</v>
          </cell>
          <cell r="I953">
            <v>1</v>
          </cell>
        </row>
        <row r="954">
          <cell r="B954" t="str">
            <v>XC.LR</v>
          </cell>
          <cell r="C954" t="str">
            <v>Lá rong xen canh</v>
          </cell>
          <cell r="D954">
            <v>1</v>
          </cell>
          <cell r="E954">
            <v>1</v>
          </cell>
          <cell r="F954" t="str">
            <v>m2</v>
          </cell>
          <cell r="G954">
            <v>5000</v>
          </cell>
          <cell r="H954">
            <v>1</v>
          </cell>
          <cell r="I954">
            <v>1</v>
          </cell>
        </row>
        <row r="955">
          <cell r="B955" t="str">
            <v>XC.RL</v>
          </cell>
          <cell r="C955" t="str">
            <v>Rau lang xen canh</v>
          </cell>
          <cell r="D955">
            <v>1</v>
          </cell>
          <cell r="E955">
            <v>1</v>
          </cell>
          <cell r="F955" t="str">
            <v>m2</v>
          </cell>
          <cell r="G955">
            <v>10000</v>
          </cell>
          <cell r="H955">
            <v>1</v>
          </cell>
          <cell r="I955">
            <v>1</v>
          </cell>
        </row>
        <row r="956">
          <cell r="B956" t="str">
            <v>XC.DM</v>
          </cell>
          <cell r="C956" t="str">
            <v>Dọc mùng  xen canh</v>
          </cell>
          <cell r="D956">
            <v>1</v>
          </cell>
          <cell r="E956">
            <v>1</v>
          </cell>
          <cell r="F956" t="str">
            <v>m2</v>
          </cell>
          <cell r="G956">
            <v>10000</v>
          </cell>
          <cell r="H956">
            <v>1</v>
          </cell>
          <cell r="I956">
            <v>1</v>
          </cell>
        </row>
        <row r="957">
          <cell r="B957" t="str">
            <v>XC.Cà</v>
          </cell>
          <cell r="C957" t="str">
            <v>Cà xen canh</v>
          </cell>
          <cell r="D957">
            <v>1</v>
          </cell>
          <cell r="E957">
            <v>1</v>
          </cell>
          <cell r="F957" t="str">
            <v>m2</v>
          </cell>
          <cell r="G957">
            <v>10000</v>
          </cell>
          <cell r="H957">
            <v>1</v>
          </cell>
          <cell r="I957">
            <v>1</v>
          </cell>
        </row>
        <row r="958">
          <cell r="B958" t="str">
            <v>XC.Ớt</v>
          </cell>
          <cell r="C958" t="str">
            <v>Ớt xen canh</v>
          </cell>
          <cell r="D958">
            <v>1</v>
          </cell>
          <cell r="E958">
            <v>1</v>
          </cell>
          <cell r="F958" t="str">
            <v>m2</v>
          </cell>
          <cell r="G958">
            <v>10000</v>
          </cell>
          <cell r="H958">
            <v>1</v>
          </cell>
          <cell r="I958">
            <v>1</v>
          </cell>
        </row>
        <row r="959">
          <cell r="B959" t="str">
            <v>XC.Gừng</v>
          </cell>
          <cell r="C959" t="str">
            <v>Gừng xen canh</v>
          </cell>
          <cell r="D959">
            <v>1</v>
          </cell>
          <cell r="E959">
            <v>1</v>
          </cell>
          <cell r="F959" t="str">
            <v>m2</v>
          </cell>
          <cell r="G959">
            <v>5000</v>
          </cell>
          <cell r="H959">
            <v>1</v>
          </cell>
          <cell r="I959">
            <v>1</v>
          </cell>
        </row>
        <row r="960">
          <cell r="B960" t="str">
            <v>XC.NC</v>
          </cell>
          <cell r="C960" t="str">
            <v>Ngải cứu xen canh</v>
          </cell>
          <cell r="D960">
            <v>1</v>
          </cell>
          <cell r="E960">
            <v>1</v>
          </cell>
          <cell r="F960" t="str">
            <v>m2</v>
          </cell>
          <cell r="G960">
            <v>5000</v>
          </cell>
          <cell r="H960">
            <v>1</v>
          </cell>
          <cell r="I960">
            <v>1</v>
          </cell>
        </row>
        <row r="961">
          <cell r="B961" t="str">
            <v>XC.CC</v>
          </cell>
          <cell r="C961" t="str">
            <v>Cải cúc xen canh</v>
          </cell>
          <cell r="D961">
            <v>1</v>
          </cell>
          <cell r="E961">
            <v>1</v>
          </cell>
          <cell r="F961" t="str">
            <v>m2</v>
          </cell>
          <cell r="G961">
            <v>10000</v>
          </cell>
          <cell r="H961">
            <v>1</v>
          </cell>
          <cell r="I961">
            <v>1</v>
          </cell>
        </row>
        <row r="962">
          <cell r="B962" t="str">
            <v>XC.KS</v>
          </cell>
          <cell r="C962" t="str">
            <v>Khoai sọ xen canh</v>
          </cell>
          <cell r="D962">
            <v>1</v>
          </cell>
          <cell r="E962">
            <v>1</v>
          </cell>
          <cell r="F962" t="str">
            <v>m2</v>
          </cell>
          <cell r="G962">
            <v>5000</v>
          </cell>
          <cell r="H962">
            <v>1</v>
          </cell>
          <cell r="I962">
            <v>1</v>
          </cell>
        </row>
        <row r="963">
          <cell r="B963" t="str">
            <v>XC.KM</v>
          </cell>
          <cell r="C963" t="str">
            <v>Khoai môn xen canh</v>
          </cell>
          <cell r="D963">
            <v>1</v>
          </cell>
          <cell r="E963">
            <v>1</v>
          </cell>
          <cell r="F963" t="str">
            <v>m2</v>
          </cell>
          <cell r="G963">
            <v>5000</v>
          </cell>
          <cell r="H963">
            <v>1</v>
          </cell>
          <cell r="I963">
            <v>1</v>
          </cell>
        </row>
        <row r="964">
          <cell r="B964" t="str">
            <v>XC.Xả</v>
          </cell>
          <cell r="C964" t="str">
            <v>Xả xen canh</v>
          </cell>
          <cell r="D964">
            <v>1</v>
          </cell>
          <cell r="E964">
            <v>1</v>
          </cell>
          <cell r="F964" t="str">
            <v>m2</v>
          </cell>
          <cell r="G964">
            <v>5000</v>
          </cell>
          <cell r="H964">
            <v>1</v>
          </cell>
          <cell r="I964">
            <v>1</v>
          </cell>
        </row>
        <row r="965">
          <cell r="B965" t="str">
            <v>XC.Ngô</v>
          </cell>
          <cell r="C965" t="str">
            <v>Ngô xen canh</v>
          </cell>
          <cell r="D965">
            <v>1</v>
          </cell>
          <cell r="E965">
            <v>1</v>
          </cell>
          <cell r="F965" t="str">
            <v>m2</v>
          </cell>
          <cell r="G965">
            <v>5000</v>
          </cell>
          <cell r="H965">
            <v>1</v>
          </cell>
          <cell r="I965">
            <v>1</v>
          </cell>
        </row>
        <row r="966">
          <cell r="B966" t="str">
            <v>XC.Địa liền</v>
          </cell>
          <cell r="C966" t="str">
            <v>Địa liền xen canh</v>
          </cell>
          <cell r="D966">
            <v>1</v>
          </cell>
          <cell r="E966">
            <v>1</v>
          </cell>
          <cell r="F966" t="str">
            <v>m2</v>
          </cell>
          <cell r="G966">
            <v>5000</v>
          </cell>
          <cell r="H966">
            <v>1</v>
          </cell>
          <cell r="I966">
            <v>1</v>
          </cell>
        </row>
        <row r="967">
          <cell r="B967" t="str">
            <v>XC.Đơn</v>
          </cell>
          <cell r="C967" t="str">
            <v>Mẫu đơn xen canh</v>
          </cell>
          <cell r="D967">
            <v>1</v>
          </cell>
          <cell r="E967">
            <v>1</v>
          </cell>
          <cell r="F967" t="str">
            <v>m2</v>
          </cell>
          <cell r="G967">
            <v>5000</v>
          </cell>
          <cell r="H967">
            <v>1</v>
          </cell>
          <cell r="I967">
            <v>1</v>
          </cell>
        </row>
        <row r="968">
          <cell r="B968" t="str">
            <v>XC.Thienly</v>
          </cell>
          <cell r="C968" t="str">
            <v>Hoa thiên lý xen canh</v>
          </cell>
          <cell r="D968">
            <v>1</v>
          </cell>
          <cell r="E968">
            <v>1</v>
          </cell>
          <cell r="F968" t="str">
            <v>m2</v>
          </cell>
          <cell r="G968">
            <v>5000</v>
          </cell>
          <cell r="H968">
            <v>1</v>
          </cell>
          <cell r="I968">
            <v>1</v>
          </cell>
        </row>
        <row r="969">
          <cell r="B969" t="str">
            <v>XC.Cỏ voi</v>
          </cell>
          <cell r="C969" t="str">
            <v>Cỏ voi xen canh</v>
          </cell>
          <cell r="D969">
            <v>1</v>
          </cell>
          <cell r="E969">
            <v>1</v>
          </cell>
          <cell r="F969" t="str">
            <v>m2</v>
          </cell>
          <cell r="G969">
            <v>5500</v>
          </cell>
          <cell r="H969">
            <v>1</v>
          </cell>
          <cell r="I969">
            <v>1</v>
          </cell>
        </row>
        <row r="970">
          <cell r="B970" t="str">
            <v>Giàn.Gốc</v>
          </cell>
          <cell r="C970" t="str">
            <v>Gấc có giàn</v>
          </cell>
          <cell r="D970">
            <v>1</v>
          </cell>
          <cell r="E970">
            <v>1</v>
          </cell>
          <cell r="F970" t="str">
            <v>m2</v>
          </cell>
          <cell r="G970">
            <v>20000</v>
          </cell>
          <cell r="H970">
            <v>1</v>
          </cell>
          <cell r="I970">
            <v>1</v>
          </cell>
        </row>
        <row r="971">
          <cell r="B971" t="str">
            <v>Giàn.Đỗ</v>
          </cell>
          <cell r="C971" t="str">
            <v>Đỗ có giàn</v>
          </cell>
          <cell r="D971">
            <v>1</v>
          </cell>
          <cell r="E971">
            <v>1</v>
          </cell>
          <cell r="F971" t="str">
            <v>m2</v>
          </cell>
          <cell r="G971">
            <v>20000</v>
          </cell>
          <cell r="H971">
            <v>1</v>
          </cell>
          <cell r="I971">
            <v>1</v>
          </cell>
        </row>
        <row r="972">
          <cell r="B972" t="str">
            <v>Giàn.Mướp</v>
          </cell>
          <cell r="C972" t="str">
            <v>Mướp có giàn</v>
          </cell>
          <cell r="D972">
            <v>1</v>
          </cell>
          <cell r="E972">
            <v>1</v>
          </cell>
          <cell r="F972" t="str">
            <v>m2</v>
          </cell>
          <cell r="G972">
            <v>20000</v>
          </cell>
          <cell r="H972">
            <v>1</v>
          </cell>
          <cell r="I972">
            <v>1</v>
          </cell>
        </row>
        <row r="973">
          <cell r="B973" t="str">
            <v>Giàn.Cà tím</v>
          </cell>
          <cell r="C973" t="str">
            <v>Cà tím có giàn</v>
          </cell>
          <cell r="D973">
            <v>1</v>
          </cell>
          <cell r="E973">
            <v>1</v>
          </cell>
          <cell r="F973" t="str">
            <v>m2</v>
          </cell>
          <cell r="G973">
            <v>20000</v>
          </cell>
          <cell r="H973">
            <v>1</v>
          </cell>
          <cell r="I973">
            <v>1</v>
          </cell>
        </row>
        <row r="974">
          <cell r="B974">
            <v>1</v>
          </cell>
          <cell r="C974" t="str">
            <v>CÁC CÂY CHƯA CÓ ĐƠN GIÁ</v>
          </cell>
          <cell r="D974">
            <v>1</v>
          </cell>
          <cell r="E974">
            <v>1</v>
          </cell>
          <cell r="F974">
            <v>1</v>
          </cell>
          <cell r="G974">
            <v>1</v>
          </cell>
          <cell r="H974">
            <v>1</v>
          </cell>
          <cell r="I974">
            <v>1</v>
          </cell>
          <cell r="J974">
            <v>1</v>
          </cell>
        </row>
        <row r="975">
          <cell r="B975">
            <v>1</v>
          </cell>
          <cell r="C975" t="str">
            <v>Cây tre</v>
          </cell>
          <cell r="D975">
            <v>1</v>
          </cell>
          <cell r="E975">
            <v>1</v>
          </cell>
          <cell r="F975">
            <v>1</v>
          </cell>
          <cell r="G975">
            <v>1</v>
          </cell>
          <cell r="H975">
            <v>1</v>
          </cell>
          <cell r="I975">
            <v>1</v>
          </cell>
        </row>
        <row r="976">
          <cell r="B976" t="str">
            <v>Tre25</v>
          </cell>
          <cell r="C976" t="str">
            <v>Cây tre</v>
          </cell>
          <cell r="D976" t="str">
            <v>2cm ≤ đk gốc &lt; 5cm</v>
          </cell>
          <cell r="E976">
            <v>1</v>
          </cell>
          <cell r="F976" t="str">
            <v>cây</v>
          </cell>
          <cell r="G976">
            <v>30000</v>
          </cell>
          <cell r="H976">
            <v>0.8</v>
          </cell>
          <cell r="I976">
            <v>0.79999971389770497</v>
          </cell>
        </row>
        <row r="977">
          <cell r="B977" t="str">
            <v>Tre59</v>
          </cell>
          <cell r="C977" t="str">
            <v>Cây tre</v>
          </cell>
          <cell r="D977" t="str">
            <v>5cm ≤ đk gốc &lt; 9cm</v>
          </cell>
          <cell r="E977">
            <v>0.79999971389770497</v>
          </cell>
          <cell r="F977" t="str">
            <v>cây</v>
          </cell>
          <cell r="G977">
            <v>50000</v>
          </cell>
          <cell r="H977">
            <v>0.8</v>
          </cell>
          <cell r="I977">
            <v>0.79999971389770497</v>
          </cell>
        </row>
        <row r="978">
          <cell r="B978" t="str">
            <v>Tre913</v>
          </cell>
          <cell r="C978" t="str">
            <v>Cây tre</v>
          </cell>
          <cell r="D978" t="str">
            <v>9cm ≤ đk gốc &lt; 13cm</v>
          </cell>
          <cell r="E978">
            <v>0.79999971389770497</v>
          </cell>
          <cell r="F978" t="str">
            <v>cây</v>
          </cell>
          <cell r="G978">
            <v>60000</v>
          </cell>
          <cell r="H978">
            <v>0.8</v>
          </cell>
          <cell r="I978">
            <v>0.79999971389770497</v>
          </cell>
        </row>
        <row r="979">
          <cell r="B979" t="str">
            <v>Tre13+</v>
          </cell>
          <cell r="C979" t="str">
            <v>Cây tre</v>
          </cell>
          <cell r="D979" t="str">
            <v>đk gốc từ 13cm trở lên</v>
          </cell>
          <cell r="E979">
            <v>0.79999971389770497</v>
          </cell>
          <cell r="F979" t="str">
            <v>cây</v>
          </cell>
          <cell r="G979">
            <v>10000</v>
          </cell>
          <cell r="H979">
            <v>0.8</v>
          </cell>
          <cell r="I979">
            <v>0.79999971389770497</v>
          </cell>
        </row>
        <row r="980">
          <cell r="B980">
            <v>0.79999971389770497</v>
          </cell>
          <cell r="C980" t="str">
            <v>Cây tre ngà</v>
          </cell>
          <cell r="D980">
            <v>0.79999971389770497</v>
          </cell>
          <cell r="E980">
            <v>0.79999971389770497</v>
          </cell>
          <cell r="F980">
            <v>0.79999971389770497</v>
          </cell>
          <cell r="G980">
            <v>0.79999971389770497</v>
          </cell>
          <cell r="H980">
            <v>0.79999971389770497</v>
          </cell>
          <cell r="I980">
            <v>0.79999971389770497</v>
          </cell>
        </row>
        <row r="981">
          <cell r="B981" t="str">
            <v>Trenga25</v>
          </cell>
          <cell r="C981" t="str">
            <v>Cây tre ngà</v>
          </cell>
          <cell r="D981" t="str">
            <v>2cm ≤ đk gốc &lt; 5cm</v>
          </cell>
          <cell r="E981">
            <v>0.79999971389770497</v>
          </cell>
          <cell r="F981" t="str">
            <v>cây</v>
          </cell>
          <cell r="G981">
            <v>30000</v>
          </cell>
          <cell r="H981">
            <v>0.8</v>
          </cell>
          <cell r="I981">
            <v>0.79999971389770497</v>
          </cell>
        </row>
        <row r="982">
          <cell r="B982" t="str">
            <v>Trenga59</v>
          </cell>
          <cell r="C982" t="str">
            <v>Cây tre ngà</v>
          </cell>
          <cell r="D982" t="str">
            <v>5cm ≤ đk gốc &lt; 10cm</v>
          </cell>
          <cell r="E982">
            <v>0.79999971389770497</v>
          </cell>
          <cell r="F982" t="str">
            <v>cây</v>
          </cell>
          <cell r="G982">
            <v>50000</v>
          </cell>
          <cell r="H982">
            <v>0.8</v>
          </cell>
          <cell r="I982">
            <v>0.79999971389770497</v>
          </cell>
        </row>
        <row r="983">
          <cell r="B983" t="str">
            <v>Trenga913</v>
          </cell>
          <cell r="C983" t="str">
            <v>Cây tre ngà</v>
          </cell>
          <cell r="D983" t="str">
            <v>đk gốc từ 10cm trở lên</v>
          </cell>
          <cell r="E983">
            <v>0.79999971389770497</v>
          </cell>
          <cell r="F983" t="str">
            <v>cây</v>
          </cell>
          <cell r="G983">
            <v>60000</v>
          </cell>
          <cell r="H983">
            <v>0.8</v>
          </cell>
          <cell r="I983">
            <v>0.79999971389770497</v>
          </cell>
        </row>
        <row r="984">
          <cell r="B984" t="str">
            <v>Trenga13+</v>
          </cell>
          <cell r="C984" t="str">
            <v>Cây tre ngà</v>
          </cell>
          <cell r="D984" t="str">
            <v>đk gốc từ 10cm trở lên</v>
          </cell>
          <cell r="E984">
            <v>0.79999971389770497</v>
          </cell>
          <cell r="F984" t="str">
            <v>cây</v>
          </cell>
          <cell r="G984">
            <v>90000</v>
          </cell>
          <cell r="H984">
            <v>0.8</v>
          </cell>
          <cell r="I984">
            <v>0.79999971389770497</v>
          </cell>
        </row>
        <row r="985">
          <cell r="B985">
            <v>0.79999971389770497</v>
          </cell>
          <cell r="C985" t="str">
            <v>Cây khác</v>
          </cell>
          <cell r="D985">
            <v>0.79999971389770497</v>
          </cell>
          <cell r="E985">
            <v>0.79999971389770497</v>
          </cell>
          <cell r="F985">
            <v>0.79999971389770497</v>
          </cell>
          <cell r="G985">
            <v>0.79999971389770497</v>
          </cell>
          <cell r="H985">
            <v>0.79999971389770497</v>
          </cell>
          <cell r="I985">
            <v>0.79999971389770497</v>
          </cell>
        </row>
        <row r="986">
          <cell r="B986" t="str">
            <v>Caycanh</v>
          </cell>
          <cell r="C986" t="str">
            <v>Cây cảnh</v>
          </cell>
          <cell r="D986">
            <v>0.79999971389770497</v>
          </cell>
          <cell r="E986">
            <v>0.79999971389770497</v>
          </cell>
          <cell r="F986" t="str">
            <v>m2</v>
          </cell>
          <cell r="G986">
            <v>40000</v>
          </cell>
          <cell r="H986">
            <v>0.8</v>
          </cell>
          <cell r="I986">
            <v>0.79999971389770497</v>
          </cell>
          <cell r="J986" t="str">
            <v>Đơn giá dự thảo</v>
          </cell>
        </row>
        <row r="987">
          <cell r="B987" t="str">
            <v>Caycanhvmd</v>
          </cell>
          <cell r="C987" t="str">
            <v>Cây cảnh vượt mật độ</v>
          </cell>
          <cell r="D987">
            <v>0.79999971389770497</v>
          </cell>
          <cell r="E987">
            <v>0.79999971389770497</v>
          </cell>
          <cell r="F987" t="str">
            <v>m2</v>
          </cell>
          <cell r="G987">
            <v>40000</v>
          </cell>
          <cell r="H987">
            <v>0.4</v>
          </cell>
          <cell r="I987">
            <v>0.39999985694885298</v>
          </cell>
          <cell r="J987" t="str">
            <v>Đơn giá dự thảo</v>
          </cell>
        </row>
        <row r="988">
          <cell r="B988" t="str">
            <v>Hoahồng</v>
          </cell>
          <cell r="C988" t="str">
            <v>Hoa hồng</v>
          </cell>
          <cell r="D988">
            <v>0.39999985694885298</v>
          </cell>
          <cell r="E988">
            <v>0.39999985694885298</v>
          </cell>
          <cell r="F988" t="str">
            <v>m2</v>
          </cell>
          <cell r="G988">
            <v>40000</v>
          </cell>
          <cell r="H988">
            <v>0.8</v>
          </cell>
          <cell r="I988">
            <v>0.79999971389770497</v>
          </cell>
          <cell r="J988" t="str">
            <v>Đơn giá dự thảo</v>
          </cell>
        </row>
        <row r="989">
          <cell r="B989" t="str">
            <v>Hoahồng2-</v>
          </cell>
          <cell r="C989" t="str">
            <v>Hoa hồng</v>
          </cell>
          <cell r="D989" t="str">
            <v>đk gốc &lt; 2cm</v>
          </cell>
          <cell r="E989">
            <v>0.79999971389770497</v>
          </cell>
          <cell r="F989" t="str">
            <v>m2</v>
          </cell>
          <cell r="G989">
            <v>40000</v>
          </cell>
          <cell r="H989">
            <v>0.8</v>
          </cell>
          <cell r="I989">
            <v>0.79999971389770497</v>
          </cell>
          <cell r="J989" t="str">
            <v>Quy tính diện tích còn lại</v>
          </cell>
        </row>
        <row r="990">
          <cell r="B990" t="str">
            <v>Hoahồng23</v>
          </cell>
          <cell r="C990" t="str">
            <v>Hoa hồng</v>
          </cell>
          <cell r="D990" t="str">
            <v>2cm ≤ đk gốc ≤ 3cm</v>
          </cell>
          <cell r="E990">
            <v>0.79999971389770497</v>
          </cell>
          <cell r="F990" t="str">
            <v>m2</v>
          </cell>
          <cell r="G990">
            <v>40000</v>
          </cell>
          <cell r="H990">
            <v>0.8</v>
          </cell>
          <cell r="I990">
            <v>0.79999971389770497</v>
          </cell>
          <cell r="J990" t="str">
            <v>Quy tính diện tích còn lại</v>
          </cell>
        </row>
        <row r="991">
          <cell r="B991" t="str">
            <v>Hoahong.C40</v>
          </cell>
          <cell r="C991" t="str">
            <v>Hoa hồng trồng trên chậu</v>
          </cell>
          <cell r="D991" t="str">
            <v>Chậu đk 40cm</v>
          </cell>
          <cell r="E991">
            <v>0.79999971389770497</v>
          </cell>
          <cell r="F991" t="str">
            <v>Chậu</v>
          </cell>
          <cell r="G991">
            <v>40000</v>
          </cell>
          <cell r="H991">
            <v>0.8</v>
          </cell>
          <cell r="I991">
            <v>0.79999971389770497</v>
          </cell>
          <cell r="J991" t="str">
            <v>Đơn giá dự thảo</v>
          </cell>
        </row>
        <row r="992">
          <cell r="B992" t="str">
            <v>Hoagiay01</v>
          </cell>
          <cell r="C992" t="str">
            <v>Hoa giấy</v>
          </cell>
          <cell r="D992">
            <v>0.79999971389770497</v>
          </cell>
          <cell r="E992">
            <v>0.79999971389770497</v>
          </cell>
          <cell r="F992" t="str">
            <v>m2</v>
          </cell>
          <cell r="G992">
            <v>40000</v>
          </cell>
          <cell r="H992">
            <v>0.8</v>
          </cell>
          <cell r="I992">
            <v>0.79999971389770497</v>
          </cell>
          <cell r="J992" t="str">
            <v>Đơn giá dự thảo</v>
          </cell>
        </row>
        <row r="993">
          <cell r="B993" t="str">
            <v>Hoagiay27</v>
          </cell>
          <cell r="C993" t="str">
            <v>Hoa giấy</v>
          </cell>
          <cell r="D993" t="str">
            <v>2cm ≤ đk gốc &lt; 7cm</v>
          </cell>
          <cell r="E993">
            <v>0.79999971389770497</v>
          </cell>
          <cell r="F993" t="str">
            <v>m2</v>
          </cell>
          <cell r="G993">
            <v>40000</v>
          </cell>
          <cell r="H993">
            <v>0.8</v>
          </cell>
          <cell r="I993">
            <v>0.79999971389770497</v>
          </cell>
          <cell r="J993" t="str">
            <v>Quy tính diện tích còn lại</v>
          </cell>
        </row>
        <row r="994">
          <cell r="B994" t="str">
            <v>Hoagiay712</v>
          </cell>
          <cell r="C994" t="str">
            <v>Hoa giấy</v>
          </cell>
          <cell r="D994" t="str">
            <v>7cm ≤ đk gốc &lt; 12cm</v>
          </cell>
          <cell r="E994">
            <v>0.79999971389770497</v>
          </cell>
          <cell r="F994" t="str">
            <v>m2</v>
          </cell>
          <cell r="G994">
            <v>40000</v>
          </cell>
          <cell r="H994">
            <v>0.8</v>
          </cell>
          <cell r="I994">
            <v>0.79999971389770497</v>
          </cell>
          <cell r="J994" t="str">
            <v>Quy tính diện tích còn lại</v>
          </cell>
        </row>
        <row r="995">
          <cell r="B995" t="str">
            <v>Hoacuc01</v>
          </cell>
          <cell r="C995" t="str">
            <v>Hoa cúc</v>
          </cell>
          <cell r="D995">
            <v>0.79999971389770497</v>
          </cell>
          <cell r="E995">
            <v>0.79999971389770497</v>
          </cell>
          <cell r="F995" t="str">
            <v>m2</v>
          </cell>
          <cell r="G995">
            <v>40000</v>
          </cell>
          <cell r="H995">
            <v>1</v>
          </cell>
          <cell r="I995">
            <v>1</v>
          </cell>
          <cell r="J995" t="str">
            <v>Đơn giá dự thảo</v>
          </cell>
        </row>
        <row r="996">
          <cell r="B996" t="str">
            <v>Hoacuc01vmd</v>
          </cell>
          <cell r="C996" t="str">
            <v>Hoa cúc vượt mật độ</v>
          </cell>
          <cell r="D996">
            <v>1</v>
          </cell>
          <cell r="E996">
            <v>1</v>
          </cell>
          <cell r="F996" t="str">
            <v>m2</v>
          </cell>
          <cell r="G996">
            <v>40000</v>
          </cell>
          <cell r="H996">
            <v>0.5</v>
          </cell>
          <cell r="I996">
            <v>0.5</v>
          </cell>
          <cell r="J996" t="str">
            <v>Đơn giá dự thảo</v>
          </cell>
        </row>
        <row r="997">
          <cell r="B997" t="str">
            <v>Bachthienhuong</v>
          </cell>
          <cell r="C997" t="str">
            <v>Bạch thiên hương</v>
          </cell>
          <cell r="D997">
            <v>0.5</v>
          </cell>
          <cell r="E997">
            <v>0.5</v>
          </cell>
          <cell r="F997" t="str">
            <v>m2</v>
          </cell>
          <cell r="G997">
            <v>40000</v>
          </cell>
          <cell r="H997">
            <v>0.8</v>
          </cell>
          <cell r="I997">
            <v>0.79999971389770497</v>
          </cell>
          <cell r="J997" t="str">
            <v>Đơn giá dự thảo</v>
          </cell>
        </row>
        <row r="998">
          <cell r="B998" t="str">
            <v>Bachthienhuong02</v>
          </cell>
          <cell r="C998" t="str">
            <v>Bạch thiên hương</v>
          </cell>
          <cell r="D998" t="str">
            <v>đk gốc 2cm</v>
          </cell>
          <cell r="E998">
            <v>0.79999971389770497</v>
          </cell>
          <cell r="F998" t="str">
            <v>m2</v>
          </cell>
          <cell r="G998">
            <v>40000</v>
          </cell>
          <cell r="H998">
            <v>0.8</v>
          </cell>
          <cell r="I998">
            <v>0.79999971389770497</v>
          </cell>
          <cell r="J998" t="str">
            <v>Quy tính diện tích còn lại</v>
          </cell>
        </row>
        <row r="999">
          <cell r="B999" t="str">
            <v>Ngusac</v>
          </cell>
          <cell r="C999" t="str">
            <v>Cây ngũ sắc (thuốc nam)</v>
          </cell>
          <cell r="D999">
            <v>0.79999971389770497</v>
          </cell>
          <cell r="E999">
            <v>0.79999971389770497</v>
          </cell>
          <cell r="F999" t="str">
            <v>m2</v>
          </cell>
          <cell r="G999">
            <v>40000</v>
          </cell>
          <cell r="H999">
            <v>1</v>
          </cell>
          <cell r="I999">
            <v>1</v>
          </cell>
          <cell r="J999" t="str">
            <v>Đơn giá dự thảo</v>
          </cell>
        </row>
        <row r="1000">
          <cell r="B1000" t="str">
            <v>Chùmngây08</v>
          </cell>
          <cell r="C1000" t="str">
            <v>Cây chùm ngây</v>
          </cell>
          <cell r="D1000" t="str">
            <v>đk gốc 8cm</v>
          </cell>
          <cell r="E1000">
            <v>1</v>
          </cell>
          <cell r="F1000" t="str">
            <v>m2</v>
          </cell>
          <cell r="G1000">
            <v>40000</v>
          </cell>
          <cell r="H1000">
            <v>1</v>
          </cell>
          <cell r="I1000">
            <v>1</v>
          </cell>
          <cell r="J1000" t="str">
            <v>Quy tính diện tích còn lại</v>
          </cell>
        </row>
        <row r="1001">
          <cell r="B1001" t="str">
            <v>Chùmngây20+vmd</v>
          </cell>
          <cell r="C1001" t="str">
            <v>Cây chùm ngây vượt mật độ</v>
          </cell>
          <cell r="D1001" t="str">
            <v>đk gốc &gt; 20cm</v>
          </cell>
          <cell r="E1001">
            <v>1</v>
          </cell>
          <cell r="F1001" t="str">
            <v>m2</v>
          </cell>
          <cell r="G1001">
            <v>40000</v>
          </cell>
          <cell r="H1001">
            <v>1</v>
          </cell>
          <cell r="I1001">
            <v>1</v>
          </cell>
          <cell r="J1001" t="str">
            <v>Quy tính diện tích còn lại</v>
          </cell>
        </row>
        <row r="1002">
          <cell r="B1002" t="str">
            <v>Đơn35</v>
          </cell>
          <cell r="C1002" t="str">
            <v>Cây mẫu đơn</v>
          </cell>
          <cell r="D1002" t="str">
            <v>3cm ≤ đk gốc ≤ 5cm</v>
          </cell>
          <cell r="E1002">
            <v>1</v>
          </cell>
          <cell r="F1002" t="str">
            <v>m2</v>
          </cell>
          <cell r="G1002">
            <v>40000</v>
          </cell>
          <cell r="H1002">
            <v>1</v>
          </cell>
          <cell r="I1002">
            <v>1</v>
          </cell>
          <cell r="J1002" t="str">
            <v>Quy tính diện tích còn lại</v>
          </cell>
        </row>
        <row r="1003">
          <cell r="B1003" t="str">
            <v>Đơn02</v>
          </cell>
          <cell r="C1003" t="str">
            <v>Cây mẫu đơn</v>
          </cell>
          <cell r="D1003" t="str">
            <v>đk gốc 2cm</v>
          </cell>
          <cell r="E1003">
            <v>1</v>
          </cell>
          <cell r="F1003" t="str">
            <v>m2</v>
          </cell>
          <cell r="G1003">
            <v>40000</v>
          </cell>
          <cell r="H1003">
            <v>1</v>
          </cell>
          <cell r="I1003">
            <v>1</v>
          </cell>
          <cell r="J1003" t="str">
            <v>Quy tính diện tích còn lại</v>
          </cell>
        </row>
        <row r="1004">
          <cell r="B1004" t="str">
            <v>Đơn02vmd</v>
          </cell>
          <cell r="C1004" t="str">
            <v>Cây mẫu đơn vượt mật độ</v>
          </cell>
          <cell r="D1004" t="str">
            <v>đk gốc 2cm</v>
          </cell>
          <cell r="E1004">
            <v>1</v>
          </cell>
          <cell r="F1004" t="str">
            <v>m2</v>
          </cell>
          <cell r="G1004">
            <v>40000</v>
          </cell>
          <cell r="H1004">
            <v>0.5</v>
          </cell>
          <cell r="I1004">
            <v>0.5</v>
          </cell>
          <cell r="J1004" t="str">
            <v>Quy tính diện tích còn lại</v>
          </cell>
        </row>
        <row r="1005">
          <cell r="B1005" t="str">
            <v>Đơn01</v>
          </cell>
          <cell r="C1005" t="str">
            <v>Cây mẫu đơn</v>
          </cell>
          <cell r="D1005" t="str">
            <v>cây giống</v>
          </cell>
          <cell r="E1005">
            <v>0.5</v>
          </cell>
          <cell r="F1005" t="str">
            <v>m2</v>
          </cell>
          <cell r="G1005">
            <v>40000</v>
          </cell>
          <cell r="H1005">
            <v>1</v>
          </cell>
          <cell r="I1005">
            <v>1</v>
          </cell>
          <cell r="J1005" t="str">
            <v>Đơn giá dự thảo</v>
          </cell>
        </row>
        <row r="1006">
          <cell r="B1006" t="str">
            <v>Nhài01</v>
          </cell>
          <cell r="C1006" t="str">
            <v>Cây nhài</v>
          </cell>
          <cell r="D1006" t="str">
            <v>cây giống</v>
          </cell>
          <cell r="E1006">
            <v>1</v>
          </cell>
          <cell r="F1006" t="str">
            <v>m2</v>
          </cell>
          <cell r="G1006">
            <v>40000</v>
          </cell>
          <cell r="H1006">
            <v>1</v>
          </cell>
          <cell r="I1006">
            <v>1</v>
          </cell>
          <cell r="J1006" t="str">
            <v>Đơn giá dự thảo</v>
          </cell>
        </row>
        <row r="1007">
          <cell r="B1007" t="str">
            <v>Nhài02</v>
          </cell>
          <cell r="C1007" t="str">
            <v>Cây nhài</v>
          </cell>
          <cell r="D1007" t="str">
            <v>đk gốc 2cm</v>
          </cell>
          <cell r="E1007">
            <v>1</v>
          </cell>
          <cell r="F1007" t="str">
            <v>m2</v>
          </cell>
          <cell r="G1007">
            <v>40000</v>
          </cell>
          <cell r="H1007">
            <v>1</v>
          </cell>
          <cell r="I1007">
            <v>1</v>
          </cell>
          <cell r="J1007" t="str">
            <v>Quy tính diện tích còn lại</v>
          </cell>
        </row>
        <row r="1008">
          <cell r="B1008" t="str">
            <v>Dambut</v>
          </cell>
          <cell r="C1008" t="str">
            <v>Dâm bụt</v>
          </cell>
          <cell r="D1008">
            <v>1</v>
          </cell>
          <cell r="E1008">
            <v>1</v>
          </cell>
          <cell r="F1008" t="str">
            <v>m2</v>
          </cell>
          <cell r="G1008">
            <v>40000</v>
          </cell>
          <cell r="H1008">
            <v>1</v>
          </cell>
          <cell r="I1008">
            <v>1</v>
          </cell>
          <cell r="J1008" t="str">
            <v>Đơn giá dự thảo</v>
          </cell>
        </row>
        <row r="1009">
          <cell r="B1009" t="str">
            <v>Dambut25</v>
          </cell>
          <cell r="C1009" t="str">
            <v>Dâm bụt</v>
          </cell>
          <cell r="D1009" t="str">
            <v>2cm ≤ đk gốc ≤ 5cm</v>
          </cell>
          <cell r="E1009">
            <v>1</v>
          </cell>
          <cell r="F1009" t="str">
            <v>m2</v>
          </cell>
          <cell r="G1009">
            <v>40000</v>
          </cell>
          <cell r="H1009">
            <v>1</v>
          </cell>
          <cell r="I1009">
            <v>1</v>
          </cell>
          <cell r="J1009" t="str">
            <v>Quy tính diện tích còn lại</v>
          </cell>
        </row>
        <row r="1010">
          <cell r="B1010" t="str">
            <v>Dambut79</v>
          </cell>
          <cell r="C1010" t="str">
            <v>Dâm bụt</v>
          </cell>
          <cell r="D1010" t="str">
            <v>7cm ≤ đk gốc ≤ 9cm</v>
          </cell>
          <cell r="E1010">
            <v>1</v>
          </cell>
          <cell r="F1010" t="str">
            <v>m2</v>
          </cell>
          <cell r="G1010">
            <v>40000</v>
          </cell>
          <cell r="H1010">
            <v>1</v>
          </cell>
          <cell r="I1010">
            <v>1</v>
          </cell>
          <cell r="J1010" t="str">
            <v>Quy tính diện tích còn lại</v>
          </cell>
        </row>
        <row r="1011">
          <cell r="B1011" t="str">
            <v>Dambut25#</v>
          </cell>
          <cell r="C1011" t="str">
            <v>Dâm bụt trồng trên đất GTTL</v>
          </cell>
          <cell r="D1011" t="str">
            <v>2cm ≤ đk gốc ≤ 5cm</v>
          </cell>
          <cell r="E1011">
            <v>1</v>
          </cell>
          <cell r="F1011" t="str">
            <v>m2</v>
          </cell>
          <cell r="G1011">
            <v>40000</v>
          </cell>
          <cell r="H1011">
            <v>1</v>
          </cell>
          <cell r="I1011">
            <v>1</v>
          </cell>
          <cell r="J1011" t="str">
            <v>Quy tính diện tích còn lại</v>
          </cell>
        </row>
        <row r="1012">
          <cell r="B1012" t="str">
            <v>Thuocduoc01</v>
          </cell>
          <cell r="C1012" t="str">
            <v>Thược dược</v>
          </cell>
          <cell r="D1012">
            <v>1</v>
          </cell>
          <cell r="E1012">
            <v>1</v>
          </cell>
          <cell r="F1012" t="str">
            <v>m2</v>
          </cell>
          <cell r="G1012">
            <v>40000</v>
          </cell>
          <cell r="H1012">
            <v>1</v>
          </cell>
          <cell r="I1012">
            <v>1</v>
          </cell>
        </row>
        <row r="1013">
          <cell r="B1013" t="str">
            <v>Bách712</v>
          </cell>
          <cell r="C1013" t="str">
            <v>Bách tán</v>
          </cell>
          <cell r="D1013" t="str">
            <v>7cm ≤ đk gốc &lt; 12cm</v>
          </cell>
          <cell r="E1013">
            <v>1</v>
          </cell>
          <cell r="F1013" t="str">
            <v>cây</v>
          </cell>
          <cell r="G1013">
            <v>120000</v>
          </cell>
          <cell r="H1013">
            <v>1</v>
          </cell>
          <cell r="I1013">
            <v>1</v>
          </cell>
        </row>
        <row r="1014">
          <cell r="B1014" t="str">
            <v>Ngugiabi5-</v>
          </cell>
          <cell r="C1014" t="str">
            <v>Ngũ gia bì</v>
          </cell>
          <cell r="D1014" t="str">
            <v>đk gốc &lt; 5cm</v>
          </cell>
          <cell r="E1014">
            <v>1</v>
          </cell>
          <cell r="F1014" t="str">
            <v>m2</v>
          </cell>
          <cell r="G1014">
            <v>40000</v>
          </cell>
          <cell r="H1014">
            <v>1</v>
          </cell>
          <cell r="I1014">
            <v>1</v>
          </cell>
          <cell r="J1014" t="str">
            <v>Quy tính diện tích còn lại</v>
          </cell>
        </row>
        <row r="1015">
          <cell r="B1015" t="str">
            <v>Ngugiabi57</v>
          </cell>
          <cell r="C1015" t="str">
            <v>Ngũ gia bì</v>
          </cell>
          <cell r="D1015" t="str">
            <v>5cm ≤ đk gốc &lt; 7cm</v>
          </cell>
          <cell r="E1015">
            <v>1</v>
          </cell>
          <cell r="F1015" t="str">
            <v>m2</v>
          </cell>
          <cell r="G1015">
            <v>40000</v>
          </cell>
          <cell r="H1015">
            <v>1</v>
          </cell>
          <cell r="I1015">
            <v>1</v>
          </cell>
          <cell r="J1015" t="str">
            <v>Quy tính diện tích còn lại</v>
          </cell>
        </row>
        <row r="1016">
          <cell r="B1016" t="str">
            <v>Ngugiabi57#</v>
          </cell>
          <cell r="C1016" t="str">
            <v>Ngũ gia bì trồng trên đất GTTL</v>
          </cell>
          <cell r="D1016" t="str">
            <v>5cm ≤ đk gốc &lt; 7cm</v>
          </cell>
          <cell r="E1016">
            <v>1</v>
          </cell>
          <cell r="F1016" t="str">
            <v>cây</v>
          </cell>
          <cell r="G1016">
            <v>1</v>
          </cell>
          <cell r="H1016">
            <v>0.3</v>
          </cell>
          <cell r="I1016">
            <v>0.29999995231628401</v>
          </cell>
        </row>
        <row r="1017">
          <cell r="B1017" t="str">
            <v>Ngugiabi712</v>
          </cell>
          <cell r="C1017" t="str">
            <v>Ngũ gia bì</v>
          </cell>
          <cell r="D1017" t="str">
            <v>7cm ≤ đk gốc &lt; 12cm</v>
          </cell>
          <cell r="E1017">
            <v>0.29999995231628401</v>
          </cell>
          <cell r="F1017" t="str">
            <v>m2</v>
          </cell>
          <cell r="G1017">
            <v>40000</v>
          </cell>
          <cell r="H1017">
            <v>1</v>
          </cell>
          <cell r="I1017">
            <v>1</v>
          </cell>
          <cell r="J1017" t="str">
            <v>Quy tính diện tích còn lại</v>
          </cell>
        </row>
        <row r="1018">
          <cell r="B1018" t="str">
            <v>Dongrieng</v>
          </cell>
          <cell r="C1018" t="str">
            <v>Dong riềng</v>
          </cell>
          <cell r="D1018">
            <v>1</v>
          </cell>
          <cell r="E1018">
            <v>1</v>
          </cell>
          <cell r="F1018" t="str">
            <v>m2</v>
          </cell>
          <cell r="G1018">
            <v>40000</v>
          </cell>
          <cell r="H1018">
            <v>1</v>
          </cell>
          <cell r="I1018">
            <v>1</v>
          </cell>
          <cell r="J1018" t="str">
            <v>Quy tính diện tích còn lại</v>
          </cell>
        </row>
        <row r="1019">
          <cell r="B1019" t="str">
            <v>Huyetdu01</v>
          </cell>
          <cell r="C1019" t="str">
            <v>Huyết dụ</v>
          </cell>
          <cell r="D1019">
            <v>1</v>
          </cell>
          <cell r="E1019">
            <v>1</v>
          </cell>
          <cell r="F1019" t="str">
            <v>m2</v>
          </cell>
          <cell r="G1019">
            <v>40000</v>
          </cell>
          <cell r="H1019">
            <v>1</v>
          </cell>
          <cell r="I1019">
            <v>1</v>
          </cell>
        </row>
        <row r="1020">
          <cell r="B1020" t="str">
            <v>Huyetdu02</v>
          </cell>
          <cell r="C1020" t="str">
            <v>Huyết dụ</v>
          </cell>
          <cell r="D1020" t="str">
            <v>đk gốc 2cm</v>
          </cell>
          <cell r="E1020">
            <v>1</v>
          </cell>
          <cell r="F1020" t="str">
            <v>m2</v>
          </cell>
          <cell r="G1020">
            <v>40000</v>
          </cell>
          <cell r="H1020">
            <v>1</v>
          </cell>
          <cell r="I1020">
            <v>1</v>
          </cell>
          <cell r="J1020" t="str">
            <v>Quy tính diện tích còn lại</v>
          </cell>
        </row>
        <row r="1021">
          <cell r="B1021" t="str">
            <v>Kimgiao15</v>
          </cell>
          <cell r="C1021" t="str">
            <v>Kim giao</v>
          </cell>
          <cell r="D1021" t="str">
            <v>đk gốc 15cm</v>
          </cell>
          <cell r="E1021">
            <v>1</v>
          </cell>
          <cell r="F1021" t="str">
            <v>m2</v>
          </cell>
          <cell r="G1021">
            <v>40000</v>
          </cell>
          <cell r="H1021">
            <v>1</v>
          </cell>
          <cell r="I1021">
            <v>1</v>
          </cell>
          <cell r="J1021" t="str">
            <v>Quy tính diện tích còn lại</v>
          </cell>
        </row>
        <row r="1022">
          <cell r="B1022" t="str">
            <v>Kimgiao10</v>
          </cell>
          <cell r="C1022" t="str">
            <v>Kim giao</v>
          </cell>
          <cell r="D1022" t="str">
            <v>đk gốc 10cm</v>
          </cell>
          <cell r="E1022">
            <v>1</v>
          </cell>
          <cell r="F1022" t="str">
            <v>m2</v>
          </cell>
          <cell r="G1022">
            <v>40000</v>
          </cell>
          <cell r="H1022">
            <v>1</v>
          </cell>
          <cell r="I1022">
            <v>1</v>
          </cell>
          <cell r="J1022" t="str">
            <v>Quy tính diện tích còn lại</v>
          </cell>
        </row>
        <row r="1023">
          <cell r="B1023" t="str">
            <v>Longnao712</v>
          </cell>
          <cell r="C1023" t="str">
            <v>Long não</v>
          </cell>
          <cell r="D1023" t="str">
            <v>7cm ≤ đk gốc &lt; 12cm</v>
          </cell>
          <cell r="E1023">
            <v>5</v>
          </cell>
          <cell r="F1023" t="str">
            <v>cây</v>
          </cell>
          <cell r="G1023">
            <v>120000</v>
          </cell>
          <cell r="H1023">
            <v>1</v>
          </cell>
          <cell r="I1023">
            <v>1</v>
          </cell>
          <cell r="J1023" t="str">
            <v>Áp giá cây Dạ hương</v>
          </cell>
        </row>
        <row r="1024">
          <cell r="B1024" t="str">
            <v>Daotruc712</v>
          </cell>
          <cell r="C1024" t="str">
            <v>Đào trúc</v>
          </cell>
          <cell r="D1024" t="str">
            <v>7cm ≤ đk gốc &lt; 12cm</v>
          </cell>
          <cell r="E1024">
            <v>1</v>
          </cell>
          <cell r="F1024" t="str">
            <v>m2</v>
          </cell>
          <cell r="G1024">
            <v>40000</v>
          </cell>
          <cell r="H1024">
            <v>1</v>
          </cell>
          <cell r="I1024">
            <v>1</v>
          </cell>
          <cell r="J1024" t="str">
            <v>Quy tính diện tích còn lại</v>
          </cell>
        </row>
        <row r="1025">
          <cell r="B1025" t="str">
            <v>Trangnguyen</v>
          </cell>
          <cell r="C1025" t="str">
            <v>Cây trạng nguyên</v>
          </cell>
          <cell r="D1025">
            <v>1</v>
          </cell>
          <cell r="E1025">
            <v>1</v>
          </cell>
          <cell r="F1025" t="str">
            <v>m2</v>
          </cell>
          <cell r="G1025">
            <v>40000</v>
          </cell>
          <cell r="H1025">
            <v>1</v>
          </cell>
          <cell r="I1025">
            <v>1</v>
          </cell>
          <cell r="J1025" t="str">
            <v>Quy tính diện tích còn lại</v>
          </cell>
        </row>
        <row r="1026">
          <cell r="B1026" t="str">
            <v>Trangnguyen01</v>
          </cell>
          <cell r="C1026" t="str">
            <v>Cây trạng nguyên</v>
          </cell>
          <cell r="D1026" t="str">
            <v>đk gốc 1cm</v>
          </cell>
          <cell r="E1026">
            <v>1</v>
          </cell>
          <cell r="F1026" t="str">
            <v>m2</v>
          </cell>
          <cell r="G1026">
            <v>40000</v>
          </cell>
          <cell r="H1026">
            <v>1</v>
          </cell>
          <cell r="I1026">
            <v>1</v>
          </cell>
          <cell r="J1026" t="str">
            <v>Quy tính diện tích còn lại</v>
          </cell>
        </row>
        <row r="1027">
          <cell r="B1027" t="str">
            <v>Chala20</v>
          </cell>
          <cell r="C1027" t="str">
            <v>Cây chà là</v>
          </cell>
          <cell r="D1027" t="str">
            <v>đk gốc 20cm</v>
          </cell>
          <cell r="E1027">
            <v>1</v>
          </cell>
          <cell r="F1027" t="str">
            <v>m2</v>
          </cell>
          <cell r="G1027">
            <v>40000</v>
          </cell>
          <cell r="H1027">
            <v>1</v>
          </cell>
          <cell r="I1027">
            <v>1</v>
          </cell>
          <cell r="J1027" t="str">
            <v>Quy tính diện tích còn lại</v>
          </cell>
        </row>
        <row r="1028">
          <cell r="B1028" t="str">
            <v>Bachduong01</v>
          </cell>
          <cell r="C1028" t="str">
            <v>Bạch dương</v>
          </cell>
          <cell r="D1028">
            <v>1</v>
          </cell>
          <cell r="E1028">
            <v>1</v>
          </cell>
          <cell r="F1028" t="str">
            <v>m2</v>
          </cell>
          <cell r="G1028">
            <v>40000</v>
          </cell>
          <cell r="H1028">
            <v>1</v>
          </cell>
          <cell r="I1028">
            <v>1</v>
          </cell>
        </row>
        <row r="1029">
          <cell r="B1029" t="str">
            <v>Thietmoclan25</v>
          </cell>
          <cell r="C1029" t="str">
            <v>Thiết mộc lan</v>
          </cell>
          <cell r="D1029" t="str">
            <v>2cm ≤ đk gốc ≤ 5cm</v>
          </cell>
          <cell r="E1029">
            <v>1</v>
          </cell>
          <cell r="F1029" t="str">
            <v>m2</v>
          </cell>
          <cell r="G1029">
            <v>40000</v>
          </cell>
          <cell r="H1029">
            <v>1</v>
          </cell>
          <cell r="I1029">
            <v>1</v>
          </cell>
          <cell r="J1029" t="str">
            <v>Quy tính diện tích còn lại</v>
          </cell>
        </row>
        <row r="1030">
          <cell r="B1030" t="str">
            <v>Trà02mt</v>
          </cell>
          <cell r="C1030" t="str">
            <v>Cây trà mới trồng</v>
          </cell>
          <cell r="D1030" t="str">
            <v>đk gốc 2cm</v>
          </cell>
          <cell r="E1030">
            <v>1</v>
          </cell>
          <cell r="F1030" t="str">
            <v>m2</v>
          </cell>
          <cell r="G1030">
            <v>1</v>
          </cell>
          <cell r="H1030">
            <v>1</v>
          </cell>
          <cell r="I1030">
            <v>1</v>
          </cell>
          <cell r="J1030" t="str">
            <v>Quy tính diện tích còn lại</v>
          </cell>
        </row>
        <row r="1031">
          <cell r="B1031" t="str">
            <v>HRN</v>
          </cell>
          <cell r="C1031" t="str">
            <v>Hàng rào nứa</v>
          </cell>
          <cell r="D1031">
            <v>1</v>
          </cell>
          <cell r="E1031">
            <v>1</v>
          </cell>
          <cell r="F1031" t="str">
            <v>m2</v>
          </cell>
          <cell r="G1031">
            <v>3000</v>
          </cell>
          <cell r="H1031">
            <v>1</v>
          </cell>
          <cell r="I1031">
            <v>1</v>
          </cell>
        </row>
        <row r="1032">
          <cell r="B1032" t="str">
            <v>MN.NTTS</v>
          </cell>
          <cell r="C1032" t="str">
            <v>Mặt nước nuôi trồng thủy sản</v>
          </cell>
          <cell r="D1032">
            <v>1</v>
          </cell>
          <cell r="E1032">
            <v>1</v>
          </cell>
          <cell r="F1032" t="str">
            <v>m2</v>
          </cell>
          <cell r="G1032">
            <v>10000</v>
          </cell>
          <cell r="H1032">
            <v>1</v>
          </cell>
          <cell r="I1032">
            <v>1</v>
          </cell>
        </row>
        <row r="1033">
          <cell r="B1033">
            <v>1</v>
          </cell>
          <cell r="C1033" t="str">
            <v>Cây trồng bịch</v>
          </cell>
          <cell r="D1033">
            <v>1</v>
          </cell>
          <cell r="E1033">
            <v>1</v>
          </cell>
          <cell r="F1033">
            <v>1</v>
          </cell>
          <cell r="G1033">
            <v>1</v>
          </cell>
          <cell r="H1033">
            <v>1</v>
          </cell>
          <cell r="I1033">
            <v>1</v>
          </cell>
        </row>
        <row r="1034">
          <cell r="B1034" t="str">
            <v>Cuc.B20</v>
          </cell>
          <cell r="C1034" t="str">
            <v>Hoa cúc</v>
          </cell>
          <cell r="D1034" t="str">
            <v>Bịch đk 20cm</v>
          </cell>
          <cell r="E1034">
            <v>1</v>
          </cell>
          <cell r="F1034" t="str">
            <v>bịch</v>
          </cell>
          <cell r="G1034">
            <v>40000</v>
          </cell>
          <cell r="H1034">
            <v>1</v>
          </cell>
          <cell r="I1034">
            <v>1</v>
          </cell>
          <cell r="J1034" t="str">
            <v>Quy tính diện tích còn lại</v>
          </cell>
        </row>
        <row r="1035">
          <cell r="B1035" t="str">
            <v>Thuocduoc.B15</v>
          </cell>
          <cell r="C1035" t="str">
            <v>Thược dược</v>
          </cell>
          <cell r="D1035" t="str">
            <v>Bịch đk 15cm</v>
          </cell>
          <cell r="E1035">
            <v>1</v>
          </cell>
          <cell r="F1035" t="str">
            <v>bịch</v>
          </cell>
          <cell r="G1035">
            <v>40000</v>
          </cell>
          <cell r="H1035">
            <v>1</v>
          </cell>
          <cell r="I1035">
            <v>1</v>
          </cell>
          <cell r="J1035" t="str">
            <v>Quy tính diện tích còn lại</v>
          </cell>
        </row>
        <row r="1036">
          <cell r="B1036">
            <v>1</v>
          </cell>
          <cell r="C1036" t="str">
            <v>Cây trồng trên chậu</v>
          </cell>
          <cell r="D1036">
            <v>1</v>
          </cell>
          <cell r="E1036">
            <v>1</v>
          </cell>
          <cell r="F1036">
            <v>1</v>
          </cell>
          <cell r="G1036">
            <v>1</v>
          </cell>
          <cell r="H1036">
            <v>1</v>
          </cell>
          <cell r="I1036">
            <v>1</v>
          </cell>
        </row>
        <row r="1037">
          <cell r="B1037" t="str">
            <v>Hoahong.C30</v>
          </cell>
          <cell r="C1037" t="str">
            <v>Hoa hồng trồng trên chậu</v>
          </cell>
          <cell r="D1037" t="str">
            <v>Chậu đk 30cm</v>
          </cell>
          <cell r="E1037">
            <v>1</v>
          </cell>
          <cell r="F1037" t="str">
            <v>Chậu</v>
          </cell>
          <cell r="G1037">
            <v>40000</v>
          </cell>
          <cell r="H1037">
            <v>1</v>
          </cell>
          <cell r="I1037">
            <v>1</v>
          </cell>
          <cell r="J1037" t="str">
            <v>Quy tính diện tích còn lại</v>
          </cell>
        </row>
        <row r="1038">
          <cell r="B1038" t="str">
            <v>Hoahong.C25</v>
          </cell>
          <cell r="C1038" t="str">
            <v>Hoa hồng trồng trên chậu</v>
          </cell>
          <cell r="D1038" t="str">
            <v>Chậu đk 25cm</v>
          </cell>
          <cell r="E1038">
            <v>1</v>
          </cell>
          <cell r="F1038" t="str">
            <v>Chậu</v>
          </cell>
          <cell r="G1038">
            <v>40000</v>
          </cell>
          <cell r="H1038">
            <v>1</v>
          </cell>
          <cell r="I1038">
            <v>1</v>
          </cell>
          <cell r="J1038" t="str">
            <v>Quy tính diện tích còn lại</v>
          </cell>
        </row>
        <row r="1039">
          <cell r="B1039" t="str">
            <v>Hoahong.C20</v>
          </cell>
          <cell r="C1039" t="str">
            <v>Hoa hồng trồng trên chậu</v>
          </cell>
          <cell r="D1039" t="str">
            <v>Chậu đk 20cm</v>
          </cell>
          <cell r="E1039">
            <v>1</v>
          </cell>
          <cell r="F1039" t="str">
            <v>Chậu</v>
          </cell>
          <cell r="G1039">
            <v>40000</v>
          </cell>
          <cell r="H1039">
            <v>1</v>
          </cell>
          <cell r="I1039">
            <v>1</v>
          </cell>
          <cell r="J1039" t="str">
            <v>Quy tính diện tích còn lại</v>
          </cell>
        </row>
        <row r="1040">
          <cell r="B1040" t="str">
            <v>Hoahồngvmd</v>
          </cell>
          <cell r="C1040" t="str">
            <v>Hoa hồng vượt mật độ</v>
          </cell>
          <cell r="D1040">
            <v>1</v>
          </cell>
          <cell r="E1040">
            <v>1</v>
          </cell>
          <cell r="F1040" t="str">
            <v>m2</v>
          </cell>
          <cell r="G1040">
            <v>40000</v>
          </cell>
          <cell r="H1040">
            <v>0.5</v>
          </cell>
          <cell r="I1040">
            <v>0.5</v>
          </cell>
          <cell r="J1040" t="str">
            <v>Quy tính diện tích còn lại</v>
          </cell>
        </row>
        <row r="1041">
          <cell r="B1041" t="str">
            <v>Hoagiay.C50</v>
          </cell>
          <cell r="C1041" t="str">
            <v>Hoa giấy trồng trên chậu</v>
          </cell>
          <cell r="D1041" t="str">
            <v>Chậu đk 50cm</v>
          </cell>
          <cell r="E1041">
            <v>0.5</v>
          </cell>
          <cell r="F1041" t="str">
            <v>Chậu</v>
          </cell>
          <cell r="G1041">
            <v>40000</v>
          </cell>
          <cell r="H1041">
            <v>1</v>
          </cell>
          <cell r="I1041">
            <v>1</v>
          </cell>
          <cell r="J1041" t="str">
            <v>Quy tính diện tích còn lại</v>
          </cell>
        </row>
        <row r="1042">
          <cell r="B1042" t="str">
            <v>Hoagiay.C30</v>
          </cell>
          <cell r="C1042" t="str">
            <v>Hoa giấy trồng trên chậu</v>
          </cell>
          <cell r="D1042" t="str">
            <v>Chậu đk 30cm</v>
          </cell>
          <cell r="E1042">
            <v>1</v>
          </cell>
          <cell r="F1042" t="str">
            <v>Chậu</v>
          </cell>
          <cell r="G1042">
            <v>40000</v>
          </cell>
          <cell r="H1042">
            <v>1</v>
          </cell>
          <cell r="I1042">
            <v>1</v>
          </cell>
          <cell r="J1042" t="str">
            <v>Quy tính diện tích còn lại</v>
          </cell>
        </row>
        <row r="1043">
          <cell r="B1043" t="str">
            <v>Hoagiay.C20</v>
          </cell>
          <cell r="C1043" t="str">
            <v>Hoa giấy trồng trên chậu</v>
          </cell>
          <cell r="D1043" t="str">
            <v>Chậu đk 20cm</v>
          </cell>
          <cell r="E1043">
            <v>1</v>
          </cell>
          <cell r="F1043" t="str">
            <v>Chậu</v>
          </cell>
          <cell r="G1043">
            <v>40000</v>
          </cell>
          <cell r="H1043">
            <v>1</v>
          </cell>
          <cell r="I1043">
            <v>1</v>
          </cell>
          <cell r="J1043" t="str">
            <v>Quy tính diện tích còn lại</v>
          </cell>
        </row>
        <row r="1044">
          <cell r="B1044" t="str">
            <v>Đơn.C30</v>
          </cell>
          <cell r="C1044" t="str">
            <v>Mẫu đơn trồng trên chậu</v>
          </cell>
          <cell r="D1044" t="str">
            <v>Chậu đk 30cm</v>
          </cell>
          <cell r="E1044">
            <v>1</v>
          </cell>
          <cell r="F1044" t="str">
            <v>Chậu</v>
          </cell>
          <cell r="G1044">
            <v>40000</v>
          </cell>
          <cell r="H1044">
            <v>1</v>
          </cell>
          <cell r="I1044">
            <v>1</v>
          </cell>
          <cell r="J1044" t="str">
            <v>Quy tính diện tích còn lại</v>
          </cell>
        </row>
        <row r="1045">
          <cell r="B1045" t="str">
            <v>Thuocduoc.C20</v>
          </cell>
          <cell r="C1045" t="str">
            <v>Thược dược trồng trên chậu</v>
          </cell>
          <cell r="D1045" t="str">
            <v>Chậu đk 20cm</v>
          </cell>
          <cell r="E1045">
            <v>1</v>
          </cell>
          <cell r="F1045" t="str">
            <v>Chậu</v>
          </cell>
          <cell r="G1045">
            <v>40000</v>
          </cell>
          <cell r="H1045">
            <v>1</v>
          </cell>
          <cell r="I1045">
            <v>1</v>
          </cell>
          <cell r="J1045" t="str">
            <v>Quy tính diện tích còn lại</v>
          </cell>
        </row>
        <row r="1046">
          <cell r="B1046" t="str">
            <v>Nhai.C50</v>
          </cell>
          <cell r="C1046" t="str">
            <v>Nhài trồng trên chậu</v>
          </cell>
          <cell r="D1046" t="str">
            <v>Chậu đk 50cm</v>
          </cell>
          <cell r="E1046">
            <v>1</v>
          </cell>
          <cell r="F1046" t="str">
            <v>Chậu</v>
          </cell>
          <cell r="G1046">
            <v>40000</v>
          </cell>
          <cell r="H1046">
            <v>1</v>
          </cell>
          <cell r="I1046">
            <v>1</v>
          </cell>
          <cell r="J1046" t="str">
            <v>Quy tính diện tích còn lại</v>
          </cell>
        </row>
        <row r="1047">
          <cell r="B1047" t="str">
            <v>Moc.C50</v>
          </cell>
          <cell r="C1047" t="str">
            <v>Mộc trồng trên chậu</v>
          </cell>
          <cell r="D1047" t="str">
            <v>Chậu đk 50cm</v>
          </cell>
          <cell r="E1047">
            <v>1</v>
          </cell>
          <cell r="F1047" t="str">
            <v>Chậu</v>
          </cell>
          <cell r="G1047">
            <v>40000</v>
          </cell>
          <cell r="H1047">
            <v>1</v>
          </cell>
          <cell r="I1047">
            <v>1</v>
          </cell>
          <cell r="J1047" t="str">
            <v>Quy tính diện tích còn lại</v>
          </cell>
        </row>
        <row r="1048">
          <cell r="B1048" t="str">
            <v>Trauba.C20</v>
          </cell>
          <cell r="C1048" t="str">
            <v>Trầu bà trồng trên chậu</v>
          </cell>
          <cell r="D1048" t="str">
            <v>Chậu đk 20cm</v>
          </cell>
          <cell r="E1048">
            <v>1</v>
          </cell>
          <cell r="F1048" t="str">
            <v>Chậu</v>
          </cell>
          <cell r="G1048">
            <v>40000</v>
          </cell>
          <cell r="H1048">
            <v>1</v>
          </cell>
          <cell r="I1048">
            <v>1</v>
          </cell>
          <cell r="J1048" t="str">
            <v>Quy tính diện tích còn lại</v>
          </cell>
        </row>
        <row r="1049">
          <cell r="C1049">
            <v>1</v>
          </cell>
          <cell r="D1049">
            <v>1</v>
          </cell>
          <cell r="E1049">
            <v>1</v>
          </cell>
          <cell r="F1049">
            <v>1</v>
          </cell>
          <cell r="G1049">
            <v>1</v>
          </cell>
          <cell r="H1049">
            <v>1</v>
          </cell>
          <cell r="I1049">
            <v>1</v>
          </cell>
        </row>
        <row r="1050">
          <cell r="C1050">
            <v>1</v>
          </cell>
          <cell r="D1050">
            <v>1</v>
          </cell>
          <cell r="E1050">
            <v>1</v>
          </cell>
          <cell r="F1050">
            <v>1</v>
          </cell>
          <cell r="G1050">
            <v>1</v>
          </cell>
          <cell r="H1050">
            <v>1</v>
          </cell>
          <cell r="I1050">
            <v>1</v>
          </cell>
        </row>
        <row r="1051">
          <cell r="C1051">
            <v>1</v>
          </cell>
          <cell r="D1051">
            <v>1</v>
          </cell>
          <cell r="E1051">
            <v>1</v>
          </cell>
          <cell r="F1051">
            <v>1</v>
          </cell>
          <cell r="G1051">
            <v>1</v>
          </cell>
          <cell r="H1051">
            <v>1</v>
          </cell>
          <cell r="I1051">
            <v>1</v>
          </cell>
        </row>
        <row r="1052">
          <cell r="C1052">
            <v>1</v>
          </cell>
          <cell r="D1052">
            <v>1</v>
          </cell>
          <cell r="E1052">
            <v>1</v>
          </cell>
          <cell r="F1052">
            <v>1</v>
          </cell>
          <cell r="G1052">
            <v>1</v>
          </cell>
          <cell r="H1052">
            <v>1</v>
          </cell>
          <cell r="I1052">
            <v>1</v>
          </cell>
        </row>
        <row r="1053">
          <cell r="C1053">
            <v>1</v>
          </cell>
          <cell r="D1053">
            <v>1</v>
          </cell>
          <cell r="E1053">
            <v>1</v>
          </cell>
          <cell r="F1053">
            <v>1</v>
          </cell>
          <cell r="G1053">
            <v>1</v>
          </cell>
          <cell r="H1053">
            <v>1</v>
          </cell>
          <cell r="I1053">
            <v>1</v>
          </cell>
        </row>
        <row r="1054">
          <cell r="C1054">
            <v>1</v>
          </cell>
          <cell r="D1054">
            <v>1</v>
          </cell>
          <cell r="E1054">
            <v>1</v>
          </cell>
          <cell r="F1054">
            <v>1</v>
          </cell>
          <cell r="G1054">
            <v>1</v>
          </cell>
          <cell r="H1054">
            <v>1</v>
          </cell>
          <cell r="I1054">
            <v>1</v>
          </cell>
        </row>
        <row r="1055">
          <cell r="C1055">
            <v>1</v>
          </cell>
          <cell r="D1055">
            <v>1</v>
          </cell>
          <cell r="E1055">
            <v>1</v>
          </cell>
          <cell r="F1055">
            <v>1</v>
          </cell>
          <cell r="G1055">
            <v>1</v>
          </cell>
          <cell r="H1055">
            <v>1</v>
          </cell>
          <cell r="I1055">
            <v>1</v>
          </cell>
        </row>
        <row r="1056">
          <cell r="C1056">
            <v>1</v>
          </cell>
          <cell r="D1056">
            <v>1</v>
          </cell>
          <cell r="E1056">
            <v>1</v>
          </cell>
          <cell r="F1056">
            <v>1</v>
          </cell>
          <cell r="G1056">
            <v>1</v>
          </cell>
          <cell r="H1056">
            <v>1</v>
          </cell>
          <cell r="I1056">
            <v>1</v>
          </cell>
        </row>
        <row r="1057">
          <cell r="C1057">
            <v>1</v>
          </cell>
          <cell r="D1057">
            <v>1</v>
          </cell>
          <cell r="E1057">
            <v>1</v>
          </cell>
          <cell r="F1057">
            <v>1</v>
          </cell>
          <cell r="G1057">
            <v>1</v>
          </cell>
          <cell r="H1057">
            <v>1</v>
          </cell>
          <cell r="I1057">
            <v>1</v>
          </cell>
        </row>
        <row r="1058">
          <cell r="C1058">
            <v>1</v>
          </cell>
          <cell r="D1058">
            <v>1</v>
          </cell>
          <cell r="E1058">
            <v>1</v>
          </cell>
          <cell r="F1058">
            <v>1</v>
          </cell>
          <cell r="G1058">
            <v>1</v>
          </cell>
          <cell r="H1058">
            <v>1</v>
          </cell>
          <cell r="I1058">
            <v>1</v>
          </cell>
        </row>
        <row r="1059">
          <cell r="C1059">
            <v>1</v>
          </cell>
          <cell r="D1059">
            <v>1</v>
          </cell>
          <cell r="E1059">
            <v>1</v>
          </cell>
          <cell r="F1059">
            <v>1</v>
          </cell>
          <cell r="G1059">
            <v>1</v>
          </cell>
          <cell r="H1059">
            <v>1</v>
          </cell>
          <cell r="I1059">
            <v>1</v>
          </cell>
        </row>
        <row r="1060">
          <cell r="C1060">
            <v>1</v>
          </cell>
          <cell r="D1060">
            <v>1</v>
          </cell>
          <cell r="E1060">
            <v>1</v>
          </cell>
          <cell r="F1060">
            <v>1</v>
          </cell>
          <cell r="G1060">
            <v>1</v>
          </cell>
          <cell r="H1060">
            <v>1</v>
          </cell>
          <cell r="I1060">
            <v>1</v>
          </cell>
        </row>
        <row r="1061">
          <cell r="C1061">
            <v>1</v>
          </cell>
          <cell r="D1061">
            <v>1</v>
          </cell>
          <cell r="E1061">
            <v>1</v>
          </cell>
          <cell r="F1061">
            <v>1</v>
          </cell>
          <cell r="G1061">
            <v>1</v>
          </cell>
          <cell r="H1061">
            <v>1</v>
          </cell>
          <cell r="I1061">
            <v>1</v>
          </cell>
        </row>
        <row r="1062">
          <cell r="C1062">
            <v>1</v>
          </cell>
          <cell r="D1062">
            <v>1</v>
          </cell>
          <cell r="E1062">
            <v>1</v>
          </cell>
          <cell r="F1062">
            <v>1</v>
          </cell>
          <cell r="G1062">
            <v>1</v>
          </cell>
          <cell r="H1062">
            <v>1</v>
          </cell>
          <cell r="I1062">
            <v>1</v>
          </cell>
        </row>
        <row r="1063">
          <cell r="C1063">
            <v>1</v>
          </cell>
          <cell r="D1063">
            <v>1</v>
          </cell>
          <cell r="E1063">
            <v>1</v>
          </cell>
          <cell r="F1063">
            <v>1</v>
          </cell>
          <cell r="G1063">
            <v>1</v>
          </cell>
          <cell r="H1063">
            <v>1</v>
          </cell>
          <cell r="I1063">
            <v>1</v>
          </cell>
        </row>
        <row r="1064">
          <cell r="C1064">
            <v>1</v>
          </cell>
          <cell r="D1064">
            <v>1</v>
          </cell>
          <cell r="E1064">
            <v>1</v>
          </cell>
          <cell r="F1064">
            <v>1</v>
          </cell>
          <cell r="G1064">
            <v>1</v>
          </cell>
          <cell r="H1064">
            <v>1</v>
          </cell>
          <cell r="I1064">
            <v>1</v>
          </cell>
        </row>
        <row r="1065">
          <cell r="C1065">
            <v>1</v>
          </cell>
          <cell r="D1065">
            <v>1</v>
          </cell>
          <cell r="E1065">
            <v>1</v>
          </cell>
          <cell r="F1065">
            <v>1</v>
          </cell>
          <cell r="G1065">
            <v>1</v>
          </cell>
          <cell r="H1065">
            <v>1</v>
          </cell>
          <cell r="I1065">
            <v>1</v>
          </cell>
        </row>
        <row r="1066">
          <cell r="C1066">
            <v>1</v>
          </cell>
          <cell r="D1066">
            <v>1</v>
          </cell>
          <cell r="E1066">
            <v>1</v>
          </cell>
          <cell r="F1066">
            <v>1</v>
          </cell>
          <cell r="G1066">
            <v>1</v>
          </cell>
          <cell r="H1066">
            <v>1</v>
          </cell>
          <cell r="I1066">
            <v>1</v>
          </cell>
        </row>
        <row r="1067">
          <cell r="C1067">
            <v>1</v>
          </cell>
          <cell r="D1067">
            <v>1</v>
          </cell>
          <cell r="E1067">
            <v>1</v>
          </cell>
          <cell r="F1067">
            <v>1</v>
          </cell>
          <cell r="G1067">
            <v>1</v>
          </cell>
          <cell r="H1067">
            <v>1</v>
          </cell>
          <cell r="I1067">
            <v>1</v>
          </cell>
        </row>
        <row r="1068">
          <cell r="C1068">
            <v>1</v>
          </cell>
          <cell r="D1068">
            <v>1</v>
          </cell>
          <cell r="E1068">
            <v>1</v>
          </cell>
          <cell r="F1068">
            <v>1</v>
          </cell>
          <cell r="G1068">
            <v>1</v>
          </cell>
          <cell r="H1068">
            <v>1</v>
          </cell>
          <cell r="I1068">
            <v>1</v>
          </cell>
        </row>
        <row r="1069">
          <cell r="C1069">
            <v>1</v>
          </cell>
          <cell r="D1069">
            <v>1</v>
          </cell>
          <cell r="E1069">
            <v>1</v>
          </cell>
          <cell r="F1069">
            <v>1</v>
          </cell>
          <cell r="G1069">
            <v>1</v>
          </cell>
          <cell r="H1069">
            <v>1</v>
          </cell>
          <cell r="I1069">
            <v>1</v>
          </cell>
        </row>
        <row r="1070">
          <cell r="C1070">
            <v>1</v>
          </cell>
          <cell r="D1070">
            <v>1</v>
          </cell>
          <cell r="E1070">
            <v>1</v>
          </cell>
          <cell r="F1070">
            <v>1</v>
          </cell>
          <cell r="G1070">
            <v>1</v>
          </cell>
          <cell r="H1070">
            <v>1</v>
          </cell>
          <cell r="I1070">
            <v>1</v>
          </cell>
        </row>
        <row r="1071">
          <cell r="C1071">
            <v>1</v>
          </cell>
          <cell r="D1071">
            <v>1</v>
          </cell>
          <cell r="E1071">
            <v>1</v>
          </cell>
          <cell r="F1071">
            <v>1</v>
          </cell>
          <cell r="G1071">
            <v>1</v>
          </cell>
          <cell r="H1071">
            <v>1</v>
          </cell>
          <cell r="I1071">
            <v>1</v>
          </cell>
        </row>
        <row r="1072">
          <cell r="C1072">
            <v>1</v>
          </cell>
          <cell r="D1072">
            <v>1</v>
          </cell>
          <cell r="E1072">
            <v>1</v>
          </cell>
          <cell r="F1072">
            <v>1</v>
          </cell>
          <cell r="G1072">
            <v>1</v>
          </cell>
          <cell r="H1072">
            <v>1</v>
          </cell>
          <cell r="I1072">
            <v>1</v>
          </cell>
        </row>
        <row r="1073">
          <cell r="C1073">
            <v>1</v>
          </cell>
          <cell r="D1073">
            <v>1</v>
          </cell>
          <cell r="E1073">
            <v>1</v>
          </cell>
          <cell r="F1073">
            <v>1</v>
          </cell>
          <cell r="G1073">
            <v>1</v>
          </cell>
          <cell r="H1073">
            <v>1</v>
          </cell>
          <cell r="I1073">
            <v>1</v>
          </cell>
        </row>
        <row r="1074">
          <cell r="C1074">
            <v>1</v>
          </cell>
          <cell r="D1074">
            <v>1</v>
          </cell>
          <cell r="E1074">
            <v>1</v>
          </cell>
          <cell r="F1074">
            <v>1</v>
          </cell>
          <cell r="G1074">
            <v>1</v>
          </cell>
          <cell r="H1074">
            <v>1</v>
          </cell>
          <cell r="I1074">
            <v>1</v>
          </cell>
        </row>
        <row r="1075">
          <cell r="C1075">
            <v>1</v>
          </cell>
          <cell r="D1075">
            <v>1</v>
          </cell>
          <cell r="E1075">
            <v>1</v>
          </cell>
          <cell r="F1075">
            <v>1</v>
          </cell>
          <cell r="G1075">
            <v>1</v>
          </cell>
          <cell r="H1075">
            <v>1</v>
          </cell>
          <cell r="I1075">
            <v>1</v>
          </cell>
        </row>
        <row r="1076">
          <cell r="C1076">
            <v>1</v>
          </cell>
          <cell r="D1076">
            <v>1</v>
          </cell>
          <cell r="E1076">
            <v>1</v>
          </cell>
          <cell r="F1076">
            <v>1</v>
          </cell>
          <cell r="G1076">
            <v>1</v>
          </cell>
          <cell r="H1076">
            <v>1</v>
          </cell>
          <cell r="I1076">
            <v>1</v>
          </cell>
        </row>
        <row r="1077">
          <cell r="C1077">
            <v>1</v>
          </cell>
          <cell r="D1077">
            <v>1</v>
          </cell>
          <cell r="E1077">
            <v>1</v>
          </cell>
          <cell r="F1077">
            <v>1</v>
          </cell>
          <cell r="G1077">
            <v>1</v>
          </cell>
          <cell r="H1077">
            <v>1</v>
          </cell>
          <cell r="I1077">
            <v>1</v>
          </cell>
        </row>
        <row r="1078">
          <cell r="C1078">
            <v>1</v>
          </cell>
          <cell r="D1078">
            <v>1</v>
          </cell>
          <cell r="E1078">
            <v>1</v>
          </cell>
          <cell r="F1078">
            <v>1</v>
          </cell>
          <cell r="G1078">
            <v>1</v>
          </cell>
          <cell r="H1078">
            <v>1</v>
          </cell>
          <cell r="I1078">
            <v>1</v>
          </cell>
        </row>
        <row r="1079">
          <cell r="C1079">
            <v>1</v>
          </cell>
          <cell r="D1079">
            <v>1</v>
          </cell>
          <cell r="E1079">
            <v>1</v>
          </cell>
          <cell r="F1079">
            <v>1</v>
          </cell>
          <cell r="G1079">
            <v>1</v>
          </cell>
          <cell r="H1079">
            <v>1</v>
          </cell>
          <cell r="I1079">
            <v>1</v>
          </cell>
        </row>
        <row r="1080">
          <cell r="C1080">
            <v>1</v>
          </cell>
          <cell r="D1080">
            <v>1</v>
          </cell>
          <cell r="E1080">
            <v>1</v>
          </cell>
          <cell r="F1080">
            <v>1</v>
          </cell>
          <cell r="G1080">
            <v>1</v>
          </cell>
          <cell r="H1080">
            <v>1</v>
          </cell>
          <cell r="I1080">
            <v>1</v>
          </cell>
        </row>
        <row r="1081">
          <cell r="C1081">
            <v>1</v>
          </cell>
          <cell r="D1081">
            <v>1</v>
          </cell>
          <cell r="E1081">
            <v>1</v>
          </cell>
          <cell r="F1081">
            <v>1</v>
          </cell>
          <cell r="G1081">
            <v>1</v>
          </cell>
          <cell r="H1081">
            <v>1</v>
          </cell>
          <cell r="I1081">
            <v>1</v>
          </cell>
        </row>
        <row r="1082">
          <cell r="C1082">
            <v>1</v>
          </cell>
          <cell r="D1082">
            <v>1</v>
          </cell>
          <cell r="E1082">
            <v>1</v>
          </cell>
          <cell r="F1082">
            <v>1</v>
          </cell>
          <cell r="G1082">
            <v>1</v>
          </cell>
          <cell r="H1082">
            <v>1</v>
          </cell>
          <cell r="I1082">
            <v>1</v>
          </cell>
        </row>
        <row r="1083">
          <cell r="C1083">
            <v>1</v>
          </cell>
          <cell r="D1083">
            <v>1</v>
          </cell>
          <cell r="E1083">
            <v>1</v>
          </cell>
          <cell r="F1083">
            <v>1</v>
          </cell>
          <cell r="G1083">
            <v>1</v>
          </cell>
          <cell r="H1083">
            <v>1</v>
          </cell>
          <cell r="I1083">
            <v>1</v>
          </cell>
        </row>
        <row r="1084">
          <cell r="C1084">
            <v>1</v>
          </cell>
          <cell r="D1084">
            <v>1</v>
          </cell>
          <cell r="E1084">
            <v>1</v>
          </cell>
          <cell r="F1084">
            <v>1</v>
          </cell>
          <cell r="G1084">
            <v>1</v>
          </cell>
          <cell r="H1084">
            <v>1</v>
          </cell>
          <cell r="I1084">
            <v>1</v>
          </cell>
        </row>
        <row r="1085">
          <cell r="C1085">
            <v>1</v>
          </cell>
          <cell r="D1085">
            <v>1</v>
          </cell>
          <cell r="E1085">
            <v>1</v>
          </cell>
          <cell r="F1085">
            <v>1</v>
          </cell>
          <cell r="G1085">
            <v>1</v>
          </cell>
          <cell r="H1085">
            <v>1</v>
          </cell>
          <cell r="I1085">
            <v>1</v>
          </cell>
        </row>
        <row r="1086">
          <cell r="C1086">
            <v>1</v>
          </cell>
          <cell r="D1086">
            <v>1</v>
          </cell>
          <cell r="E1086">
            <v>1</v>
          </cell>
          <cell r="F1086">
            <v>1</v>
          </cell>
          <cell r="G1086">
            <v>1</v>
          </cell>
          <cell r="H1086">
            <v>1</v>
          </cell>
          <cell r="I1086">
            <v>1</v>
          </cell>
        </row>
        <row r="1087">
          <cell r="C1087">
            <v>1</v>
          </cell>
          <cell r="D1087">
            <v>1</v>
          </cell>
          <cell r="E1087">
            <v>1</v>
          </cell>
          <cell r="F1087">
            <v>1</v>
          </cell>
          <cell r="G1087">
            <v>1</v>
          </cell>
          <cell r="H1087">
            <v>1</v>
          </cell>
          <cell r="I1087">
            <v>1</v>
          </cell>
        </row>
        <row r="1088">
          <cell r="C1088">
            <v>1</v>
          </cell>
          <cell r="D1088">
            <v>1</v>
          </cell>
          <cell r="E1088">
            <v>1</v>
          </cell>
          <cell r="F1088">
            <v>1</v>
          </cell>
          <cell r="G1088">
            <v>1</v>
          </cell>
          <cell r="H1088">
            <v>1</v>
          </cell>
          <cell r="I1088">
            <v>1</v>
          </cell>
        </row>
        <row r="1089">
          <cell r="C1089">
            <v>1</v>
          </cell>
          <cell r="D1089">
            <v>1</v>
          </cell>
          <cell r="E1089">
            <v>1</v>
          </cell>
          <cell r="F1089">
            <v>1</v>
          </cell>
          <cell r="G1089">
            <v>1</v>
          </cell>
          <cell r="H1089">
            <v>1</v>
          </cell>
          <cell r="I1089">
            <v>1</v>
          </cell>
        </row>
        <row r="1090">
          <cell r="C1090">
            <v>1</v>
          </cell>
          <cell r="D1090">
            <v>1</v>
          </cell>
          <cell r="E1090">
            <v>1</v>
          </cell>
          <cell r="F1090">
            <v>1</v>
          </cell>
          <cell r="G1090">
            <v>1</v>
          </cell>
          <cell r="H1090">
            <v>1</v>
          </cell>
          <cell r="I1090">
            <v>1</v>
          </cell>
        </row>
        <row r="1091">
          <cell r="C1091">
            <v>1</v>
          </cell>
          <cell r="D1091">
            <v>1</v>
          </cell>
          <cell r="E1091">
            <v>1</v>
          </cell>
          <cell r="F1091">
            <v>1</v>
          </cell>
          <cell r="G1091">
            <v>1</v>
          </cell>
          <cell r="H1091">
            <v>1</v>
          </cell>
          <cell r="I1091">
            <v>1</v>
          </cell>
        </row>
        <row r="1092">
          <cell r="C1092">
            <v>1</v>
          </cell>
          <cell r="D1092">
            <v>1</v>
          </cell>
          <cell r="E1092">
            <v>1</v>
          </cell>
          <cell r="F1092">
            <v>1</v>
          </cell>
          <cell r="G1092">
            <v>1</v>
          </cell>
          <cell r="H1092">
            <v>1</v>
          </cell>
          <cell r="I1092">
            <v>1</v>
          </cell>
        </row>
        <row r="1093">
          <cell r="C1093">
            <v>1</v>
          </cell>
          <cell r="D1093">
            <v>1</v>
          </cell>
          <cell r="E1093">
            <v>1</v>
          </cell>
          <cell r="F1093">
            <v>1</v>
          </cell>
          <cell r="G1093">
            <v>1</v>
          </cell>
          <cell r="H1093">
            <v>1</v>
          </cell>
          <cell r="I1093">
            <v>1</v>
          </cell>
        </row>
        <row r="1094">
          <cell r="C1094">
            <v>1</v>
          </cell>
          <cell r="D1094">
            <v>1</v>
          </cell>
          <cell r="E1094">
            <v>1</v>
          </cell>
          <cell r="F1094">
            <v>1</v>
          </cell>
          <cell r="G1094">
            <v>1</v>
          </cell>
          <cell r="H1094">
            <v>1</v>
          </cell>
          <cell r="I1094">
            <v>1</v>
          </cell>
        </row>
        <row r="1095">
          <cell r="C1095">
            <v>1</v>
          </cell>
          <cell r="D1095">
            <v>1</v>
          </cell>
          <cell r="E1095">
            <v>1</v>
          </cell>
          <cell r="F1095">
            <v>1</v>
          </cell>
          <cell r="G1095">
            <v>1</v>
          </cell>
          <cell r="H1095">
            <v>1</v>
          </cell>
          <cell r="I1095">
            <v>1</v>
          </cell>
        </row>
        <row r="1096">
          <cell r="C1096">
            <v>1</v>
          </cell>
          <cell r="D1096">
            <v>1</v>
          </cell>
          <cell r="E1096">
            <v>1</v>
          </cell>
          <cell r="F1096">
            <v>1</v>
          </cell>
          <cell r="G1096">
            <v>1</v>
          </cell>
          <cell r="H1096">
            <v>1</v>
          </cell>
          <cell r="I1096">
            <v>1</v>
          </cell>
        </row>
        <row r="1097">
          <cell r="C1097">
            <v>1</v>
          </cell>
          <cell r="D1097">
            <v>1</v>
          </cell>
          <cell r="E1097">
            <v>1</v>
          </cell>
          <cell r="F1097">
            <v>1</v>
          </cell>
          <cell r="G1097">
            <v>1</v>
          </cell>
          <cell r="H1097">
            <v>1</v>
          </cell>
          <cell r="I1097">
            <v>1</v>
          </cell>
        </row>
        <row r="1098">
          <cell r="C1098">
            <v>1</v>
          </cell>
          <cell r="D1098">
            <v>1</v>
          </cell>
          <cell r="E1098">
            <v>1</v>
          </cell>
          <cell r="F1098">
            <v>1</v>
          </cell>
          <cell r="G1098">
            <v>1</v>
          </cell>
          <cell r="H1098">
            <v>1</v>
          </cell>
          <cell r="I1098">
            <v>1</v>
          </cell>
        </row>
        <row r="1099">
          <cell r="C1099">
            <v>1</v>
          </cell>
          <cell r="D1099">
            <v>1</v>
          </cell>
          <cell r="E1099">
            <v>1</v>
          </cell>
          <cell r="F1099">
            <v>1</v>
          </cell>
          <cell r="G1099">
            <v>1</v>
          </cell>
          <cell r="H1099">
            <v>1</v>
          </cell>
          <cell r="I1099">
            <v>1</v>
          </cell>
        </row>
        <row r="1100">
          <cell r="C1100">
            <v>1</v>
          </cell>
          <cell r="D1100">
            <v>1</v>
          </cell>
          <cell r="E1100">
            <v>1</v>
          </cell>
          <cell r="F1100">
            <v>1</v>
          </cell>
          <cell r="G1100">
            <v>1</v>
          </cell>
          <cell r="H1100">
            <v>1</v>
          </cell>
          <cell r="I1100">
            <v>1</v>
          </cell>
        </row>
        <row r="1101">
          <cell r="C1101">
            <v>1</v>
          </cell>
          <cell r="D1101">
            <v>1</v>
          </cell>
          <cell r="E1101">
            <v>1</v>
          </cell>
          <cell r="F1101">
            <v>1</v>
          </cell>
          <cell r="G1101">
            <v>1</v>
          </cell>
          <cell r="H1101">
            <v>1</v>
          </cell>
          <cell r="I1101">
            <v>1</v>
          </cell>
        </row>
        <row r="1102">
          <cell r="C1102">
            <v>1</v>
          </cell>
          <cell r="D1102">
            <v>1</v>
          </cell>
          <cell r="E1102">
            <v>1</v>
          </cell>
          <cell r="F1102">
            <v>1</v>
          </cell>
          <cell r="G1102">
            <v>1</v>
          </cell>
          <cell r="H1102">
            <v>1</v>
          </cell>
          <cell r="I1102">
            <v>1</v>
          </cell>
        </row>
        <row r="1103">
          <cell r="C1103">
            <v>1</v>
          </cell>
          <cell r="D1103">
            <v>1</v>
          </cell>
          <cell r="E1103">
            <v>1</v>
          </cell>
          <cell r="F1103">
            <v>1</v>
          </cell>
          <cell r="G1103">
            <v>1</v>
          </cell>
          <cell r="H1103">
            <v>1</v>
          </cell>
          <cell r="I1103">
            <v>1</v>
          </cell>
        </row>
        <row r="1104">
          <cell r="C1104">
            <v>1</v>
          </cell>
          <cell r="D1104">
            <v>1</v>
          </cell>
          <cell r="E1104">
            <v>1</v>
          </cell>
          <cell r="F1104">
            <v>1</v>
          </cell>
          <cell r="G1104">
            <v>1</v>
          </cell>
          <cell r="H1104">
            <v>1</v>
          </cell>
          <cell r="I1104">
            <v>1</v>
          </cell>
        </row>
        <row r="1105">
          <cell r="C1105">
            <v>1</v>
          </cell>
          <cell r="D1105">
            <v>1</v>
          </cell>
          <cell r="E1105">
            <v>1</v>
          </cell>
          <cell r="F1105">
            <v>1</v>
          </cell>
          <cell r="G1105">
            <v>1</v>
          </cell>
          <cell r="H1105">
            <v>1</v>
          </cell>
          <cell r="I1105">
            <v>1</v>
          </cell>
        </row>
        <row r="1106">
          <cell r="D1106">
            <v>1</v>
          </cell>
          <cell r="G1106">
            <v>1</v>
          </cell>
        </row>
        <row r="1107">
          <cell r="D1107">
            <v>1</v>
          </cell>
          <cell r="G1107">
            <v>1</v>
          </cell>
        </row>
        <row r="1108">
          <cell r="D1108">
            <v>1</v>
          </cell>
          <cell r="G1108">
            <v>1</v>
          </cell>
        </row>
        <row r="1109">
          <cell r="D1109">
            <v>1</v>
          </cell>
          <cell r="G1109">
            <v>1</v>
          </cell>
        </row>
        <row r="1110">
          <cell r="D1110">
            <v>1</v>
          </cell>
          <cell r="G1110">
            <v>1</v>
          </cell>
        </row>
        <row r="1111">
          <cell r="D1111">
            <v>1</v>
          </cell>
          <cell r="G1111">
            <v>1</v>
          </cell>
        </row>
        <row r="1112">
          <cell r="D1112">
            <v>1</v>
          </cell>
          <cell r="G1112">
            <v>1</v>
          </cell>
        </row>
        <row r="1113">
          <cell r="D1113">
            <v>1</v>
          </cell>
          <cell r="G1113">
            <v>1</v>
          </cell>
        </row>
        <row r="1114">
          <cell r="D1114">
            <v>1</v>
          </cell>
          <cell r="G1114">
            <v>1</v>
          </cell>
        </row>
        <row r="1115">
          <cell r="D1115">
            <v>1</v>
          </cell>
          <cell r="G1115">
            <v>1</v>
          </cell>
        </row>
        <row r="1116">
          <cell r="D1116">
            <v>1</v>
          </cell>
          <cell r="G1116">
            <v>1</v>
          </cell>
        </row>
        <row r="1117">
          <cell r="D1117">
            <v>1</v>
          </cell>
          <cell r="G1117">
            <v>1</v>
          </cell>
        </row>
        <row r="1118">
          <cell r="D1118">
            <v>1</v>
          </cell>
          <cell r="G1118">
            <v>1</v>
          </cell>
        </row>
        <row r="1119">
          <cell r="D1119">
            <v>1</v>
          </cell>
          <cell r="G1119">
            <v>1</v>
          </cell>
        </row>
        <row r="1120">
          <cell r="D1120">
            <v>1</v>
          </cell>
          <cell r="G1120">
            <v>1</v>
          </cell>
        </row>
        <row r="1121">
          <cell r="D1121">
            <v>1</v>
          </cell>
          <cell r="G1121">
            <v>1</v>
          </cell>
        </row>
        <row r="1122">
          <cell r="D1122">
            <v>1</v>
          </cell>
          <cell r="G1122">
            <v>1</v>
          </cell>
        </row>
        <row r="1123">
          <cell r="D1123">
            <v>1</v>
          </cell>
          <cell r="G1123">
            <v>1</v>
          </cell>
        </row>
        <row r="1124">
          <cell r="D1124">
            <v>1</v>
          </cell>
          <cell r="G1124">
            <v>1</v>
          </cell>
        </row>
        <row r="1125">
          <cell r="D1125">
            <v>1</v>
          </cell>
          <cell r="G1125">
            <v>1</v>
          </cell>
        </row>
        <row r="1126">
          <cell r="D1126">
            <v>1</v>
          </cell>
          <cell r="G1126">
            <v>1</v>
          </cell>
        </row>
        <row r="1127">
          <cell r="D1127">
            <v>1</v>
          </cell>
          <cell r="G1127">
            <v>1</v>
          </cell>
        </row>
        <row r="1128">
          <cell r="D1128">
            <v>1</v>
          </cell>
          <cell r="G1128">
            <v>1</v>
          </cell>
        </row>
        <row r="1129">
          <cell r="D1129">
            <v>1</v>
          </cell>
          <cell r="G1129">
            <v>1</v>
          </cell>
        </row>
        <row r="1130">
          <cell r="D1130">
            <v>1</v>
          </cell>
          <cell r="G1130">
            <v>1</v>
          </cell>
        </row>
        <row r="1131">
          <cell r="D1131">
            <v>1</v>
          </cell>
          <cell r="G1131">
            <v>1</v>
          </cell>
        </row>
        <row r="1132">
          <cell r="D1132">
            <v>1</v>
          </cell>
          <cell r="G1132">
            <v>1</v>
          </cell>
        </row>
        <row r="1133">
          <cell r="D1133">
            <v>1</v>
          </cell>
          <cell r="G1133">
            <v>1</v>
          </cell>
        </row>
        <row r="1134">
          <cell r="D1134">
            <v>1</v>
          </cell>
          <cell r="G1134">
            <v>1</v>
          </cell>
        </row>
        <row r="1135">
          <cell r="D1135">
            <v>1</v>
          </cell>
          <cell r="G1135">
            <v>1</v>
          </cell>
        </row>
      </sheetData>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L"/>
      <sheetName val="DL. VKT 2025"/>
      <sheetName val=" DL cây 2025"/>
      <sheetName val="DS chuẩn"/>
      <sheetName val="DS ĐÔNG KHÚC"/>
      <sheetName val="Sheet1"/>
    </sheetNames>
    <sheetDataSet>
      <sheetData sheetId="0" refreshError="1"/>
      <sheetData sheetId="1"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row>
        <row r="4">
          <cell r="C4" t="str">
            <v>Chiều cao trung bình 1 tầng ≤ 4,5m cứ tăng 0,1m cộng thêm 44.000 đồng/m2</v>
          </cell>
        </row>
        <row r="5">
          <cell r="B5" t="str">
            <v>Nha1t(4,4-4,5)-BTCT</v>
          </cell>
          <cell r="C5" t="str">
            <v xml:space="preserve">Nhà 1 tầng, tường chịu lực xây gạch 220, mái BTCT, chiều cao  từ 4,4 đến 4,5m </v>
          </cell>
          <cell r="E5" t="str">
            <v>m2</v>
          </cell>
          <cell r="F5">
            <v>4400000</v>
          </cell>
          <cell r="G5">
            <v>25</v>
          </cell>
          <cell r="H5">
            <v>0.8</v>
          </cell>
        </row>
        <row r="6">
          <cell r="B6" t="str">
            <v>Nha1t(4,3-4,4)-BTCT</v>
          </cell>
          <cell r="C6" t="str">
            <v xml:space="preserve">Nhà 1 tầng, tường chịu lực xây gạch 220, mái BTCT, chiều cao  từ 4,3 đến 4,4m </v>
          </cell>
          <cell r="E6" t="str">
            <v>m2</v>
          </cell>
          <cell r="F6">
            <v>4351600</v>
          </cell>
          <cell r="G6">
            <v>25</v>
          </cell>
          <cell r="H6">
            <v>0.8</v>
          </cell>
        </row>
        <row r="7">
          <cell r="B7" t="str">
            <v>Nha1t(4,2-4,3)-BTCT</v>
          </cell>
          <cell r="C7" t="str">
            <v xml:space="preserve">Nhà 1 tầng, tường chịu lực xây gạch 220, mái BTCT, chiều cao  từ 4,2 đến 4,3m </v>
          </cell>
          <cell r="E7" t="str">
            <v>m2</v>
          </cell>
          <cell r="F7">
            <v>4303200</v>
          </cell>
          <cell r="G7">
            <v>25</v>
          </cell>
          <cell r="H7">
            <v>0.8</v>
          </cell>
        </row>
        <row r="8">
          <cell r="B8" t="str">
            <v>Nha1t(4,1-4,2)-BTCT</v>
          </cell>
          <cell r="C8" t="str">
            <v xml:space="preserve">Nhà 1 tầng, tường chịu lực xây gạch 220, mái BTCT, chiều cao  từ 4,1 đến 4,2m </v>
          </cell>
          <cell r="E8" t="str">
            <v>m2</v>
          </cell>
          <cell r="F8">
            <v>4254800</v>
          </cell>
          <cell r="G8">
            <v>25</v>
          </cell>
          <cell r="H8">
            <v>0.8</v>
          </cell>
        </row>
        <row r="9">
          <cell r="B9" t="str">
            <v>Nha1t(4,0-4,1)-BTCT</v>
          </cell>
          <cell r="C9" t="str">
            <v xml:space="preserve">Nhà 1 tầng, tường chịu lực xây gạch 220, mái BTCT, chiều cao  từ 4,0 đến 4,1m </v>
          </cell>
          <cell r="E9" t="str">
            <v>m2</v>
          </cell>
          <cell r="F9">
            <v>4206400</v>
          </cell>
          <cell r="G9">
            <v>25</v>
          </cell>
          <cell r="H9">
            <v>0.8</v>
          </cell>
        </row>
        <row r="10">
          <cell r="B10" t="str">
            <v>Nha1t(3,9-4,0)-BTCT</v>
          </cell>
          <cell r="C10" t="str">
            <v xml:space="preserve">Nhà 1 tầng, tường chịu lực xây gạch 220, mái BTCT, chiều cao  từ 3,9 đến 4,0m </v>
          </cell>
          <cell r="E10" t="str">
            <v>m2</v>
          </cell>
          <cell r="F10">
            <v>4158000.0000000005</v>
          </cell>
          <cell r="G10">
            <v>25</v>
          </cell>
          <cell r="H10">
            <v>0.8</v>
          </cell>
        </row>
        <row r="11">
          <cell r="B11" t="str">
            <v>Nha1t(3,8-3,9)-BTCT</v>
          </cell>
          <cell r="C11" t="str">
            <v xml:space="preserve">Nhà 1 tầng, tường chịu lực xây gạch 220, mái BTCT, chiều cao  từ 3,8 đến 3,9m </v>
          </cell>
          <cell r="E11" t="str">
            <v>m2</v>
          </cell>
          <cell r="F11">
            <v>4109600.0000000005</v>
          </cell>
          <cell r="G11">
            <v>25</v>
          </cell>
          <cell r="H11">
            <v>0.8</v>
          </cell>
        </row>
        <row r="12">
          <cell r="B12" t="str">
            <v>Nha1t(3,7-3,8)-BTCT</v>
          </cell>
          <cell r="C12" t="str">
            <v xml:space="preserve">Nhà 1 tầng, tường chịu lực xây gạch 220, mái BTCT, chiều cao  từ 3,7 đến 3,8m </v>
          </cell>
          <cell r="E12" t="str">
            <v>m2</v>
          </cell>
          <cell r="F12">
            <v>4061200.0000000005</v>
          </cell>
          <cell r="G12">
            <v>25</v>
          </cell>
          <cell r="H12">
            <v>0.8</v>
          </cell>
        </row>
        <row r="13">
          <cell r="B13" t="str">
            <v>Nha1t(3,6-3,7)-BTCT</v>
          </cell>
          <cell r="C13" t="str">
            <v xml:space="preserve">Nhà 1 tầng, tường chịu lực xây gạch 220, mái BTCT, chiều cao  từ 3,6 đến 3,7m </v>
          </cell>
          <cell r="E13" t="str">
            <v>m2</v>
          </cell>
          <cell r="F13">
            <v>4012800.0000000005</v>
          </cell>
          <cell r="G13">
            <v>25</v>
          </cell>
          <cell r="H13">
            <v>0.8</v>
          </cell>
        </row>
        <row r="14">
          <cell r="B14" t="str">
            <v>Nha1t(3,5-3,6)-BTCT</v>
          </cell>
          <cell r="C14" t="str">
            <v xml:space="preserve">Nhà 1 tầng, tường chịu lực xây gạch 220, mái BTCT, chiều cao  từ 3,5 đến 3,6m </v>
          </cell>
          <cell r="E14" t="str">
            <v>m2</v>
          </cell>
          <cell r="F14">
            <v>3964400.0000000005</v>
          </cell>
          <cell r="G14">
            <v>25</v>
          </cell>
          <cell r="H14">
            <v>0.8</v>
          </cell>
        </row>
        <row r="15">
          <cell r="B15" t="str">
            <v>Nha1t(3,4-3,5)-BTCT</v>
          </cell>
          <cell r="C15" t="str">
            <v xml:space="preserve">Nhà 1 tầng, tường chịu lực xây gạch 220, mái BTCT, chiều cao  từ 3,4 đến 3,5m </v>
          </cell>
          <cell r="E15" t="str">
            <v>m2</v>
          </cell>
          <cell r="F15">
            <v>3916000.0000000005</v>
          </cell>
          <cell r="G15">
            <v>25</v>
          </cell>
          <cell r="H15">
            <v>0.8</v>
          </cell>
        </row>
        <row r="16">
          <cell r="B16" t="str">
            <v>Nha1t(3,3-3,4)-BTCT</v>
          </cell>
          <cell r="C16" t="str">
            <v xml:space="preserve">Nhà 1 tầng, tường chịu lực xây gạch 220, mái BTCT, chiều cao  từ 3,3 đến 3,4m </v>
          </cell>
          <cell r="E16" t="str">
            <v>m2</v>
          </cell>
          <cell r="F16">
            <v>3867600.0000000005</v>
          </cell>
          <cell r="G16">
            <v>25</v>
          </cell>
          <cell r="H16">
            <v>0.8</v>
          </cell>
        </row>
        <row r="17">
          <cell r="B17" t="str">
            <v>Nha1t(3,2-3,3)-BTCT</v>
          </cell>
          <cell r="C17" t="str">
            <v xml:space="preserve">Nhà 1 tầng, tường chịu lực xây gạch 220, mái BTCT, chiều cao  từ 3,2 đến 3,3m </v>
          </cell>
          <cell r="E17" t="str">
            <v>m2</v>
          </cell>
          <cell r="F17">
            <v>3819200.0000000005</v>
          </cell>
          <cell r="G17">
            <v>25</v>
          </cell>
          <cell r="H17">
            <v>0.8</v>
          </cell>
        </row>
        <row r="18">
          <cell r="B18" t="str">
            <v>Nha1t(3,1-3,2)-BTCT</v>
          </cell>
          <cell r="C18" t="str">
            <v xml:space="preserve">Nhà 1 tầng, tường chịu lực xây gạch 220, mái BTCT, chiều cao  từ 3,1 đến 3,2m </v>
          </cell>
          <cell r="E18" t="str">
            <v>m2</v>
          </cell>
          <cell r="F18">
            <v>3770800.0000000005</v>
          </cell>
          <cell r="G18">
            <v>25</v>
          </cell>
          <cell r="H18">
            <v>0.8</v>
          </cell>
        </row>
        <row r="19">
          <cell r="B19" t="str">
            <v>Nha1t(3,0-3,1)-BTCT</v>
          </cell>
          <cell r="C19" t="str">
            <v xml:space="preserve">Nhà 1 tầng, tường chịu lực xây gạch 220, mái BTCT, chiều cao  từ 3,0 đến 3,1m </v>
          </cell>
          <cell r="E19" t="str">
            <v>m2</v>
          </cell>
          <cell r="F19">
            <v>3722400.0000000005</v>
          </cell>
          <cell r="G19">
            <v>25</v>
          </cell>
          <cell r="H19">
            <v>0.8</v>
          </cell>
        </row>
        <row r="20">
          <cell r="C20" t="str">
            <v>Chiều cao tầng dưới 3,0m (Cứ 0,1m trừ đi 44.000 đồng/m2)</v>
          </cell>
        </row>
        <row r="21">
          <cell r="B21" t="str">
            <v>NHÀ 1 TẦNG KHUNG CHỊU LỰC</v>
          </cell>
          <cell r="C21" t="str">
            <v>Nhà 1 tầng, khung chịu lực BTCT, tường xây gạch 220, mái BTCT, nền lót vữa XM, trát tường và quét vôi ve</v>
          </cell>
        </row>
        <row r="22">
          <cell r="C22" t="str">
            <v>Chiều cao trung bình 1 tầng ≤ 4,5m cứ tăng 0,1m cộng thêm 50.000 đồng/m2</v>
          </cell>
        </row>
        <row r="23">
          <cell r="B23" t="str">
            <v>Nha1t.1(4,4-4,5)</v>
          </cell>
          <cell r="C23" t="str">
            <v xml:space="preserve">Nhà 1 tầng, khung chịu lực BTCT, tường xây gạch 220, mái BTCT, chiều cao  từ 4,4 đến 4,5m </v>
          </cell>
          <cell r="E23" t="str">
            <v>m2</v>
          </cell>
          <cell r="F23">
            <v>4956600</v>
          </cell>
          <cell r="G23">
            <v>25</v>
          </cell>
          <cell r="H23">
            <v>0.8</v>
          </cell>
        </row>
        <row r="24">
          <cell r="B24" t="str">
            <v>Nha1t.1(4,3-4,4)</v>
          </cell>
          <cell r="C24" t="str">
            <v xml:space="preserve">Nhà 1 tầng, khung chịu lực BTCT, tường xây gạch 220, mái BTCT, chiều cao  từ 4,3 đến 4,4m </v>
          </cell>
          <cell r="E24" t="str">
            <v>m2</v>
          </cell>
          <cell r="F24">
            <v>4901600</v>
          </cell>
          <cell r="G24">
            <v>25</v>
          </cell>
          <cell r="H24">
            <v>0.8</v>
          </cell>
        </row>
        <row r="25">
          <cell r="B25" t="str">
            <v>Nha1t.1(4,2-4,3)</v>
          </cell>
          <cell r="C25" t="str">
            <v xml:space="preserve">Nhà 1 tầng, khung chịu lực BTCT, tường xây gạch 220, mái BTCT, chiều cao  từ 4,2 đến 4,3m </v>
          </cell>
          <cell r="E25" t="str">
            <v>m2</v>
          </cell>
          <cell r="F25">
            <v>4846600</v>
          </cell>
          <cell r="G25">
            <v>25</v>
          </cell>
          <cell r="H25">
            <v>0.8</v>
          </cell>
        </row>
        <row r="26">
          <cell r="B26" t="str">
            <v>Nha1t.1(4,1-4,2)</v>
          </cell>
          <cell r="C26" t="str">
            <v xml:space="preserve">Nhà 1 tầng, khung chịu lực BTCT, tường xây gạch 220, mái BTCT, chiều cao  từ 4,1 đến 4,2m </v>
          </cell>
          <cell r="E26" t="str">
            <v>m2</v>
          </cell>
          <cell r="F26">
            <v>4791600</v>
          </cell>
          <cell r="G26">
            <v>25</v>
          </cell>
          <cell r="H26">
            <v>0.8</v>
          </cell>
        </row>
        <row r="27">
          <cell r="B27" t="str">
            <v>Nha1t.1(4,0-4,1)</v>
          </cell>
          <cell r="C27" t="str">
            <v xml:space="preserve">Nhà 1 tầng, khung chịu lực BTCT, tường xây gạch 220, mái BTCT, chiều cao  từ 4,0 đến 4,1m </v>
          </cell>
          <cell r="E27" t="str">
            <v>m2</v>
          </cell>
          <cell r="F27">
            <v>4736600</v>
          </cell>
          <cell r="G27">
            <v>25</v>
          </cell>
          <cell r="H27">
            <v>0.8</v>
          </cell>
        </row>
        <row r="28">
          <cell r="B28" t="str">
            <v>Nha1t.1(3,9-4,0)</v>
          </cell>
          <cell r="C28" t="str">
            <v xml:space="preserve">Nhà 1 tầng, khung chịu lực BTCT, tường xây gạch 220, mái BTCT, chiều cao  từ 3,9 đến 4,0m </v>
          </cell>
          <cell r="E28" t="str">
            <v>m2</v>
          </cell>
          <cell r="F28">
            <v>4681600</v>
          </cell>
          <cell r="G28">
            <v>25</v>
          </cell>
          <cell r="H28">
            <v>0.8</v>
          </cell>
        </row>
        <row r="29">
          <cell r="B29" t="str">
            <v>Nha1t.1(3,8-3,9)</v>
          </cell>
          <cell r="C29" t="str">
            <v xml:space="preserve">Nhà 1 tầng, khung chịu lực BTCT, tường xây gạch 220, mái BTCT, chiều cao  từ 3,8 đến 3,9m </v>
          </cell>
          <cell r="E29" t="str">
            <v>m2</v>
          </cell>
          <cell r="F29">
            <v>4626600</v>
          </cell>
          <cell r="G29">
            <v>25</v>
          </cell>
          <cell r="H29">
            <v>0.8</v>
          </cell>
        </row>
        <row r="30">
          <cell r="B30" t="str">
            <v>Nha1t.1(3,7-3,8)</v>
          </cell>
          <cell r="C30" t="str">
            <v xml:space="preserve">Nhà 1 tầng, khung chịu lực BTCT, tường xây gạch 220, mái BTCT, chiều cao  từ 3,7 đến 3,8m </v>
          </cell>
          <cell r="E30" t="str">
            <v>m2</v>
          </cell>
          <cell r="F30">
            <v>4571600</v>
          </cell>
          <cell r="G30">
            <v>25</v>
          </cell>
          <cell r="H30">
            <v>0.8</v>
          </cell>
        </row>
        <row r="31">
          <cell r="B31" t="str">
            <v>Nha1t.1(3,6-3,7)</v>
          </cell>
          <cell r="C31" t="str">
            <v xml:space="preserve">Nhà 1 tầng, khung chịu lực BTCT, tường xây gạch 220, mái BTCT, chiều cao  từ 3,6 đến 3,7m </v>
          </cell>
          <cell r="E31" t="str">
            <v>m2</v>
          </cell>
          <cell r="F31">
            <v>4516600</v>
          </cell>
          <cell r="G31">
            <v>25</v>
          </cell>
          <cell r="H31">
            <v>0.8</v>
          </cell>
        </row>
        <row r="32">
          <cell r="B32" t="str">
            <v>Nha1t.1(3,5-3,6)</v>
          </cell>
          <cell r="C32" t="str">
            <v xml:space="preserve">Nhà 1 tầng, khung chịu lực BTCT, tường xây gạch 220, mái BTCT, chiều cao  từ 3,5 đến 3,6m </v>
          </cell>
          <cell r="E32" t="str">
            <v>m2</v>
          </cell>
          <cell r="F32">
            <v>4461600</v>
          </cell>
          <cell r="G32">
            <v>25</v>
          </cell>
          <cell r="H32">
            <v>0.8</v>
          </cell>
        </row>
        <row r="33">
          <cell r="B33" t="str">
            <v>Nha1t.1(3,4-3,5)</v>
          </cell>
          <cell r="C33" t="str">
            <v xml:space="preserve">Nhà 1 tầng, khung chịu lực BTCT, tường xây gạch 220, mái BTCT, chiều cao  từ 3,4 đến 3,5m </v>
          </cell>
          <cell r="E33" t="str">
            <v>m2</v>
          </cell>
          <cell r="F33">
            <v>4406600</v>
          </cell>
          <cell r="G33">
            <v>25</v>
          </cell>
          <cell r="H33">
            <v>0.8</v>
          </cell>
        </row>
        <row r="34">
          <cell r="B34" t="str">
            <v>Nha1t.1(3,3-3,4)</v>
          </cell>
          <cell r="C34" t="str">
            <v xml:space="preserve">Nhà 1 tầng, khung chịu lực BTCT, tường xây gạch 220, mái BTCT, chiều cao  từ 3,3 đến 3,4m </v>
          </cell>
          <cell r="E34" t="str">
            <v>m2</v>
          </cell>
          <cell r="F34">
            <v>4351600</v>
          </cell>
          <cell r="G34">
            <v>25</v>
          </cell>
          <cell r="H34">
            <v>0.8</v>
          </cell>
        </row>
        <row r="35">
          <cell r="B35" t="str">
            <v>Nha1t.1(3,2-3,3)</v>
          </cell>
          <cell r="C35" t="str">
            <v xml:space="preserve">Nhà 1 tầng, khung chịu lực BTCT, tường xây gạch 220, mái BTCT, chiều cao  từ 3,2 đến 3,3m </v>
          </cell>
          <cell r="E35" t="str">
            <v>m2</v>
          </cell>
          <cell r="F35">
            <v>4296600</v>
          </cell>
          <cell r="G35">
            <v>25</v>
          </cell>
          <cell r="H35">
            <v>0.8</v>
          </cell>
        </row>
        <row r="36">
          <cell r="B36" t="str">
            <v>Nha1t.1(3,1-3,2)</v>
          </cell>
          <cell r="C36" t="str">
            <v xml:space="preserve">Nhà 1 tầng, khung chịu lực BTCT, tường xây gạch 220, mái BTCT, chiều cao  từ 3,1 đến 3,2m </v>
          </cell>
          <cell r="E36" t="str">
            <v>m2</v>
          </cell>
          <cell r="F36">
            <v>4241600</v>
          </cell>
          <cell r="G36">
            <v>25</v>
          </cell>
          <cell r="H36">
            <v>0.8</v>
          </cell>
        </row>
        <row r="37">
          <cell r="B37" t="str">
            <v>Nha1t.1(3,0-3,1)</v>
          </cell>
          <cell r="C37" t="str">
            <v xml:space="preserve">Nhà 1 tầng, khung chịu lực BTCT, tường xây gạch 220, mái BTCT, chiều cao  từ 3,0 đến 3,1m </v>
          </cell>
          <cell r="E37" t="str">
            <v>m2</v>
          </cell>
          <cell r="F37">
            <v>4186600.0000000005</v>
          </cell>
          <cell r="G37">
            <v>25</v>
          </cell>
          <cell r="H37">
            <v>0.8</v>
          </cell>
        </row>
        <row r="38">
          <cell r="C38" t="str">
            <v>Chiều cao tầng dưới 3,0m (Cứ 0,1m trừ đi 50.000 đồng/m2)</v>
          </cell>
        </row>
        <row r="39">
          <cell r="B39" t="str">
            <v>NHÀ 1 TẦNG</v>
          </cell>
          <cell r="C39" t="str">
            <v>Nhà 1 tầng bán kiên cố, tường chịu lực xây gạch 220, nền lót vữa XM, trát tường và quét vôi ve. Mái lợp ngói</v>
          </cell>
        </row>
        <row r="40">
          <cell r="C40" t="str">
            <v>Chiều cao trung bình 1 tầng ≤ 4,0m cứ tăng 0,1m cộng thêm 41.000 đồng/m2</v>
          </cell>
        </row>
        <row r="41">
          <cell r="B41" t="str">
            <v>Nha1.1t(3,9-4,0)-NGOI</v>
          </cell>
          <cell r="C41" t="str">
            <v>Nhà 1 tầng bán kiên cố, tường chịu lực xây gạch 220, mái lợp ngói, chiều cao từ 3,9 đến 4,0m</v>
          </cell>
          <cell r="E41" t="str">
            <v>m2</v>
          </cell>
          <cell r="F41">
            <v>2889700.0000000005</v>
          </cell>
          <cell r="G41">
            <v>25</v>
          </cell>
          <cell r="H41">
            <v>0.8</v>
          </cell>
        </row>
        <row r="42">
          <cell r="B42" t="str">
            <v>Nha1.1t(3,8-3,9)-NGOI</v>
          </cell>
          <cell r="C42" t="str">
            <v>Nhà 1 tầng bán kiên cố, tường chịu lực xây gạch 220, mái lợp ngói, chiều cao từ 3,8 đến 3,9m</v>
          </cell>
          <cell r="E42" t="str">
            <v>m2</v>
          </cell>
          <cell r="F42">
            <v>2844600</v>
          </cell>
          <cell r="G42">
            <v>25</v>
          </cell>
          <cell r="H42">
            <v>0.8</v>
          </cell>
        </row>
        <row r="43">
          <cell r="B43" t="str">
            <v>Nha1.1t(3,7-3,8)-NGOI</v>
          </cell>
          <cell r="C43" t="str">
            <v>Nhà 1 tầng bán kiên cố, tường chịu lực xây gạch 220, mái lợp ngói, chiều cao từ 3,7 đến 3,8m</v>
          </cell>
          <cell r="E43" t="str">
            <v>m2</v>
          </cell>
          <cell r="F43">
            <v>2799500</v>
          </cell>
          <cell r="G43">
            <v>25</v>
          </cell>
          <cell r="H43">
            <v>0.8</v>
          </cell>
        </row>
        <row r="44">
          <cell r="B44" t="str">
            <v>Nha1.1t(3,6-3,7)-NGOI</v>
          </cell>
          <cell r="C44" t="str">
            <v>Nhà 1 tầng bán kiên cố, tường chịu lực xây gạch 220, mái lợp ngói, chiều cao từ 3,6 đến 3,7m</v>
          </cell>
          <cell r="E44" t="str">
            <v>m2</v>
          </cell>
          <cell r="F44">
            <v>2754400</v>
          </cell>
          <cell r="G44">
            <v>25</v>
          </cell>
          <cell r="H44">
            <v>0.8</v>
          </cell>
        </row>
        <row r="45">
          <cell r="B45" t="str">
            <v>Nha1.1t(3,5-3,6)-NGOI</v>
          </cell>
          <cell r="C45" t="str">
            <v>Nhà 1 tầng bán kiên cố, tường chịu lực xây gạch 220, mái lợp ngói, chiều cao từ 3,5 đến 3,6m</v>
          </cell>
          <cell r="E45" t="str">
            <v>m2</v>
          </cell>
          <cell r="F45">
            <v>2709300</v>
          </cell>
          <cell r="G45">
            <v>25</v>
          </cell>
          <cell r="H45">
            <v>0.8</v>
          </cell>
        </row>
        <row r="46">
          <cell r="B46" t="str">
            <v>Nha1.1t(3,4-3,5)-NGOI</v>
          </cell>
          <cell r="C46" t="str">
            <v>Nhà 1 tầng bán kiên cố, tường chịu lực xây gạch 220, mái lợp ngói, chiều cao từ 3,4 đến 3,5m</v>
          </cell>
          <cell r="E46" t="str">
            <v>m2</v>
          </cell>
          <cell r="F46">
            <v>2664200</v>
          </cell>
          <cell r="G46">
            <v>25</v>
          </cell>
          <cell r="H46">
            <v>0.8</v>
          </cell>
        </row>
        <row r="47">
          <cell r="B47" t="str">
            <v>Nha1.1t(3,3-3,4)-NGOI</v>
          </cell>
          <cell r="C47" t="str">
            <v>Nhà 1 tầng bán kiên cố, tường chịu lực xây gạch 220, mái lợp ngói, chiều cao từ 3,3 đến 3,4m</v>
          </cell>
          <cell r="E47" t="str">
            <v>m2</v>
          </cell>
          <cell r="F47">
            <v>2619100</v>
          </cell>
          <cell r="G47">
            <v>25</v>
          </cell>
          <cell r="H47">
            <v>0.8</v>
          </cell>
        </row>
        <row r="48">
          <cell r="B48" t="str">
            <v>Nha1.1t(3,2-3,3)-NGOI</v>
          </cell>
          <cell r="C48" t="str">
            <v>Nhà 1 tầng bán kiên cố, tường chịu lực xây gạch 220, mái lợp ngói, chiều cao từ 3,2 đến 3,3m</v>
          </cell>
          <cell r="E48" t="str">
            <v>m2</v>
          </cell>
          <cell r="F48">
            <v>2574000</v>
          </cell>
          <cell r="G48">
            <v>25</v>
          </cell>
          <cell r="H48">
            <v>0.8</v>
          </cell>
        </row>
        <row r="49">
          <cell r="B49" t="str">
            <v>Nha1.1t(3,1-3,2)-NGOI</v>
          </cell>
          <cell r="C49" t="str">
            <v>Nhà 1 tầng bán kiên cố, tường chịu lực xây gạch 220, mái lợp ngói, chiều cao từ 3,1 đến 3,2m</v>
          </cell>
          <cell r="E49" t="str">
            <v>m2</v>
          </cell>
          <cell r="F49">
            <v>2528900</v>
          </cell>
          <cell r="G49">
            <v>25</v>
          </cell>
          <cell r="H49">
            <v>0.8</v>
          </cell>
        </row>
        <row r="50">
          <cell r="B50" t="str">
            <v>Nha1.1t(3,0-3,1)-NGOI</v>
          </cell>
          <cell r="C50" t="str">
            <v>Nhà 1 tầng bán kiên cố, tường chịu lực xây gạch 220, mái lợp ngói, chiều cao từ 3,0 đến 3,1m</v>
          </cell>
          <cell r="E50" t="str">
            <v>m2</v>
          </cell>
          <cell r="F50">
            <v>2483800</v>
          </cell>
          <cell r="G50">
            <v>25</v>
          </cell>
          <cell r="H50">
            <v>0.8</v>
          </cell>
        </row>
        <row r="51">
          <cell r="B51" t="str">
            <v>Nha1.1t(&lt;3,0)-NGOI</v>
          </cell>
          <cell r="C51" t="str">
            <v>Nhà 1 tầng bán kiên cố, tường chịu lực xây gạch 220, mái lợp ngói, chiều cao dưới 3,0m</v>
          </cell>
          <cell r="E51" t="str">
            <v>m2</v>
          </cell>
          <cell r="F51">
            <v>2438700</v>
          </cell>
          <cell r="G51">
            <v>25</v>
          </cell>
          <cell r="H51">
            <v>0.8</v>
          </cell>
        </row>
        <row r="52">
          <cell r="B52" t="str">
            <v>NHÀ 1 TẦNG</v>
          </cell>
          <cell r="C52" t="str">
            <v>Nhà 1 tầng bán kiên cố, tường chịu lực xây gạch 220, nền lót vữa XM, trát tường và quét vôi ve. Mái lợp tôn mạ màu</v>
          </cell>
        </row>
        <row r="53">
          <cell r="C53" t="str">
            <v>Chiều cao trung bình 1 tầng ≤ 4,0m cứ tăng 0,1m cộng thêm 39.000 đồng/m2</v>
          </cell>
        </row>
        <row r="54">
          <cell r="B54" t="str">
            <v>Nha1.1t(3,9-4,0)-TON</v>
          </cell>
          <cell r="C54" t="str">
            <v>Nhà 1 tầng bán kiên cố, tường chịu lực xây gạch 220, mái lợp tôn, chiều cao từ 3,9 đến 4,0m</v>
          </cell>
          <cell r="E54" t="str">
            <v>m2</v>
          </cell>
          <cell r="F54">
            <v>2732400</v>
          </cell>
          <cell r="G54">
            <v>25</v>
          </cell>
          <cell r="H54">
            <v>0.8</v>
          </cell>
        </row>
        <row r="55">
          <cell r="B55" t="str">
            <v>Nha1.1t(3,8-3,9)-TON</v>
          </cell>
          <cell r="C55" t="str">
            <v>Nhà 1 tầng bán kiên cố, tường chịu lực xây gạch 220, mái lợp tôn, chiều cao từ 3,8 đến 3,9m</v>
          </cell>
          <cell r="E55" t="str">
            <v>m2</v>
          </cell>
          <cell r="F55">
            <v>2689500</v>
          </cell>
          <cell r="G55">
            <v>25</v>
          </cell>
          <cell r="H55">
            <v>0.8</v>
          </cell>
        </row>
        <row r="56">
          <cell r="B56" t="str">
            <v>Nha1.1t(3,7-3,8)-TON</v>
          </cell>
          <cell r="C56" t="str">
            <v>Nhà 1 tầng bán kiên cố, tường chịu lực xây gạch 220, mái lợp tôn, chiều cao từ 3,7 đến 3,8m</v>
          </cell>
          <cell r="E56" t="str">
            <v>m2</v>
          </cell>
          <cell r="F56">
            <v>2646600</v>
          </cell>
          <cell r="G56">
            <v>25</v>
          </cell>
          <cell r="H56">
            <v>0.8</v>
          </cell>
        </row>
        <row r="57">
          <cell r="B57" t="str">
            <v>Nha1.1t(3,6-3,7)-TON</v>
          </cell>
          <cell r="C57" t="str">
            <v>Nhà 1 tầng bán kiên cố, tường chịu lực xây gạch 220, mái lợp tôn, chiều cao từ 3,6 đến 3,7m</v>
          </cell>
          <cell r="E57" t="str">
            <v>m2</v>
          </cell>
          <cell r="F57">
            <v>2603700</v>
          </cell>
          <cell r="G57">
            <v>25</v>
          </cell>
          <cell r="H57">
            <v>0.8</v>
          </cell>
        </row>
        <row r="58">
          <cell r="B58" t="str">
            <v>Nha1.1t(3,5-3,6)-TON</v>
          </cell>
          <cell r="C58" t="str">
            <v>Nhà 1 tầng bán kiên cố, tường chịu lực xây gạch 220, mái lợp tôn, chiều cao từ 3,5 đến 3,6m</v>
          </cell>
          <cell r="E58" t="str">
            <v>m2</v>
          </cell>
          <cell r="F58">
            <v>2560800</v>
          </cell>
          <cell r="G58">
            <v>25</v>
          </cell>
          <cell r="H58">
            <v>0.8</v>
          </cell>
        </row>
        <row r="59">
          <cell r="B59" t="str">
            <v>Nha1.1t(3,4-3,5)-TON</v>
          </cell>
          <cell r="C59" t="str">
            <v>Nhà 1 tầng bán kiên cố, tường chịu lực xây gạch 220, mái lợp tôn, chiều cao từ 3,4 đến 3,5m</v>
          </cell>
          <cell r="E59" t="str">
            <v>m2</v>
          </cell>
          <cell r="F59">
            <v>2517900</v>
          </cell>
          <cell r="G59">
            <v>25</v>
          </cell>
          <cell r="H59">
            <v>0.8</v>
          </cell>
        </row>
        <row r="60">
          <cell r="B60" t="str">
            <v>Nha1.1t(3,3-3,4)-TON</v>
          </cell>
          <cell r="C60" t="str">
            <v>Nhà 1 tầng bán kiên cố, tường chịu lực xây gạch 220, mái lợp tôn, chiều cao từ 3,3 đến 3,4m</v>
          </cell>
          <cell r="E60" t="str">
            <v>m2</v>
          </cell>
          <cell r="F60">
            <v>2475000</v>
          </cell>
          <cell r="G60">
            <v>25</v>
          </cell>
          <cell r="H60">
            <v>0.8</v>
          </cell>
        </row>
        <row r="61">
          <cell r="B61" t="str">
            <v>Nha1.1t(3,2-3,3)-TON</v>
          </cell>
          <cell r="C61" t="str">
            <v>Nhà 1 tầng bán kiên cố, tường chịu lực xây gạch 220, mái lợp tôn, chiều cao từ 3,2 đến 3,3m</v>
          </cell>
          <cell r="E61" t="str">
            <v>m2</v>
          </cell>
          <cell r="F61">
            <v>2432100</v>
          </cell>
          <cell r="G61">
            <v>25</v>
          </cell>
          <cell r="H61">
            <v>0.8</v>
          </cell>
        </row>
        <row r="62">
          <cell r="B62" t="str">
            <v>Nha1.1t(3,1-3,2)-TON</v>
          </cell>
          <cell r="C62" t="str">
            <v>Nhà 1 tầng bán kiên cố, tường chịu lực xây gạch 220, mái lợp tôn, chiều cao từ 3,1 đến 3,2m</v>
          </cell>
          <cell r="E62" t="str">
            <v>m2</v>
          </cell>
          <cell r="F62">
            <v>2389200</v>
          </cell>
          <cell r="G62">
            <v>25</v>
          </cell>
          <cell r="H62">
            <v>0.8</v>
          </cell>
        </row>
        <row r="63">
          <cell r="B63" t="str">
            <v>Nha1.1t(3,0-3,1)-TON</v>
          </cell>
          <cell r="C63" t="str">
            <v>Nhà 1 tầng bán kiên cố, tường chịu lực xây gạch 220, mái lợp tôn, chiều cao từ 3,0 đến 3,1m</v>
          </cell>
          <cell r="E63" t="str">
            <v>m2</v>
          </cell>
          <cell r="F63">
            <v>2346300</v>
          </cell>
          <cell r="G63">
            <v>25</v>
          </cell>
          <cell r="H63">
            <v>0.8</v>
          </cell>
        </row>
        <row r="64">
          <cell r="B64" t="str">
            <v>Nha1.1t(&lt;3,0)-TON</v>
          </cell>
          <cell r="C64" t="str">
            <v>Nhà 1 tầng bán kiên cố, tường chịu lực xây gạch 220, mái lợp tôn, chiều cao dưới 3,0m</v>
          </cell>
          <cell r="E64" t="str">
            <v>m2</v>
          </cell>
          <cell r="F64">
            <v>2303400</v>
          </cell>
          <cell r="G64">
            <v>25</v>
          </cell>
          <cell r="H64">
            <v>0.8</v>
          </cell>
        </row>
        <row r="65">
          <cell r="B65" t="str">
            <v>NHÀ 1 TẦNG</v>
          </cell>
          <cell r="C65" t="str">
            <v>Nhà 1 tầng bán kiên cố, tường chịu lực xây gạch 220, nền lót vữa XM, trát tường và quét vôi ve. Mái lợp Fibrôximăng</v>
          </cell>
        </row>
        <row r="66">
          <cell r="C66" t="str">
            <v>Chiều cao trung bình 1 tầng ≤ 4,0m cứ tăng 0,1m cộng thêm 35.000 đồng/m2</v>
          </cell>
        </row>
        <row r="67">
          <cell r="B67" t="str">
            <v>Nha1.1t(3,9-4,0)-FB</v>
          </cell>
          <cell r="C67" t="str">
            <v>Nhà 1 tầng bán kiên cố, tường chịu lực xây gạch 220, mái fibroximang, chiều cao từ 3,9 đến 4,0m</v>
          </cell>
          <cell r="E67" t="str">
            <v>m2</v>
          </cell>
          <cell r="F67">
            <v>2447500</v>
          </cell>
          <cell r="G67">
            <v>25</v>
          </cell>
          <cell r="H67">
            <v>0.8</v>
          </cell>
        </row>
        <row r="68">
          <cell r="B68" t="str">
            <v>Nha1.1t(3,8-3,9)-FB</v>
          </cell>
          <cell r="C68" t="str">
            <v>Nhà 1 tầng bán kiên cố, tường chịu lực xây gạch 220, mái fibroximang, chiều cao từ 3,8 đến 3,9m</v>
          </cell>
          <cell r="E68" t="str">
            <v>m2</v>
          </cell>
          <cell r="F68">
            <v>2409000</v>
          </cell>
          <cell r="G68">
            <v>25</v>
          </cell>
        </row>
        <row r="69">
          <cell r="B69" t="str">
            <v>Nha1.1t(3,7-3,8)-FB</v>
          </cell>
          <cell r="C69" t="str">
            <v>Nhà 1 tầng bán kiên cố, tường chịu lực xây gạch 220, mái fibroximang, chiều cao từ 3,7 đến 3,8m</v>
          </cell>
          <cell r="E69" t="str">
            <v>m2</v>
          </cell>
          <cell r="F69">
            <v>2370500</v>
          </cell>
          <cell r="G69">
            <v>25</v>
          </cell>
        </row>
        <row r="70">
          <cell r="B70" t="str">
            <v>Nha1.1t(3,6-3,7)-FB</v>
          </cell>
          <cell r="C70" t="str">
            <v>Nhà 1 tầng bán kiên cố, tường chịu lực xây gạch 220, mái fibroximang, chiều cao từ 3,6 đến 3,7m</v>
          </cell>
          <cell r="E70" t="str">
            <v>m2</v>
          </cell>
          <cell r="F70">
            <v>2332000</v>
          </cell>
          <cell r="G70">
            <v>25</v>
          </cell>
        </row>
        <row r="71">
          <cell r="B71" t="str">
            <v>Nha1.1t(3,5-3,6)-FB</v>
          </cell>
          <cell r="C71" t="str">
            <v>Nhà 1 tầng bán kiên cố, tường chịu lực xây gạch 220, mái fibroximang, chiều cao từ 3,5 đến 3,6m</v>
          </cell>
          <cell r="E71" t="str">
            <v>m2</v>
          </cell>
          <cell r="F71">
            <v>2293500</v>
          </cell>
          <cell r="G71">
            <v>25</v>
          </cell>
        </row>
        <row r="72">
          <cell r="B72" t="str">
            <v>Nha1.1t(3,4-3,5)-FB</v>
          </cell>
          <cell r="C72" t="str">
            <v>Nhà 1 tầng bán kiên cố, tường chịu lực xây gạch 220, mái fibroximang, chiều cao từ 3,4 đến 3,5m</v>
          </cell>
          <cell r="E72" t="str">
            <v>m2</v>
          </cell>
          <cell r="F72">
            <v>2255000</v>
          </cell>
          <cell r="G72">
            <v>25</v>
          </cell>
        </row>
        <row r="73">
          <cell r="B73" t="str">
            <v>Nha1.1t(3,3-3,4)-FB</v>
          </cell>
          <cell r="C73" t="str">
            <v>Nhà 1 tầng bán kiên cố, tường chịu lực xây gạch 220, mái fibroximang, chiều cao từ 3,3 đến 3,4m</v>
          </cell>
          <cell r="E73" t="str">
            <v>m2</v>
          </cell>
          <cell r="F73">
            <v>2216500</v>
          </cell>
          <cell r="G73">
            <v>25</v>
          </cell>
        </row>
        <row r="74">
          <cell r="B74" t="str">
            <v>Nha1.1t(3,2-3,3)-FB</v>
          </cell>
          <cell r="C74" t="str">
            <v>Nhà 1 tầng bán kiên cố, tường chịu lực xây gạch 220, mái fibroximang, chiều cao từ 3,2 đến 3,3m</v>
          </cell>
          <cell r="E74" t="str">
            <v>m2</v>
          </cell>
          <cell r="F74">
            <v>2178000</v>
          </cell>
          <cell r="G74">
            <v>25</v>
          </cell>
        </row>
        <row r="75">
          <cell r="B75" t="str">
            <v>Nha1.1t(3,1-3,2)-FB</v>
          </cell>
          <cell r="C75" t="str">
            <v>Nhà 1 tầng bán kiên cố, tường chịu lực xây gạch 220, mái fibroximang, chiều cao từ 3,1 đến 3,2m</v>
          </cell>
          <cell r="E75" t="str">
            <v>m2</v>
          </cell>
          <cell r="F75">
            <v>2139500</v>
          </cell>
          <cell r="G75">
            <v>25</v>
          </cell>
        </row>
        <row r="76">
          <cell r="B76" t="str">
            <v>Nha1.1t(3,0-3,1)-FB</v>
          </cell>
          <cell r="C76" t="str">
            <v>Nhà 1 tầng bán kiên cố, tường chịu lực xây gạch 220, mái fibroximang, chiều cao từ 3,0 đến 3,1m</v>
          </cell>
          <cell r="E76" t="str">
            <v>m2</v>
          </cell>
          <cell r="F76">
            <v>2101000</v>
          </cell>
          <cell r="G76">
            <v>25</v>
          </cell>
        </row>
        <row r="77">
          <cell r="B77" t="str">
            <v>Nha1.1t(&lt;3,0)-FB</v>
          </cell>
          <cell r="C77" t="str">
            <v>Nhà 1 tầng bán kiên cố, tường chịu lực xây gạch 220, mái fibroximang, chiều cao dưới 3,0m</v>
          </cell>
          <cell r="E77" t="str">
            <v>m2</v>
          </cell>
          <cell r="F77">
            <v>2062500.0000000002</v>
          </cell>
          <cell r="G77">
            <v>25</v>
          </cell>
        </row>
        <row r="78">
          <cell r="B78" t="str">
            <v>NHÀ 1 TẦNG</v>
          </cell>
          <cell r="C78" t="str">
            <v>'Nhà 1 tầng bán kiên cố, tường chịu lực xây gạch 110, nền lót vữa XM, trát tường và quét vôi ve. Mái lợp ngói</v>
          </cell>
        </row>
        <row r="79">
          <cell r="B79" t="str">
            <v xml:space="preserve"> </v>
          </cell>
          <cell r="C79" t="str">
            <v>Chiều cao trung bình 1 tầng ≤ 4,0m cứ tăng 0,1m cộng thêm 40.000 đồng/m2</v>
          </cell>
        </row>
        <row r="80">
          <cell r="B80" t="str">
            <v>Nha1.2t(3,9-4,0)-NGOI</v>
          </cell>
          <cell r="C80" t="str">
            <v>Nhà 1 tầng bán kiên cố, tường chịu lực xây gạch 110, mái lợp ngói, chiều cao từ 3,9 đến 4,0m</v>
          </cell>
          <cell r="E80" t="str">
            <v>m2</v>
          </cell>
          <cell r="F80">
            <v>2792900</v>
          </cell>
          <cell r="G80">
            <v>25</v>
          </cell>
          <cell r="H80">
            <v>0.8</v>
          </cell>
        </row>
        <row r="81">
          <cell r="B81" t="str">
            <v>Nha1.2t(3,8-3,9)-NGOI</v>
          </cell>
          <cell r="C81" t="str">
            <v>Nhà 1 tầng bán kiên cố, tường chịu lực xây gạch 110, mái lợp ngói, chiều cao từ 3,8 đến 3,9m</v>
          </cell>
          <cell r="E81" t="str">
            <v>m2</v>
          </cell>
          <cell r="F81">
            <v>2748900</v>
          </cell>
          <cell r="G81">
            <v>25</v>
          </cell>
          <cell r="H81">
            <v>0.8</v>
          </cell>
        </row>
        <row r="82">
          <cell r="B82" t="str">
            <v>Nha1.2t(3,7-3,8)-NGOI</v>
          </cell>
          <cell r="C82" t="str">
            <v>Nhà 1 tầng bán kiên cố, tường chịu lực xây gạch 110, mái lợp ngói, chiều cao từ 3,7 đến 3,8m</v>
          </cell>
          <cell r="E82" t="str">
            <v>m2</v>
          </cell>
          <cell r="F82">
            <v>2704900</v>
          </cell>
          <cell r="G82">
            <v>25</v>
          </cell>
          <cell r="H82">
            <v>0.8</v>
          </cell>
        </row>
        <row r="83">
          <cell r="B83" t="str">
            <v>Nha1.2t(3,6-3,7)-NGOI</v>
          </cell>
          <cell r="C83" t="str">
            <v>Nhà 1 tầng bán kiên cố, tường chịu lực xây gạch 110, mái lợp ngói, chiều cao từ 3,6 đến 3,7m</v>
          </cell>
          <cell r="E83" t="str">
            <v>m2</v>
          </cell>
          <cell r="F83">
            <v>2660900</v>
          </cell>
          <cell r="G83">
            <v>25</v>
          </cell>
          <cell r="H83">
            <v>0.8</v>
          </cell>
        </row>
        <row r="84">
          <cell r="B84" t="str">
            <v>Nha1.2t(3,5-3,6)-NGOI</v>
          </cell>
          <cell r="C84" t="str">
            <v>Nhà 1 tầng bán kiên cố, tường chịu lực xây gạch 110, mái lợp ngói, chiều cao từ 3,5 đến 3,6m</v>
          </cell>
          <cell r="E84" t="str">
            <v>m2</v>
          </cell>
          <cell r="F84">
            <v>2616900</v>
          </cell>
          <cell r="G84">
            <v>25</v>
          </cell>
          <cell r="H84">
            <v>0.8</v>
          </cell>
        </row>
        <row r="85">
          <cell r="B85" t="str">
            <v>Nha1.2t(3,4-3,5)-NGOI</v>
          </cell>
          <cell r="C85" t="str">
            <v>Nhà 1 tầng bán kiên cố, tường chịu lực xây gạch 110, mái lợp ngói, chiều cao từ 3,4 đến 3,5m</v>
          </cell>
          <cell r="E85" t="str">
            <v>m2</v>
          </cell>
          <cell r="F85">
            <v>2572900</v>
          </cell>
          <cell r="G85">
            <v>25</v>
          </cell>
          <cell r="H85">
            <v>0.8</v>
          </cell>
        </row>
        <row r="86">
          <cell r="B86" t="str">
            <v>Nha1.2t(3,3-3,4)-NGOI</v>
          </cell>
          <cell r="C86" t="str">
            <v>Nhà 1 tầng bán kiên cố, tường chịu lực xây gạch 110, mái lợp ngói, chiều cao từ 3,3 đến 3,4m</v>
          </cell>
          <cell r="E86" t="str">
            <v>m2</v>
          </cell>
          <cell r="F86">
            <v>2528900</v>
          </cell>
          <cell r="G86">
            <v>25</v>
          </cell>
          <cell r="H86">
            <v>0.8</v>
          </cell>
        </row>
        <row r="87">
          <cell r="B87" t="str">
            <v>Nha1.2t(3,2-3,3)-NGOI</v>
          </cell>
          <cell r="C87" t="str">
            <v>Nhà 1 tầng bán kiên cố, tường chịu lực xây gạch 110, mái lợp ngói, chiều cao từ 3,2 đến 3,3m</v>
          </cell>
          <cell r="E87" t="str">
            <v>m2</v>
          </cell>
          <cell r="F87">
            <v>2484900</v>
          </cell>
          <cell r="G87">
            <v>25</v>
          </cell>
          <cell r="H87">
            <v>0.8</v>
          </cell>
        </row>
        <row r="88">
          <cell r="B88" t="str">
            <v>Nha1.2t(3,1-3,2)-NGOI</v>
          </cell>
          <cell r="C88" t="str">
            <v>Nhà 1 tầng bán kiên cố, tường chịu lực xây gạch 110, mái lợp ngói, chiều cao từ 3,1 đến 3,2m</v>
          </cell>
          <cell r="E88" t="str">
            <v>m2</v>
          </cell>
          <cell r="F88">
            <v>2440900</v>
          </cell>
          <cell r="G88">
            <v>25</v>
          </cell>
          <cell r="H88">
            <v>0.8</v>
          </cell>
        </row>
        <row r="89">
          <cell r="B89" t="str">
            <v>Nha1.2t(3,0-3,1)-NGOI</v>
          </cell>
          <cell r="C89" t="str">
            <v>Nhà 1 tầng bán kiên cố, tường chịu lực xây gạch 110, mái lợp ngói, chiều cao từ 3,0 đến 3,1m</v>
          </cell>
          <cell r="E89" t="str">
            <v>m2</v>
          </cell>
          <cell r="F89">
            <v>2396900</v>
          </cell>
          <cell r="G89">
            <v>25</v>
          </cell>
          <cell r="H89">
            <v>0.8</v>
          </cell>
        </row>
        <row r="90">
          <cell r="B90" t="str">
            <v>Nha1.2t(&lt;3,0)-NGOI</v>
          </cell>
          <cell r="C90" t="str">
            <v>Nhà 1 tầng bán kiên cố, tường chịu lực xây gạch 110, mái lợp ngói, chiều cao dưới 3,0m</v>
          </cell>
          <cell r="E90" t="str">
            <v>m2</v>
          </cell>
          <cell r="F90">
            <v>2352900</v>
          </cell>
          <cell r="G90">
            <v>25</v>
          </cell>
          <cell r="H90">
            <v>0.8</v>
          </cell>
        </row>
        <row r="91">
          <cell r="B91" t="str">
            <v>NHÀ 1 TẦNG</v>
          </cell>
          <cell r="C91" t="str">
            <v>Nhà 1 tầng bán kiên cố, tường chịu lực xây gạch 110, nền lót vữa XM, trát tường và quét vôi ve. Mái lợp tôn mạ màu</v>
          </cell>
        </row>
        <row r="92">
          <cell r="C92" t="str">
            <v>Chiều cao trung bình 1 tầng ≤ 4,0m cứ tăng 0,1m cộng thêm 38.000 đồng/m2</v>
          </cell>
        </row>
        <row r="93">
          <cell r="B93" t="str">
            <v>Nha1.2t(3,9-4,0)-TON</v>
          </cell>
          <cell r="C93" t="str">
            <v>Nhà 1 tầng bán kiên cố, tường chịu lực xây gạch 110, mái lợp tôn, chiều cao từ 3,9 đến 4,0m</v>
          </cell>
          <cell r="E93" t="str">
            <v>m2</v>
          </cell>
          <cell r="F93">
            <v>2682900</v>
          </cell>
          <cell r="G93">
            <v>25</v>
          </cell>
          <cell r="H93">
            <v>0.8</v>
          </cell>
        </row>
        <row r="94">
          <cell r="B94" t="str">
            <v>Nha1.2t(3,8-3,9)-TON</v>
          </cell>
          <cell r="C94" t="str">
            <v>Nhà 1 tầng bán kiên cố, tường chịu lực xây gạch 110, mái lợp tôn, chiều cao từ 3,8 đến 3,9m</v>
          </cell>
          <cell r="E94" t="str">
            <v>m2</v>
          </cell>
          <cell r="F94">
            <v>2641100</v>
          </cell>
          <cell r="G94">
            <v>25</v>
          </cell>
          <cell r="H94">
            <v>0.8</v>
          </cell>
        </row>
        <row r="95">
          <cell r="B95" t="str">
            <v>Nha1.2t(3,7-3,8)-TON</v>
          </cell>
          <cell r="C95" t="str">
            <v>Nhà 1 tầng bán kiên cố, tường chịu lực xây gạch 110, mái lợp tôn, chiều cao từ 3,7 đến 3,8m</v>
          </cell>
          <cell r="E95" t="str">
            <v>m2</v>
          </cell>
          <cell r="F95">
            <v>2599300</v>
          </cell>
          <cell r="G95">
            <v>25</v>
          </cell>
          <cell r="H95">
            <v>0.8</v>
          </cell>
        </row>
        <row r="96">
          <cell r="B96" t="str">
            <v>Nha1.2t(3,6-3,7)-TON</v>
          </cell>
          <cell r="C96" t="str">
            <v>Nhà 1 tầng bán kiên cố, tường chịu lực xây gạch 110, mái lợp tôn, chiều cao từ 3,6 đến 3,7m</v>
          </cell>
          <cell r="E96" t="str">
            <v>m2</v>
          </cell>
          <cell r="F96">
            <v>2557500</v>
          </cell>
          <cell r="G96">
            <v>25</v>
          </cell>
          <cell r="H96">
            <v>0.8</v>
          </cell>
        </row>
        <row r="97">
          <cell r="B97" t="str">
            <v>Nha1.2t(3,5-3,6)-TON</v>
          </cell>
          <cell r="C97" t="str">
            <v>Nhà 1 tầng bán kiên cố, tường chịu lực xây gạch 110, mái lợp tôn, chiều cao từ 3,5 đến 3,6m</v>
          </cell>
          <cell r="E97" t="str">
            <v>m2</v>
          </cell>
          <cell r="F97">
            <v>2515700</v>
          </cell>
          <cell r="G97">
            <v>25</v>
          </cell>
          <cell r="H97">
            <v>0.8</v>
          </cell>
        </row>
        <row r="98">
          <cell r="B98" t="str">
            <v>Nha1.2t(3,4-3,5)-TON</v>
          </cell>
          <cell r="C98" t="str">
            <v>Nhà 1 tầng bán kiên cố, tường chịu lực xây gạch 110, mái lợp tôn, chiều cao từ 3,4 đến 3,5m</v>
          </cell>
          <cell r="E98" t="str">
            <v>m2</v>
          </cell>
          <cell r="F98">
            <v>2473900</v>
          </cell>
          <cell r="G98">
            <v>25</v>
          </cell>
          <cell r="H98">
            <v>0.8</v>
          </cell>
        </row>
        <row r="99">
          <cell r="B99" t="str">
            <v>Nha1.2t(3,3-3,4)-TON</v>
          </cell>
          <cell r="C99" t="str">
            <v>Nhà 1 tầng bán kiên cố, tường chịu lực xây gạch 110, mái lợp tôn, chiều cao từ 3,3 đến 3,4m</v>
          </cell>
          <cell r="E99" t="str">
            <v>m2</v>
          </cell>
          <cell r="F99">
            <v>2432100</v>
          </cell>
          <cell r="G99">
            <v>25</v>
          </cell>
          <cell r="H99">
            <v>0.8</v>
          </cell>
        </row>
        <row r="100">
          <cell r="B100" t="str">
            <v>Nha1.2t(3,2-3,3)-TON</v>
          </cell>
          <cell r="C100" t="str">
            <v>Nhà 1 tầng bán kiên cố, tường chịu lực xây gạch 110, mái lợp tôn, chiều cao từ 3,2 đến 3,3m</v>
          </cell>
          <cell r="E100" t="str">
            <v>m2</v>
          </cell>
          <cell r="F100">
            <v>2390300</v>
          </cell>
          <cell r="G100">
            <v>25</v>
          </cell>
          <cell r="H100">
            <v>0.8</v>
          </cell>
        </row>
        <row r="101">
          <cell r="B101" t="str">
            <v>Nha1.2t(3,1-3,2)-TON</v>
          </cell>
          <cell r="C101" t="str">
            <v>Nhà 1 tầng bán kiên cố, tường chịu lực xây gạch 110, mái lợp tôn, chiều cao từ 3,1 đến 3,2m</v>
          </cell>
          <cell r="E101" t="str">
            <v>m2</v>
          </cell>
          <cell r="F101">
            <v>2348500</v>
          </cell>
          <cell r="G101">
            <v>25</v>
          </cell>
          <cell r="H101">
            <v>0.8</v>
          </cell>
        </row>
        <row r="102">
          <cell r="B102" t="str">
            <v>Nha1.2t(3,0-3,1)-TON</v>
          </cell>
          <cell r="C102" t="str">
            <v>Nhà 1 tầng bán kiên cố, tường chịu lực xây gạch 110, mái lợp tôn, chiều cao từ 3,0 đến 3,1m</v>
          </cell>
          <cell r="E102" t="str">
            <v>m2</v>
          </cell>
          <cell r="F102">
            <v>2306700</v>
          </cell>
          <cell r="G102">
            <v>25</v>
          </cell>
          <cell r="H102">
            <v>0.8</v>
          </cell>
        </row>
        <row r="103">
          <cell r="B103" t="str">
            <v>Nha1.2t(&lt;3,0)-TON</v>
          </cell>
          <cell r="C103" t="str">
            <v>Nhà 1 tầng bán kiên cố, tường chịu lực xây gạch 110, mái lợp tôn, chiều cao dưới 3,0m</v>
          </cell>
          <cell r="E103" t="str">
            <v>m2</v>
          </cell>
          <cell r="F103">
            <v>2264900</v>
          </cell>
          <cell r="G103">
            <v>25</v>
          </cell>
          <cell r="H103">
            <v>0.8</v>
          </cell>
        </row>
        <row r="104">
          <cell r="B104" t="str">
            <v>NHÀ 1 TẦNG</v>
          </cell>
          <cell r="C104" t="str">
            <v>Nhà 1 tầng bán kiên cố, tường chịu lực xây gạch 110, nền lót vữa XM, trát tường và quét vôi ve. Mái lợp Fibrôximăng</v>
          </cell>
        </row>
        <row r="105">
          <cell r="C105" t="str">
            <v>Chiều cao trung bình 1 tầng ≤ 4,0m cứ tăng 0,1m cộng thêm 34.000 đồng/m2</v>
          </cell>
        </row>
        <row r="106">
          <cell r="B106" t="str">
            <v>Nha1.2t(3,9-4,0)-FB</v>
          </cell>
          <cell r="C106" t="str">
            <v>Nhà 1 tầng bán kiên cố, tường chịu lực xây gạch 110, mái fibroximang, chiều cao từ 3,9 đến 4,0m</v>
          </cell>
          <cell r="E106" t="str">
            <v>m2</v>
          </cell>
          <cell r="F106">
            <v>2398000</v>
          </cell>
          <cell r="G106">
            <v>25</v>
          </cell>
          <cell r="H106">
            <v>0.8</v>
          </cell>
        </row>
        <row r="107">
          <cell r="B107" t="str">
            <v>Nha1.2t(3,8-3,9)-FB</v>
          </cell>
          <cell r="C107" t="str">
            <v>Nhà 1 tầng bán kiên cố, tường chịu lực xây gạch 110, mái fibroximang, chiều cao từ 3,8 đến 3,9m</v>
          </cell>
          <cell r="E107" t="str">
            <v>m2</v>
          </cell>
          <cell r="F107">
            <v>2360600</v>
          </cell>
          <cell r="G107">
            <v>25</v>
          </cell>
          <cell r="H107">
            <v>0.8</v>
          </cell>
        </row>
        <row r="108">
          <cell r="B108" t="str">
            <v>Nha1.2t(3,7-3,8)-FB</v>
          </cell>
          <cell r="C108" t="str">
            <v>Nhà 1 tầng bán kiên cố, tường chịu lực xây gạch 110, mái fibroximang, chiều cao từ 3,7 đến 3,8m</v>
          </cell>
          <cell r="E108" t="str">
            <v>m2</v>
          </cell>
          <cell r="F108">
            <v>2323200</v>
          </cell>
          <cell r="G108">
            <v>25</v>
          </cell>
          <cell r="H108">
            <v>0.8</v>
          </cell>
        </row>
        <row r="109">
          <cell r="B109" t="str">
            <v>Nha1.2t(3,6-3,7)-FB</v>
          </cell>
          <cell r="C109" t="str">
            <v>Nhà 1 tầng bán kiên cố, tường chịu lực xây gạch 110, mái fibroximang, chiều cao từ 3,6 đến 3,7m</v>
          </cell>
          <cell r="E109" t="str">
            <v>m2</v>
          </cell>
          <cell r="F109">
            <v>2285800</v>
          </cell>
          <cell r="G109">
            <v>25</v>
          </cell>
          <cell r="H109">
            <v>0.8</v>
          </cell>
        </row>
        <row r="110">
          <cell r="B110" t="str">
            <v>Nha1.2t(3,5-3,6)-FB</v>
          </cell>
          <cell r="C110" t="str">
            <v>Nhà 1 tầng bán kiên cố, tường chịu lực xây gạch 110, mái fibroximang, chiều cao từ 3,5 đến 3,6m</v>
          </cell>
          <cell r="E110" t="str">
            <v>m2</v>
          </cell>
          <cell r="F110">
            <v>2248400</v>
          </cell>
          <cell r="G110">
            <v>25</v>
          </cell>
          <cell r="H110">
            <v>0.8</v>
          </cell>
        </row>
        <row r="111">
          <cell r="B111" t="str">
            <v>Nha1.2t(3,4-3,5)-FB</v>
          </cell>
          <cell r="C111" t="str">
            <v>Nhà 1 tầng bán kiên cố, tường chịu lực xây gạch 110, mái fibroximang, chiều cao từ 3,4 đến 3,5m</v>
          </cell>
          <cell r="E111" t="str">
            <v>m2</v>
          </cell>
          <cell r="F111">
            <v>2211000</v>
          </cell>
          <cell r="G111">
            <v>25</v>
          </cell>
          <cell r="H111">
            <v>0.8</v>
          </cell>
        </row>
        <row r="112">
          <cell r="B112" t="str">
            <v>Nha1.2t(3,3-3,4)-FB</v>
          </cell>
          <cell r="C112" t="str">
            <v>Nhà 1 tầng bán kiên cố, tường chịu lực xây gạch 110, mái fibroximang, chiều cao từ 3,3 đến 3,4m</v>
          </cell>
          <cell r="E112" t="str">
            <v>m2</v>
          </cell>
          <cell r="F112">
            <v>2173600</v>
          </cell>
          <cell r="G112">
            <v>25</v>
          </cell>
          <cell r="H112">
            <v>0.8</v>
          </cell>
        </row>
        <row r="113">
          <cell r="B113" t="str">
            <v>Nha1.2t(3,2-3,3)-FB</v>
          </cell>
          <cell r="C113" t="str">
            <v>Nhà 1 tầng bán kiên cố, tường chịu lực xây gạch 110, mái fibroximang, chiều cao từ 3,2 đến 3,3m</v>
          </cell>
          <cell r="E113" t="str">
            <v>m2</v>
          </cell>
          <cell r="F113">
            <v>2136200</v>
          </cell>
          <cell r="G113">
            <v>25</v>
          </cell>
          <cell r="H113">
            <v>0.8</v>
          </cell>
        </row>
        <row r="114">
          <cell r="B114" t="str">
            <v>Nha1.2t(3,1-3,2)-FB</v>
          </cell>
          <cell r="C114" t="str">
            <v>Nhà 1 tầng bán kiên cố, tường chịu lực xây gạch 110, mái fibroximang, chiều cao từ 3,1 đến 3,2m</v>
          </cell>
          <cell r="E114" t="str">
            <v>m2</v>
          </cell>
          <cell r="F114">
            <v>2098800</v>
          </cell>
          <cell r="G114">
            <v>25</v>
          </cell>
          <cell r="H114">
            <v>0.8</v>
          </cell>
        </row>
        <row r="115">
          <cell r="B115" t="str">
            <v>Nha1.2t(3,0-3,1)-FB</v>
          </cell>
          <cell r="C115" t="str">
            <v>Nhà 1 tầng bán kiên cố, tường chịu lực xây gạch 110, mái fibroximang, chiều cao từ 3,0 đến 3,1m</v>
          </cell>
          <cell r="E115" t="str">
            <v>m2</v>
          </cell>
          <cell r="F115">
            <v>2061400.0000000002</v>
          </cell>
          <cell r="G115">
            <v>25</v>
          </cell>
          <cell r="H115">
            <v>0.8</v>
          </cell>
        </row>
        <row r="116">
          <cell r="B116" t="str">
            <v>Nha1.2t(&lt;3,0)-FB</v>
          </cell>
          <cell r="C116" t="str">
            <v>Nhà 1 tầng bán kiên cố, tường chịu lực xây gạch 110, mái fibroximang, chiều cao dưới 3,0m</v>
          </cell>
          <cell r="E116" t="str">
            <v>m2</v>
          </cell>
          <cell r="F116">
            <v>2024000.0000000002</v>
          </cell>
          <cell r="G116">
            <v>25</v>
          </cell>
          <cell r="H116">
            <v>0.8</v>
          </cell>
        </row>
        <row r="117">
          <cell r="B117" t="str">
            <v>WC</v>
          </cell>
          <cell r="C117" t="str">
            <v>Nhà vệ sinh tầng 1, cao ≤ 3m, tường chịu lực gạch 220, nền lót vữa XM, trát tường và quét vôi ve (chưa bao gồm bể phốt)</v>
          </cell>
        </row>
        <row r="118">
          <cell r="B118" t="str">
            <v>WC-BTCT</v>
          </cell>
          <cell r="C118" t="str">
            <v>Nhà vệ sinh 1 tầng, cao ≤ 3m, tường 220, mái BTCT</v>
          </cell>
          <cell r="E118" t="str">
            <v>m2</v>
          </cell>
          <cell r="F118">
            <v>3594800.0000000005</v>
          </cell>
          <cell r="G118">
            <v>25</v>
          </cell>
          <cell r="H118">
            <v>0.8</v>
          </cell>
        </row>
        <row r="119">
          <cell r="B119" t="str">
            <v>WC-Lợp Ngói</v>
          </cell>
          <cell r="C119" t="str">
            <v>Nhà vệ sinh 1 tầng, cao ≤ 3m, tường 220, mái lợp ngói</v>
          </cell>
          <cell r="E119" t="str">
            <v>m2</v>
          </cell>
          <cell r="F119">
            <v>3502400.0000000005</v>
          </cell>
          <cell r="G119">
            <v>25</v>
          </cell>
          <cell r="H119">
            <v>0.8</v>
          </cell>
        </row>
        <row r="120">
          <cell r="B120" t="str">
            <v>WC-TON</v>
          </cell>
          <cell r="C120" t="str">
            <v>Nhà vệ sinh 1 tầng, cao ≤ 3m, tường 220, mái lợp tôn</v>
          </cell>
          <cell r="E120" t="str">
            <v>m2</v>
          </cell>
          <cell r="F120">
            <v>3438600.0000000005</v>
          </cell>
          <cell r="G120">
            <v>25</v>
          </cell>
          <cell r="H120">
            <v>0.8</v>
          </cell>
        </row>
        <row r="121">
          <cell r="B121" t="str">
            <v>WC-FB</v>
          </cell>
          <cell r="C121" t="str">
            <v>Nhà vệ sinh 1 tầng, cao ≤ 3m, tường 220, mái fibroximang</v>
          </cell>
          <cell r="E121" t="str">
            <v>m2</v>
          </cell>
          <cell r="F121">
            <v>2382600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row>
        <row r="123">
          <cell r="B123" t="str">
            <v>Mái vẩy 02 lợp ngói 3m</v>
          </cell>
          <cell r="C123" t="str">
            <v>Mái đua, mái vẩy, tường xây gạch 220, mái lợp ngói chiều cao 3m</v>
          </cell>
          <cell r="D123">
            <v>1407000</v>
          </cell>
          <cell r="E123" t="str">
            <v>m2</v>
          </cell>
          <cell r="F123">
            <v>1547700.0000000002</v>
          </cell>
          <cell r="G123">
            <v>25</v>
          </cell>
          <cell r="H123">
            <v>0.8</v>
          </cell>
        </row>
        <row r="124">
          <cell r="C124" t="str">
            <v>- Nếu cao hơn 3m, cứ tăng 0,1m thì cộng thêm 33.000 đồng/m2</v>
          </cell>
        </row>
        <row r="125">
          <cell r="C125" t="str">
            <v>- Nếu cao hơn 3m, cứ giảm 0,1m thì trừ đi 33.000 đồng/m2</v>
          </cell>
        </row>
        <row r="126">
          <cell r="B126" t="str">
            <v>Mái vẩy 02 lợp ngói &lt;= 2,7m</v>
          </cell>
          <cell r="C126" t="str">
            <v>Mái đua, mái vẩy, tường xây gạch 220, mái lợp ngói chiều cao &lt;= 2,7m</v>
          </cell>
          <cell r="E126" t="str">
            <v>m2</v>
          </cell>
          <cell r="F126">
            <v>1438800</v>
          </cell>
          <cell r="G126">
            <v>25</v>
          </cell>
          <cell r="H126">
            <v>0.8</v>
          </cell>
        </row>
        <row r="127">
          <cell r="B127" t="str">
            <v>Mái vẩy 02 lợp tôn mạ màu 3m</v>
          </cell>
          <cell r="C127" t="str">
            <v>Mái đua, mái vẩy, tường xây gạch 220, mái lợp tôn chiều cao 3m</v>
          </cell>
          <cell r="D127">
            <v>1329000</v>
          </cell>
          <cell r="E127" t="str">
            <v>m2</v>
          </cell>
          <cell r="F127">
            <v>1461900.0000000002</v>
          </cell>
          <cell r="G127">
            <v>25</v>
          </cell>
          <cell r="H127">
            <v>0.8</v>
          </cell>
        </row>
        <row r="128">
          <cell r="C128" t="str">
            <v>- Nếu cao hơn 3m, cứ tăng 0,1m thì cộng thêm 31.000 đồng/m2</v>
          </cell>
        </row>
        <row r="129">
          <cell r="C129" t="str">
            <v>- Nếu cao hơn 3m, cứ giảm 0,1m thì trừ đi 31.000 đồng/m2</v>
          </cell>
        </row>
        <row r="130">
          <cell r="B130" t="str">
            <v>Mái vẩy 02 lợp tôn &lt;= 2,7m</v>
          </cell>
          <cell r="C130" t="str">
            <v>Mái đua, mái vẩy, tường xây gạch 220, mái lợp tôn chiều cao &lt;= 2,7m</v>
          </cell>
          <cell r="E130" t="str">
            <v>m2</v>
          </cell>
          <cell r="F130">
            <v>1359600</v>
          </cell>
          <cell r="G130">
            <v>25</v>
          </cell>
          <cell r="H130">
            <v>0.8</v>
          </cell>
        </row>
        <row r="131">
          <cell r="B131" t="str">
            <v>Mái vẩy 02 lợp fibroximang 3m</v>
          </cell>
          <cell r="C131" t="str">
            <v>Mái đua, mái vẩy, tường xây gạch 220, mái lợp fibroximang chiều cao 3m</v>
          </cell>
          <cell r="D131">
            <v>1087000</v>
          </cell>
          <cell r="E131" t="str">
            <v>m2</v>
          </cell>
          <cell r="F131">
            <v>1195700</v>
          </cell>
          <cell r="G131">
            <v>25</v>
          </cell>
          <cell r="H131">
            <v>0.8</v>
          </cell>
        </row>
        <row r="132">
          <cell r="C132" t="str">
            <v>- Nếu cao hơn 3m, cứ tăng 0,1m thì cộng thêm 25.000 đồng/m2</v>
          </cell>
        </row>
        <row r="133">
          <cell r="C133" t="str">
            <v>- Nếu cao hơn 3m, cứ giảm 0,1m thì trừ đi 25.000 đồng/m2</v>
          </cell>
        </row>
        <row r="134">
          <cell r="B134" t="str">
            <v>Mái vẩy 02 lợp fibroximang &lt;= 2,7m</v>
          </cell>
          <cell r="C134" t="str">
            <v>Mái đua, mái vẩy, tường xây gạch 220, mái lợp fibroximang chiều cao &lt;= 2,7m</v>
          </cell>
          <cell r="E134" t="str">
            <v>m2</v>
          </cell>
          <cell r="F134">
            <v>1113200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row>
        <row r="136">
          <cell r="B136" t="str">
            <v>Mái vẩy 01 lợp ngói 3m</v>
          </cell>
          <cell r="C136" t="str">
            <v>Mái đua, mái vẩy, tường xây gạch 110, mái lợp ngói chiều cao 3m</v>
          </cell>
          <cell r="D136">
            <v>1343000</v>
          </cell>
          <cell r="E136" t="str">
            <v>m2</v>
          </cell>
          <cell r="F136">
            <v>1477300.0000000002</v>
          </cell>
          <cell r="G136">
            <v>25</v>
          </cell>
          <cell r="H136">
            <v>0.8</v>
          </cell>
        </row>
        <row r="137">
          <cell r="C137" t="str">
            <v>- Nếu cao hơn 3m, cứ tăng 0,1m thì cộng thêm 31.000 đồng/m2</v>
          </cell>
        </row>
        <row r="138">
          <cell r="C138" t="str">
            <v>- Nếu cao hơn 3m, cứ giảm 0,1m thì trừ đi 31.000 đồng/m2</v>
          </cell>
        </row>
        <row r="139">
          <cell r="B139" t="str">
            <v>Mái vẩy 01 lợp ngói &lt;= 2,7m</v>
          </cell>
          <cell r="C139" t="str">
            <v>Mái đua, mái vẩy, tường xây gạch 110, mái lợp ngói chiều cao &lt;= 2,7m</v>
          </cell>
          <cell r="E139" t="str">
            <v>m2</v>
          </cell>
          <cell r="F139">
            <v>1375000</v>
          </cell>
          <cell r="G139">
            <v>25</v>
          </cell>
          <cell r="H139">
            <v>0.8</v>
          </cell>
        </row>
        <row r="140">
          <cell r="B140" t="str">
            <v>Mái vẩy 01 lợp tôn mạ màu 3m</v>
          </cell>
          <cell r="C140" t="str">
            <v>Mái đua, mái vẩy, tường xây gạch 110, mái lợp tôn chiều cao 3m</v>
          </cell>
          <cell r="D140">
            <v>1264000</v>
          </cell>
          <cell r="E140" t="str">
            <v>m2</v>
          </cell>
          <cell r="F140">
            <v>1390400</v>
          </cell>
          <cell r="G140">
            <v>25</v>
          </cell>
          <cell r="H140">
            <v>0.8</v>
          </cell>
        </row>
        <row r="141">
          <cell r="C141" t="str">
            <v>- Nếu cao hơn 3m, cứ tăng 0,1m thì cộng thêm 29.000 đồng/m2</v>
          </cell>
        </row>
        <row r="142">
          <cell r="C142" t="str">
            <v>- Nếu cao hơn 3m, cứ giảm 0,1m thì trừ đi 29.000 đồng/m2</v>
          </cell>
        </row>
        <row r="143">
          <cell r="B143" t="str">
            <v>Mái vẩy 01 lợp tôn &lt;= 2,7m</v>
          </cell>
          <cell r="C143" t="str">
            <v>Mái đua, mái vẩy, tường xây gạch 110, mái lợp tôn chiều cao &lt;= 2,7m</v>
          </cell>
          <cell r="E143" t="str">
            <v>m2</v>
          </cell>
          <cell r="F143">
            <v>1294700</v>
          </cell>
          <cell r="G143">
            <v>25</v>
          </cell>
          <cell r="H143">
            <v>0.8</v>
          </cell>
        </row>
        <row r="144">
          <cell r="B144" t="str">
            <v>Mái vẩy 01 lợp fibroximang 3m</v>
          </cell>
          <cell r="C144" t="str">
            <v>Mái đua, mái vẩy, tường xây gạch 110, mái lợp fibroximang chiều cao 3m</v>
          </cell>
          <cell r="D144">
            <v>1023000</v>
          </cell>
          <cell r="E144" t="str">
            <v>m2</v>
          </cell>
          <cell r="F144">
            <v>1125300</v>
          </cell>
          <cell r="G144">
            <v>25</v>
          </cell>
          <cell r="H144">
            <v>0.8</v>
          </cell>
        </row>
        <row r="145">
          <cell r="C145" t="str">
            <v>- Nếu cao hơn 3m, cứ tăng 0,1m thì cộng thêm 24.000 đồng/m2</v>
          </cell>
        </row>
        <row r="146">
          <cell r="C146" t="str">
            <v>- Nếu cao hơn 3m, cứ giảm 0,1m thì trừ đi 24.000 đồng/m2</v>
          </cell>
        </row>
        <row r="147">
          <cell r="B147" t="str">
            <v>Mái vẩy 01 lợp fibroximang &lt;= 2,7m</v>
          </cell>
          <cell r="C147" t="str">
            <v>Mái đua, mái vẩy, tường xây gạch 110, mái lợp fibroximang chiều cao &lt;= 2,7m</v>
          </cell>
          <cell r="E147" t="str">
            <v>m2</v>
          </cell>
          <cell r="F147">
            <v>1046100.0000000001</v>
          </cell>
          <cell r="G147">
            <v>25</v>
          </cell>
          <cell r="H147">
            <v>0.8</v>
          </cell>
        </row>
        <row r="148">
          <cell r="B148" t="str">
            <v>MÁI KHÔNG XÂY TƯỜNG</v>
          </cell>
          <cell r="C148" t="str">
            <v>Mái đua, mái vẩy nổi với công trình chính, không xây tường, độ thấp nhất của mái gianh trung bình bằng 3m</v>
          </cell>
        </row>
        <row r="149">
          <cell r="B149" t="str">
            <v>Mái vẩy 03 lợp ngói 3m</v>
          </cell>
          <cell r="C149" t="str">
            <v>Mái đua, mái vẩy, không xây tường, mái lợp ngói chiều cao 3m</v>
          </cell>
          <cell r="D149">
            <v>631000</v>
          </cell>
          <cell r="E149" t="str">
            <v>m2</v>
          </cell>
          <cell r="F149">
            <v>694100</v>
          </cell>
          <cell r="G149">
            <v>25</v>
          </cell>
          <cell r="H149">
            <v>0.8</v>
          </cell>
        </row>
        <row r="150">
          <cell r="C150" t="str">
            <v>- Nếu cao hơn 3m, cứ tăng 0,1m thì cộng thêm 15.000 đồng/m2</v>
          </cell>
        </row>
        <row r="151">
          <cell r="C151" t="str">
            <v>- Nếu cao hơn 3m, cứ giảm 0,1m thì trừ đi 15.000 đồng/m2</v>
          </cell>
        </row>
        <row r="152">
          <cell r="B152" t="str">
            <v>Mái vẩy 03 lợp ngói &lt;= 2,7m</v>
          </cell>
          <cell r="C152" t="str">
            <v>Mái đua, mái vẩy, không xây tường, mái lợp ngói chiều cao &lt;= 2,7m</v>
          </cell>
          <cell r="E152" t="str">
            <v>m2</v>
          </cell>
          <cell r="F152">
            <v>644600</v>
          </cell>
          <cell r="G152">
            <v>25</v>
          </cell>
          <cell r="H152">
            <v>0.8</v>
          </cell>
        </row>
        <row r="153">
          <cell r="B153" t="str">
            <v>Mái vẩy 03 lợp tôn mạ màu 3m</v>
          </cell>
          <cell r="C153" t="str">
            <v>Mái đua, mái vẩy, không xây tường, mái lợp tôn chiều cao 3m</v>
          </cell>
          <cell r="D153">
            <v>557000</v>
          </cell>
          <cell r="E153" t="str">
            <v>m2</v>
          </cell>
          <cell r="F153">
            <v>612700</v>
          </cell>
          <cell r="G153">
            <v>25</v>
          </cell>
          <cell r="H153">
            <v>0.8</v>
          </cell>
        </row>
        <row r="154">
          <cell r="C154" t="str">
            <v>- Nếu cao hơn 3m, cứ tăng 0,1m thì cộng thêm 13.000 đồng/m2</v>
          </cell>
        </row>
        <row r="155">
          <cell r="C155" t="str">
            <v>- Nếu cao hơn 3m, cứ giảm 0,1m thì trừ đi 13.000 đồng/m2</v>
          </cell>
        </row>
        <row r="156">
          <cell r="B156" t="str">
            <v>Mái vẩy 03 lợp tôn &lt;= 2,7m</v>
          </cell>
          <cell r="C156" t="str">
            <v>Mái đua, mái vẩy, không xây tường, mái lợp tôn chiều cao &lt;= 2,7m</v>
          </cell>
          <cell r="E156" t="str">
            <v>m2</v>
          </cell>
          <cell r="F156">
            <v>569800</v>
          </cell>
          <cell r="G156">
            <v>25</v>
          </cell>
          <cell r="H156">
            <v>0.8</v>
          </cell>
        </row>
        <row r="157">
          <cell r="B157" t="str">
            <v>Mái vẩy 03 lợp fibroximang 3m</v>
          </cell>
          <cell r="C157" t="str">
            <v>Mái đua, mái vẩy, không xây tường, mái lợp fibroximang chiều cao 3m</v>
          </cell>
          <cell r="D157">
            <v>311000</v>
          </cell>
          <cell r="E157" t="str">
            <v>m2</v>
          </cell>
          <cell r="F157">
            <v>342100</v>
          </cell>
          <cell r="G157">
            <v>25</v>
          </cell>
          <cell r="H157">
            <v>0.8</v>
          </cell>
        </row>
        <row r="158">
          <cell r="C158" t="str">
            <v>- Nếu cao hơn 3m, cứ tăng 0,1m thì cộng thêm 7.000 đồng/m2</v>
          </cell>
        </row>
        <row r="159">
          <cell r="C159" t="str">
            <v>- Nếu cao hơn 3m, cứ giảm 0,1m thì trừ đi 7.000 đồng/m2</v>
          </cell>
        </row>
        <row r="160">
          <cell r="B160" t="str">
            <v>Mái vẩy 03 lợp fibroximang &lt;= 2,7m</v>
          </cell>
          <cell r="C160" t="str">
            <v>Mái đua, mái vẩy, không xây tường, mái lợp fibroximang chiều cao &lt;= 2,7m</v>
          </cell>
          <cell r="E160" t="str">
            <v>m2</v>
          </cell>
          <cell r="F160">
            <v>319000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row>
        <row r="162">
          <cell r="B162" t="str">
            <v>Chuồng lợn 3,0-NGOI</v>
          </cell>
          <cell r="C162" t="str">
            <v>Chuồng lợn, tường chịu lực xây gạch 220, mái lợp ngói, chiều cao 3,0m</v>
          </cell>
          <cell r="D162">
            <v>1679000</v>
          </cell>
          <cell r="E162" t="str">
            <v>m2</v>
          </cell>
          <cell r="F162">
            <v>1846900.0000000002</v>
          </cell>
          <cell r="G162">
            <v>25</v>
          </cell>
          <cell r="H162">
            <v>0.8</v>
          </cell>
        </row>
        <row r="163">
          <cell r="C163" t="str">
            <v>- Nếu cao hơn 3m, cứ tăng 0,1m thì cộng thêm 34.000 đồng/m2</v>
          </cell>
        </row>
        <row r="164">
          <cell r="C164" t="str">
            <v>- Nếu cao hơn 3m, cứ giảm 0,1m thì trừ đi 34.000 đồng/m2</v>
          </cell>
        </row>
        <row r="165">
          <cell r="B165" t="str">
            <v>Chuồng lợn 3,0-NGOI &lt;= 2,7m</v>
          </cell>
          <cell r="C165" t="str">
            <v>Chuồng lợn, tường chịu lực xây gạch 220, mái lợp ngói, chiều cao &lt;= 2,7m</v>
          </cell>
          <cell r="E165" t="str">
            <v>m2</v>
          </cell>
          <cell r="F165">
            <v>1734700.0000000002</v>
          </cell>
          <cell r="G165">
            <v>25</v>
          </cell>
          <cell r="H165">
            <v>0.8</v>
          </cell>
        </row>
        <row r="166">
          <cell r="B166" t="str">
            <v>Chuồng lợn 3,0-FB</v>
          </cell>
          <cell r="C166" t="str">
            <v>Chuồng lợn, tường chịu lực xây gạch 220, mái lợp ngói, chiều cao 3,0m</v>
          </cell>
          <cell r="D166">
            <v>1360000</v>
          </cell>
          <cell r="E166" t="str">
            <v>m2</v>
          </cell>
          <cell r="F166">
            <v>1496000.0000000002</v>
          </cell>
          <cell r="G166">
            <v>25</v>
          </cell>
          <cell r="H166">
            <v>0.8</v>
          </cell>
        </row>
        <row r="167">
          <cell r="C167" t="str">
            <v>- Nếu cao hơn 3m, cứ tăng 0,1m thì cộng thêm 28.000 đồng/m2</v>
          </cell>
        </row>
        <row r="168">
          <cell r="C168" t="str">
            <v>- Nếu cao hơn 3m, cứ giảm 0,1m thì trừ đi 28.000 đồng/m2</v>
          </cell>
        </row>
        <row r="169">
          <cell r="B169" t="str">
            <v>Chuồng lợn 3,0-FB &lt;= 2,7m</v>
          </cell>
          <cell r="C169" t="str">
            <v>Chuồng lợn, tường chịu lực xây gạch 220, mái lợp fibroximang chiều cao &lt;= 2,7m</v>
          </cell>
          <cell r="E169" t="str">
            <v>m2</v>
          </cell>
          <cell r="F169">
            <v>1267600</v>
          </cell>
          <cell r="G169">
            <v>25</v>
          </cell>
          <cell r="H169">
            <v>0.8</v>
          </cell>
        </row>
        <row r="170">
          <cell r="B170" t="str">
            <v>CHUỒNG LỢN XÂY GẠCH 110</v>
          </cell>
          <cell r="C170" t="str">
            <v>Chuồng lợn, tường chịu lực xây gạch 110, chiều cao trung bình bằng 3m, nền lót vữa XM, trát tường và quét vôi ve</v>
          </cell>
        </row>
        <row r="171">
          <cell r="B171" t="str">
            <v>Chuồng lợn 3,1-NGOI</v>
          </cell>
          <cell r="C171" t="str">
            <v>Chuồng lợn, tường chịu lực xây gạch 110, mái lợp ngói, chiều cao 3,0m</v>
          </cell>
          <cell r="D171">
            <v>1537000</v>
          </cell>
          <cell r="E171" t="str">
            <v>m2</v>
          </cell>
          <cell r="F171">
            <v>1690700.0000000002</v>
          </cell>
          <cell r="G171">
            <v>25</v>
          </cell>
          <cell r="H171">
            <v>0.8</v>
          </cell>
        </row>
        <row r="172">
          <cell r="C172" t="str">
            <v>- Nếu cao hơn 3m, cứ tăng 0,1m thì cộng thêm 31.000 đồng/m2</v>
          </cell>
        </row>
        <row r="173">
          <cell r="C173" t="str">
            <v>- Nếu cao hơn 3m, cứ giảm 0,1m thì trừ đi 31.000 đồng/m2</v>
          </cell>
        </row>
        <row r="174">
          <cell r="B174" t="str">
            <v>Chuồng lợn 3,1-NGOI &lt;= 2,7m</v>
          </cell>
          <cell r="C174" t="str">
            <v>Chuồng lợn, tường chịu lực xây gạch 110, mái lợp ngói, chiều cao &lt;= 2,7m</v>
          </cell>
          <cell r="E174" t="str">
            <v>m2</v>
          </cell>
          <cell r="F174">
            <v>1588400.0000000002</v>
          </cell>
          <cell r="G174">
            <v>25</v>
          </cell>
          <cell r="H174">
            <v>0.8</v>
          </cell>
        </row>
        <row r="175">
          <cell r="B175" t="str">
            <v>Chuồng lợn 3,1-FB</v>
          </cell>
          <cell r="C175" t="str">
            <v>Chuồng lợn, tường chịu lực xây gạch 110, mái lợp ngói, chiều cao 3,0m</v>
          </cell>
          <cell r="D175">
            <v>1220000</v>
          </cell>
          <cell r="E175" t="str">
            <v>m2</v>
          </cell>
          <cell r="F175">
            <v>1342000</v>
          </cell>
          <cell r="G175">
            <v>25</v>
          </cell>
          <cell r="H175">
            <v>0.8</v>
          </cell>
        </row>
        <row r="176">
          <cell r="C176" t="str">
            <v>- Nếu cao hơn 3m, cứ tăng 0,1m thì cộng thêm 25.000 đồng/m2</v>
          </cell>
        </row>
        <row r="177">
          <cell r="C177" t="str">
            <v>- Nếu cao hơn 3m, cứ giảm 0,1m thì trừ đi 25.000 đồng/m2</v>
          </cell>
        </row>
        <row r="178">
          <cell r="B178" t="str">
            <v>Chuồng lợn 3,1-FB &lt;= 2,7m</v>
          </cell>
          <cell r="C178" t="str">
            <v>Chuồng lợn, tường chịu lực xây gạch 110, mái lợp fibroximang chiều cao &lt;= 2,7m</v>
          </cell>
          <cell r="E178" t="str">
            <v>m2</v>
          </cell>
          <cell r="F178">
            <v>1259500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row>
        <row r="180">
          <cell r="C180" t="str">
            <v>Chiều cao trung bình 1 tầng ≤ 4,5m cứ tăng 0,1m cộng thêm 39.000 đồng/m2</v>
          </cell>
        </row>
        <row r="181">
          <cell r="B181" t="str">
            <v>Nha2t.1(4,4-4,5)</v>
          </cell>
          <cell r="C181" t="str">
            <v xml:space="preserve">Nhà 2 tầng, khung chịu lực BTCT, tường xây gạch 220, mái BTCT, chiều cao  từ 4,4 đến 4,5m </v>
          </cell>
          <cell r="E181" t="str">
            <v>m2</v>
          </cell>
          <cell r="F181">
            <v>5179900</v>
          </cell>
          <cell r="G181">
            <v>25</v>
          </cell>
          <cell r="H181">
            <v>0.8</v>
          </cell>
        </row>
        <row r="182">
          <cell r="B182" t="str">
            <v>Nha2t.1(4,3-4,4)</v>
          </cell>
          <cell r="C182" t="str">
            <v xml:space="preserve">Nhà 2 tầng, khung chịu lực BTCT, tường xây gạch 220, mái BTCT, chiều cao  từ 4,3 đến 4,4m </v>
          </cell>
          <cell r="E182" t="str">
            <v>m2</v>
          </cell>
          <cell r="F182">
            <v>5137000</v>
          </cell>
          <cell r="G182">
            <v>25</v>
          </cell>
          <cell r="H182">
            <v>0.8</v>
          </cell>
        </row>
        <row r="183">
          <cell r="B183" t="str">
            <v>Nha2t.1(4,2-4,3)</v>
          </cell>
          <cell r="C183" t="str">
            <v xml:space="preserve">Nhà 2 tầng, khung chịu lực BTCT, tường xây gạch 220, mái BTCT, chiều cao  từ 4,2 đến 4,3m </v>
          </cell>
          <cell r="E183" t="str">
            <v>m2</v>
          </cell>
          <cell r="F183">
            <v>5094100</v>
          </cell>
          <cell r="G183">
            <v>25</v>
          </cell>
          <cell r="H183">
            <v>0.8</v>
          </cell>
        </row>
        <row r="184">
          <cell r="B184" t="str">
            <v>Nha2t.1(4,1-4,2)</v>
          </cell>
          <cell r="C184" t="str">
            <v xml:space="preserve">Nhà 2 tầng, khung chịu lực BTCT, tường xây gạch 220, mái BTCT, chiều cao  từ 4,1 đến 4,2m </v>
          </cell>
          <cell r="E184" t="str">
            <v>m2</v>
          </cell>
          <cell r="F184">
            <v>5051200</v>
          </cell>
          <cell r="G184">
            <v>25</v>
          </cell>
          <cell r="H184">
            <v>0.8</v>
          </cell>
        </row>
        <row r="185">
          <cell r="B185" t="str">
            <v>Nha2t.1(4,0-4,1)</v>
          </cell>
          <cell r="C185" t="str">
            <v xml:space="preserve">Nhà 2 tầng, khung chịu lực BTCT, tường xây gạch 220, mái BTCT, chiều cao  từ 4,0 đến 4,1m </v>
          </cell>
          <cell r="E185" t="str">
            <v>m2</v>
          </cell>
          <cell r="F185">
            <v>5008300</v>
          </cell>
          <cell r="G185">
            <v>25</v>
          </cell>
          <cell r="H185">
            <v>0.8</v>
          </cell>
        </row>
        <row r="186">
          <cell r="B186" t="str">
            <v>Nha2t.1(3,9-4,0)</v>
          </cell>
          <cell r="C186" t="str">
            <v xml:space="preserve">Nhà 2 tầng, khung chịu lực BTCT, tường xây gạch 220, mái BTCT, chiều cao  từ 3,9 đến 4,0m </v>
          </cell>
          <cell r="E186" t="str">
            <v>m2</v>
          </cell>
          <cell r="F186">
            <v>4965400</v>
          </cell>
          <cell r="G186">
            <v>25</v>
          </cell>
          <cell r="H186">
            <v>0.8</v>
          </cell>
        </row>
        <row r="187">
          <cell r="B187" t="str">
            <v>Nha2t.1(3,8-3,9)</v>
          </cell>
          <cell r="C187" t="str">
            <v xml:space="preserve">Nhà 2 tầng, khung chịu lực BTCT, tường xây gạch 220, mái BTCT, chiều cao  từ 3,8 đến 3,9m </v>
          </cell>
          <cell r="E187" t="str">
            <v>m2</v>
          </cell>
          <cell r="F187">
            <v>4922500</v>
          </cell>
          <cell r="G187">
            <v>25</v>
          </cell>
          <cell r="H187">
            <v>0.8</v>
          </cell>
        </row>
        <row r="188">
          <cell r="B188" t="str">
            <v>Nha2t.1(3,7-3,8)</v>
          </cell>
          <cell r="C188" t="str">
            <v xml:space="preserve">Nhà 2 tầng, khung chịu lực BTCT, tường xây gạch 220, mái BTCT, chiều cao  từ 3,7 đến 3,8m </v>
          </cell>
          <cell r="E188" t="str">
            <v>m2</v>
          </cell>
          <cell r="F188">
            <v>4879600</v>
          </cell>
          <cell r="G188">
            <v>25</v>
          </cell>
          <cell r="H188">
            <v>0.8</v>
          </cell>
        </row>
        <row r="189">
          <cell r="B189" t="str">
            <v>Nha2t.1(3,6-3,7)</v>
          </cell>
          <cell r="C189" t="str">
            <v xml:space="preserve">Nhà 2 tầng, khung chịu lực BTCT, tường xây gạch 220, mái BTCT, chiều cao  từ 3,6 đến 3,7m </v>
          </cell>
          <cell r="E189" t="str">
            <v>m2</v>
          </cell>
          <cell r="F189">
            <v>4836700</v>
          </cell>
          <cell r="G189">
            <v>25</v>
          </cell>
          <cell r="H189">
            <v>0.8</v>
          </cell>
        </row>
        <row r="190">
          <cell r="B190" t="str">
            <v>Nha2t.1(3,5-3,6)</v>
          </cell>
          <cell r="C190" t="str">
            <v xml:space="preserve">Nhà 2 tầng, khung chịu lực BTCT, tường xây gạch 220, mái BTCT, chiều cao  từ 3,5 đến 3,6m </v>
          </cell>
          <cell r="E190" t="str">
            <v>m2</v>
          </cell>
          <cell r="F190">
            <v>1493800.0000000002</v>
          </cell>
          <cell r="G190">
            <v>25</v>
          </cell>
          <cell r="H190">
            <v>0.8</v>
          </cell>
        </row>
        <row r="191">
          <cell r="B191" t="str">
            <v>Nha2t.1(3,4-3,5)</v>
          </cell>
          <cell r="C191" t="str">
            <v xml:space="preserve">Nhà 2 tầng, khung chịu lực BTCT, tường xây gạch 220, mái BTCT, chiều cao  từ 3,4 đến 3,5m </v>
          </cell>
          <cell r="E191" t="str">
            <v>m2</v>
          </cell>
          <cell r="F191">
            <v>4750900</v>
          </cell>
          <cell r="G191">
            <v>25</v>
          </cell>
          <cell r="H191">
            <v>0.8</v>
          </cell>
        </row>
        <row r="192">
          <cell r="B192" t="str">
            <v>Nha2t.1(3,3-3,4)</v>
          </cell>
          <cell r="C192" t="str">
            <v xml:space="preserve">Nhà 2 tầng, khung chịu lực BTCT, tường xây gạch 220, mái BTCT, chiều cao  từ 3,3 đến 3,4m </v>
          </cell>
          <cell r="E192" t="str">
            <v>m2</v>
          </cell>
          <cell r="F192">
            <v>4708000</v>
          </cell>
          <cell r="G192">
            <v>25</v>
          </cell>
          <cell r="H192">
            <v>0.8</v>
          </cell>
        </row>
        <row r="193">
          <cell r="B193" t="str">
            <v>Nha2t.1(3,2-3,3)</v>
          </cell>
          <cell r="C193" t="str">
            <v xml:space="preserve">Nhà 2 tầng, khung chịu lực BTCT, tường xây gạch 220, mái BTCT, chiều cao  từ 3,2 đến 3,3m </v>
          </cell>
          <cell r="E193" t="str">
            <v>m2</v>
          </cell>
          <cell r="F193">
            <v>4665100</v>
          </cell>
          <cell r="G193">
            <v>25</v>
          </cell>
          <cell r="H193">
            <v>0.8</v>
          </cell>
        </row>
        <row r="194">
          <cell r="B194" t="str">
            <v>Nha2t.1(3,1-3,2)</v>
          </cell>
          <cell r="C194" t="str">
            <v xml:space="preserve">Nhà 2 tầng, khung chịu lực BTCT, tường xây gạch 220, mái BTCT, chiều cao  từ 3,1 đến 3,2m </v>
          </cell>
          <cell r="E194" t="str">
            <v>m2</v>
          </cell>
          <cell r="F194">
            <v>4622200</v>
          </cell>
          <cell r="G194">
            <v>25</v>
          </cell>
          <cell r="H194">
            <v>0.8</v>
          </cell>
        </row>
        <row r="195">
          <cell r="B195" t="str">
            <v>Nha2t.1(3,0-3,1)</v>
          </cell>
          <cell r="C195" t="str">
            <v xml:space="preserve">Nhà 2 tầng, khung chịu lực BTCT, tường xây gạch 220, mái BTCT, chiều cao  từ 3,0 đến 3,1m </v>
          </cell>
          <cell r="E195" t="str">
            <v>m2</v>
          </cell>
          <cell r="F195">
            <v>4579300</v>
          </cell>
          <cell r="G195">
            <v>25</v>
          </cell>
          <cell r="H195">
            <v>0.8</v>
          </cell>
        </row>
        <row r="196">
          <cell r="C196" t="str">
            <v>Chiều cao tầng dưới 3,0m (Cứ 0,1m trừ đi 39.000 đồng/m2)</v>
          </cell>
        </row>
        <row r="197">
          <cell r="B197" t="str">
            <v>NHÀ 2 TẦNG TƯỜNG CHỊU LỰC</v>
          </cell>
          <cell r="C197" t="str">
            <v>Nhà 2 tầng, tường chịu lực xây gạch 220, mái BTCT,cầu thang láng garanitô, nền lót vữa XM, trát tường và quét vôi ve</v>
          </cell>
        </row>
        <row r="198">
          <cell r="C198" t="str">
            <v>Chiều cao trung bình 1 tầng ≤ 4,5m cứ tăng 0,1m cộng thêm 37.000 đồng/m2</v>
          </cell>
        </row>
        <row r="199">
          <cell r="B199" t="str">
            <v>Nha2t(4,4-4,5)-BTCT</v>
          </cell>
          <cell r="C199" t="str">
            <v xml:space="preserve">Nhà 2 tầng, tường chịu lực xây gạch 220, mái BTCT, chiều cao  từ 4,4 đến 4,5m </v>
          </cell>
          <cell r="E199" t="str">
            <v>m2</v>
          </cell>
          <cell r="F199">
            <v>4961000</v>
          </cell>
          <cell r="G199">
            <v>25</v>
          </cell>
          <cell r="H199">
            <v>0.8</v>
          </cell>
        </row>
        <row r="200">
          <cell r="B200" t="str">
            <v>Nha2t(4,3-4,4)-BTCT</v>
          </cell>
          <cell r="C200" t="str">
            <v xml:space="preserve">Nhà 2 tầng, tường chịu lực xây gạch 220, mái BTCT, chiều cao  từ 4,3 đến 4,4m </v>
          </cell>
          <cell r="E200" t="str">
            <v>m2</v>
          </cell>
          <cell r="F200">
            <v>4920300</v>
          </cell>
          <cell r="G200">
            <v>25</v>
          </cell>
          <cell r="H200">
            <v>0.8</v>
          </cell>
        </row>
        <row r="201">
          <cell r="B201" t="str">
            <v>Nha2t(4,2-4,3)-BTCT</v>
          </cell>
          <cell r="C201" t="str">
            <v xml:space="preserve">Nhà 2 tầng, tường chịu lực xây gạch 220, mái BTCT, chiều cao  từ 4,2 đến 4,3m </v>
          </cell>
          <cell r="E201" t="str">
            <v>m2</v>
          </cell>
          <cell r="F201">
            <v>4879600</v>
          </cell>
          <cell r="G201">
            <v>25</v>
          </cell>
          <cell r="H201">
            <v>0.8</v>
          </cell>
        </row>
        <row r="202">
          <cell r="B202" t="str">
            <v>Nha2t(4,1-4,2)-BTCT</v>
          </cell>
          <cell r="C202" t="str">
            <v xml:space="preserve">Nhà 2 tầng, tường chịu lực xây gạch 220, mái BTCT, chiều cao  từ 4,1 đến 4,2m </v>
          </cell>
          <cell r="E202" t="str">
            <v>m2</v>
          </cell>
          <cell r="F202">
            <v>4838900</v>
          </cell>
          <cell r="G202">
            <v>25</v>
          </cell>
          <cell r="H202">
            <v>0.8</v>
          </cell>
        </row>
        <row r="203">
          <cell r="B203" t="str">
            <v>Nha2t(4,0-4,1)-BTCT</v>
          </cell>
          <cell r="C203" t="str">
            <v xml:space="preserve">Nhà 2 tầng, tường chịu lực xây gạch 220, mái BTCT, chiều cao  từ 4,0 đến 4,1m </v>
          </cell>
          <cell r="E203" t="str">
            <v>m2</v>
          </cell>
          <cell r="F203">
            <v>4798200</v>
          </cell>
          <cell r="G203">
            <v>25</v>
          </cell>
          <cell r="H203">
            <v>0.8</v>
          </cell>
        </row>
        <row r="204">
          <cell r="B204" t="str">
            <v>Nha2t(3,9-4,0)-BTCT</v>
          </cell>
          <cell r="C204" t="str">
            <v xml:space="preserve">Nhà 2 tầng, tường chịu lực xây gạch 220, mái BTCT, chiều cao  từ 3,9 đến 4,0m </v>
          </cell>
          <cell r="E204" t="str">
            <v>m2</v>
          </cell>
          <cell r="F204">
            <v>4757500</v>
          </cell>
          <cell r="G204">
            <v>25</v>
          </cell>
          <cell r="H204">
            <v>0.8</v>
          </cell>
        </row>
        <row r="205">
          <cell r="B205" t="str">
            <v>Nha2t(3,8-3,9)-BTCT</v>
          </cell>
          <cell r="C205" t="str">
            <v xml:space="preserve">Nhà 2 tầng, tường chịu lực xây gạch 220, mái BTCT, chiều cao  từ 3,8 đến 3,9m </v>
          </cell>
          <cell r="E205" t="str">
            <v>m2</v>
          </cell>
          <cell r="F205">
            <v>4716800</v>
          </cell>
          <cell r="G205">
            <v>25</v>
          </cell>
          <cell r="H205">
            <v>0.8</v>
          </cell>
        </row>
        <row r="206">
          <cell r="B206" t="str">
            <v>Nha2t(3,7-3,8)-BTCT</v>
          </cell>
          <cell r="C206" t="str">
            <v xml:space="preserve">Nhà 2 tầng, tường chịu lực xây gạch 220, mái BTCT, chiều cao  từ 3,7 đến 3,8m </v>
          </cell>
          <cell r="E206" t="str">
            <v>m2</v>
          </cell>
          <cell r="F206">
            <v>4676100</v>
          </cell>
          <cell r="G206">
            <v>25</v>
          </cell>
          <cell r="H206">
            <v>0.8</v>
          </cell>
        </row>
        <row r="207">
          <cell r="B207" t="str">
            <v>Nha2t(3,6-3,7)-BTCT</v>
          </cell>
          <cell r="C207" t="str">
            <v xml:space="preserve">Nhà 2 tầng, tường chịu lực xây gạch 220, mái BTCT, chiều cao  từ 3,6 đến 3,7m </v>
          </cell>
          <cell r="E207" t="str">
            <v>m2</v>
          </cell>
          <cell r="F207">
            <v>4635400</v>
          </cell>
          <cell r="G207">
            <v>25</v>
          </cell>
          <cell r="H207">
            <v>0.8</v>
          </cell>
        </row>
        <row r="208">
          <cell r="B208" t="str">
            <v>Nha2t(3,5-3,6)-BTCT</v>
          </cell>
          <cell r="C208" t="str">
            <v xml:space="preserve">Nhà 2 tầng, tường chịu lực xây gạch 220, mái BTCT, chiều cao  từ 3,5 đến 3,6m </v>
          </cell>
          <cell r="E208" t="str">
            <v>m2</v>
          </cell>
          <cell r="F208">
            <v>4594700</v>
          </cell>
          <cell r="G208">
            <v>25</v>
          </cell>
          <cell r="H208">
            <v>0.8</v>
          </cell>
        </row>
        <row r="209">
          <cell r="B209" t="str">
            <v>Nha2t(3,4-3,5)-BTCT</v>
          </cell>
          <cell r="C209" t="str">
            <v xml:space="preserve">Nhà 2 tầng, tường chịu lực xây gạch 220, mái BTCT, chiều cao  từ 3,4 đến 3,5m </v>
          </cell>
          <cell r="E209" t="str">
            <v>m2</v>
          </cell>
          <cell r="F209">
            <v>4554000</v>
          </cell>
          <cell r="G209">
            <v>25</v>
          </cell>
          <cell r="H209">
            <v>0.8</v>
          </cell>
        </row>
        <row r="210">
          <cell r="B210" t="str">
            <v>Nha2t(3,3-3,4)-BTCT</v>
          </cell>
          <cell r="C210" t="str">
            <v xml:space="preserve">Nhà 2 tầng, tường chịu lực xây gạch 220, mái BTCT, chiều cao  từ 3,3 đến 3,4m </v>
          </cell>
          <cell r="E210" t="str">
            <v>m2</v>
          </cell>
          <cell r="F210">
            <v>4513300</v>
          </cell>
          <cell r="G210">
            <v>25</v>
          </cell>
          <cell r="H210">
            <v>0.8</v>
          </cell>
        </row>
        <row r="211">
          <cell r="B211" t="str">
            <v>Nha2t(3,2-3,3)-BTCT</v>
          </cell>
          <cell r="C211" t="str">
            <v xml:space="preserve">Nhà 2 tầng, tường chịu lực xây gạch 220, mái BTCT, chiều cao  từ 3,2 đến 3,3m </v>
          </cell>
          <cell r="E211" t="str">
            <v>m2</v>
          </cell>
          <cell r="F211">
            <v>4472600</v>
          </cell>
          <cell r="G211">
            <v>25</v>
          </cell>
          <cell r="H211">
            <v>0.8</v>
          </cell>
        </row>
        <row r="212">
          <cell r="B212" t="str">
            <v>Nha2t(3,1-3,2)-BTCT</v>
          </cell>
          <cell r="C212" t="str">
            <v xml:space="preserve">Nhà 2 tầng, tường chịu lực xây gạch 220, mái BTCT, chiều cao  từ 3,1 đến 3,2m </v>
          </cell>
          <cell r="E212" t="str">
            <v>m2</v>
          </cell>
          <cell r="F212">
            <v>4431900</v>
          </cell>
          <cell r="G212">
            <v>25</v>
          </cell>
          <cell r="H212">
            <v>0.8</v>
          </cell>
        </row>
        <row r="213">
          <cell r="B213" t="str">
            <v>Nha2t(3,0-3,1)-BTCT</v>
          </cell>
          <cell r="C213" t="str">
            <v xml:space="preserve">Nhà 2 tầng, tường chịu lực xây gạch 220, mái BTCT, chiều cao  từ 3,0 đến 3,1m </v>
          </cell>
          <cell r="E213" t="str">
            <v>m2</v>
          </cell>
          <cell r="F213">
            <v>4391200</v>
          </cell>
          <cell r="G213">
            <v>25</v>
          </cell>
          <cell r="H213">
            <v>0.8</v>
          </cell>
        </row>
        <row r="214">
          <cell r="C214" t="str">
            <v>Chiều cao tầng dưới 3,0m (Cứ 0,1m trừ đi 37.000 đồng/m2)</v>
          </cell>
        </row>
        <row r="215">
          <cell r="B215" t="str">
            <v>NHÀ 3 TẦNG KHUNG CHỊU LỰC</v>
          </cell>
          <cell r="C215" t="str">
            <v>Nhà 3 tầng, khung chịu lực BTCT, tường xây gạch 220, mái BTCT,cầu thang láng granitô, nền lót vữa XM, trát tường và quét vôi ve</v>
          </cell>
        </row>
        <row r="216">
          <cell r="C216" t="str">
            <v>Chiều cao trung bình 1 tầng ≤ 4,5m cứ tăng 0,1m cộng thêm 39.000 đồng/m2</v>
          </cell>
        </row>
        <row r="217">
          <cell r="B217" t="str">
            <v>Nha3t.1(4,4-4,5)</v>
          </cell>
          <cell r="C217" t="str">
            <v xml:space="preserve">Nhà 3 tầng, khung chịu lực BTCT, tường xây gạch 220, mái BTCT, chiều cao  từ 4,4 đến 4,5m </v>
          </cell>
          <cell r="E217" t="str">
            <v>m2</v>
          </cell>
          <cell r="F217">
            <v>5723300</v>
          </cell>
          <cell r="G217">
            <v>20</v>
          </cell>
          <cell r="H217">
            <v>0.8</v>
          </cell>
        </row>
        <row r="218">
          <cell r="B218" t="str">
            <v>Nha3t.1(4,3-4,4)</v>
          </cell>
          <cell r="C218" t="str">
            <v xml:space="preserve">Nhà 3 tầng, khung chịu lực BTCT, tường xây gạch 220, mái BTCT, chiều cao  từ 4,3 đến 4,4m </v>
          </cell>
          <cell r="E218" t="str">
            <v>m2</v>
          </cell>
          <cell r="F218">
            <v>5680400</v>
          </cell>
          <cell r="G218">
            <v>20</v>
          </cell>
          <cell r="H218">
            <v>0.8</v>
          </cell>
        </row>
        <row r="219">
          <cell r="B219" t="str">
            <v>Nha3t.1(4,2-4,3)</v>
          </cell>
          <cell r="C219" t="str">
            <v xml:space="preserve">Nhà 3 tầng, khung chịu lực BTCT, tường xây gạch 220, mái BTCT, chiều cao  từ 4,2 đến 4,3m </v>
          </cell>
          <cell r="E219" t="str">
            <v>m2</v>
          </cell>
          <cell r="F219">
            <v>5637500</v>
          </cell>
          <cell r="G219">
            <v>20</v>
          </cell>
          <cell r="H219">
            <v>0.8</v>
          </cell>
        </row>
        <row r="220">
          <cell r="B220" t="str">
            <v>Nha3t.1(4,1-4,2)</v>
          </cell>
          <cell r="C220" t="str">
            <v xml:space="preserve">Nhà 3 tầng, khung chịu lực BTCT, tường xây gạch 220, mái BTCT, chiều cao  từ 4,1 đến 4,2m </v>
          </cell>
          <cell r="E220" t="str">
            <v>m2</v>
          </cell>
          <cell r="F220">
            <v>5594600</v>
          </cell>
          <cell r="G220">
            <v>20</v>
          </cell>
          <cell r="H220">
            <v>0.8</v>
          </cell>
        </row>
        <row r="221">
          <cell r="B221" t="str">
            <v>Nha3t.1(4,0-4,1)</v>
          </cell>
          <cell r="C221" t="str">
            <v xml:space="preserve">Nhà 3 tầng, khung chịu lực BTCT, tường xây gạch 220, mái BTCT, chiều cao  từ 4,0 đến 4,1m </v>
          </cell>
          <cell r="E221" t="str">
            <v>m2</v>
          </cell>
          <cell r="F221">
            <v>5551700</v>
          </cell>
          <cell r="G221">
            <v>20</v>
          </cell>
          <cell r="H221">
            <v>0.8</v>
          </cell>
        </row>
        <row r="222">
          <cell r="B222" t="str">
            <v>Nha3t.1(3,9-4,0)</v>
          </cell>
          <cell r="C222" t="str">
            <v xml:space="preserve">Nhà 3 tầng, khung chịu lực BTCT, tường xây gạch 220, mái BTCT, chiều cao  từ 3,9 đến 4,0m </v>
          </cell>
          <cell r="E222" t="str">
            <v>m2</v>
          </cell>
          <cell r="F222">
            <v>5508800</v>
          </cell>
          <cell r="G222">
            <v>20</v>
          </cell>
          <cell r="H222">
            <v>0.8</v>
          </cell>
        </row>
        <row r="223">
          <cell r="B223" t="str">
            <v>Nha3t.1(3,8-3,9)</v>
          </cell>
          <cell r="C223" t="str">
            <v xml:space="preserve">Nhà 3 tầng, khung chịu lực BTCT, tường xây gạch 220, mái BTCT, chiều cao  từ 3,8 đến 3,9m </v>
          </cell>
          <cell r="E223" t="str">
            <v>m2</v>
          </cell>
          <cell r="F223">
            <v>5465900</v>
          </cell>
          <cell r="G223">
            <v>20</v>
          </cell>
          <cell r="H223">
            <v>0.8</v>
          </cell>
        </row>
        <row r="224">
          <cell r="B224" t="str">
            <v>Nha3t.1(3,7-3,8)</v>
          </cell>
          <cell r="C224" t="str">
            <v xml:space="preserve">Nhà 3 tầng, khung chịu lực BTCT, tường xây gạch 220, mái BTCT, chiều cao  từ 3,7 đến 3,8m </v>
          </cell>
          <cell r="E224" t="str">
            <v>m2</v>
          </cell>
          <cell r="F224">
            <v>5423000</v>
          </cell>
          <cell r="G224">
            <v>20</v>
          </cell>
          <cell r="H224">
            <v>0.8</v>
          </cell>
        </row>
        <row r="225">
          <cell r="B225" t="str">
            <v>Nha3t.1(3,6-3,7)</v>
          </cell>
          <cell r="C225" t="str">
            <v xml:space="preserve">Nhà 3 tầng, khung chịu lực BTCT, tường xây gạch 220, mái BTCT, chiều cao  từ 3,6 đến 3,7m </v>
          </cell>
          <cell r="E225" t="str">
            <v>m2</v>
          </cell>
          <cell r="F225">
            <v>5380100</v>
          </cell>
          <cell r="G225">
            <v>20</v>
          </cell>
          <cell r="H225">
            <v>0.8</v>
          </cell>
        </row>
        <row r="226">
          <cell r="B226" t="str">
            <v>Nha3t.1(3,5-3,6)</v>
          </cell>
          <cell r="C226" t="str">
            <v xml:space="preserve">Nhà 3 tầng, khung chịu lực BTCT, tường xây gạch 220, mái BTCT, chiều cao  từ 3,5 đến 3,6m </v>
          </cell>
          <cell r="E226" t="str">
            <v>m2</v>
          </cell>
          <cell r="F226">
            <v>5337200</v>
          </cell>
          <cell r="G226">
            <v>20</v>
          </cell>
          <cell r="H226">
            <v>0.8</v>
          </cell>
        </row>
        <row r="227">
          <cell r="B227" t="str">
            <v>Nha3t.1(3,4-3,5)</v>
          </cell>
          <cell r="C227" t="str">
            <v xml:space="preserve">Nhà 3 tầng, khung chịu lực BTCT, tường xây gạch 220, mái BTCT, chiều cao  từ 3,4 đến 3,5m </v>
          </cell>
          <cell r="E227" t="str">
            <v>m2</v>
          </cell>
          <cell r="F227">
            <v>5294300</v>
          </cell>
          <cell r="G227">
            <v>20</v>
          </cell>
          <cell r="H227">
            <v>0.8</v>
          </cell>
        </row>
        <row r="228">
          <cell r="B228" t="str">
            <v>Nha3t.1(3,3-3,4)</v>
          </cell>
          <cell r="C228" t="str">
            <v xml:space="preserve">Nhà 3 tầng, khung chịu lực BTCT, tường xây gạch 220, mái BTCT, chiều cao  từ 3,3 đến 3,4m </v>
          </cell>
          <cell r="E228" t="str">
            <v>m2</v>
          </cell>
          <cell r="F228">
            <v>5251400</v>
          </cell>
          <cell r="G228">
            <v>20</v>
          </cell>
          <cell r="H228">
            <v>0.8</v>
          </cell>
        </row>
        <row r="229">
          <cell r="B229" t="str">
            <v>Nha3t.1(3,2-3,3)</v>
          </cell>
          <cell r="C229" t="str">
            <v xml:space="preserve">Nhà 3 tầng, khung chịu lực BTCT, tường xây gạch 220, mái BTCT, chiều cao  từ 3,2 đến 3,3m </v>
          </cell>
          <cell r="E229" t="str">
            <v>m2</v>
          </cell>
          <cell r="F229">
            <v>5208500</v>
          </cell>
          <cell r="G229">
            <v>20</v>
          </cell>
          <cell r="H229">
            <v>0.8</v>
          </cell>
        </row>
        <row r="230">
          <cell r="B230" t="str">
            <v>Nha3t.1(3,1-3,2)</v>
          </cell>
          <cell r="C230" t="str">
            <v xml:space="preserve">Nhà 3 tầng, khung chịu lực BTCT, tường xây gạch 220, mái BTCT, chiều cao  từ 3,1 đến 3,2m </v>
          </cell>
          <cell r="E230" t="str">
            <v>m2</v>
          </cell>
          <cell r="F230">
            <v>5165600</v>
          </cell>
          <cell r="G230">
            <v>20</v>
          </cell>
          <cell r="H230">
            <v>0.8</v>
          </cell>
        </row>
        <row r="231">
          <cell r="B231" t="str">
            <v>Nha3t.1(3,0-3,1)</v>
          </cell>
          <cell r="C231" t="str">
            <v xml:space="preserve">Nhà 3 tầng, khung chịu lực BTCT, tường xây gạch 220, mái BTCT, chiều cao  từ 3,0 đến 3,1m </v>
          </cell>
          <cell r="E231" t="str">
            <v>m2</v>
          </cell>
          <cell r="F231">
            <v>5122700</v>
          </cell>
          <cell r="G231">
            <v>20</v>
          </cell>
          <cell r="H231">
            <v>0.8</v>
          </cell>
        </row>
        <row r="232">
          <cell r="C232" t="str">
            <v>Chiều cao tầng dưới 3,0m (Cứ 0,1m trừ đi 39.000 đồng/m2)</v>
          </cell>
        </row>
        <row r="233">
          <cell r="B233" t="str">
            <v>NHÀ 4 TẦNG KHUNG CHỊU LỰC</v>
          </cell>
          <cell r="C233" t="str">
            <v>Nhà 4 tầng, khung chịu lực BTCT, tường xây gạch 220, mái BTCT,cầu thang láng granitô, nền lót vữa XM, trát tường và quét vôi ve</v>
          </cell>
        </row>
        <row r="234">
          <cell r="C234" t="str">
            <v>Chiều cao trung bình 1 tầng ≤ 4,5m cứ tăng 0,1m cộng thêm 31.000 đồng/m2</v>
          </cell>
        </row>
        <row r="235">
          <cell r="B235" t="str">
            <v>Nha4t.1(4,4-4,5)</v>
          </cell>
          <cell r="C235" t="str">
            <v xml:space="preserve">Nhà 4 tầng, khung chịu lực BTCT, tường xây gạch 220, mái BTCT, chiều cao  từ 4,4 đến 4,5m </v>
          </cell>
          <cell r="E235" t="str">
            <v>m2</v>
          </cell>
          <cell r="F235">
            <v>5691400</v>
          </cell>
          <cell r="G235">
            <v>20</v>
          </cell>
          <cell r="H235">
            <v>0.8</v>
          </cell>
        </row>
        <row r="236">
          <cell r="B236" t="str">
            <v>Nha4t.1(4,3-4,4)</v>
          </cell>
          <cell r="C236" t="str">
            <v xml:space="preserve">Nhà 4 tầng, khung chịu lực BTCT, tường xây gạch 220, mái BTCT, chiều cao  từ 4,3 đến 4,4m </v>
          </cell>
          <cell r="E236" t="str">
            <v>m2</v>
          </cell>
          <cell r="F236">
            <v>5657300</v>
          </cell>
          <cell r="G236">
            <v>20</v>
          </cell>
          <cell r="H236">
            <v>0.8</v>
          </cell>
        </row>
        <row r="237">
          <cell r="B237" t="str">
            <v>Nha4t.1(4,2-4,3)</v>
          </cell>
          <cell r="C237" t="str">
            <v xml:space="preserve">Nhà 4 tầng, khung chịu lực BTCT, tường xây gạch 220, mái BTCT, chiều cao  từ 4,2 đến 4,3m </v>
          </cell>
          <cell r="E237" t="str">
            <v>m2</v>
          </cell>
          <cell r="F237">
            <v>5623200</v>
          </cell>
          <cell r="G237">
            <v>20</v>
          </cell>
          <cell r="H237">
            <v>0.8</v>
          </cell>
        </row>
        <row r="238">
          <cell r="B238" t="str">
            <v>Nha4t.1(4,1-4,2)</v>
          </cell>
          <cell r="C238" t="str">
            <v xml:space="preserve">Nhà 4 tầng, khung chịu lực BTCT, tường xây gạch 220, mái BTCT, chiều cao  từ 4,1 đến 4,2m </v>
          </cell>
          <cell r="E238" t="str">
            <v>m2</v>
          </cell>
          <cell r="F238">
            <v>5589100</v>
          </cell>
          <cell r="G238">
            <v>20</v>
          </cell>
          <cell r="H238">
            <v>0.8</v>
          </cell>
        </row>
        <row r="239">
          <cell r="B239" t="str">
            <v>Nha4t.1(4,0-4,1)</v>
          </cell>
          <cell r="C239" t="str">
            <v xml:space="preserve">Nhà 4 tầng, khung chịu lực BTCT, tường xây gạch 220, mái BTCT, chiều cao  từ 4,0 đến 4,1m </v>
          </cell>
          <cell r="E239" t="str">
            <v>m2</v>
          </cell>
          <cell r="F239">
            <v>5555000</v>
          </cell>
          <cell r="G239">
            <v>20</v>
          </cell>
          <cell r="H239">
            <v>0.8</v>
          </cell>
        </row>
        <row r="240">
          <cell r="B240" t="str">
            <v>Nha4t.1(3,9-4,0)</v>
          </cell>
          <cell r="C240" t="str">
            <v xml:space="preserve">Nhà 4 tầng, khung chịu lực BTCT, tường xây gạch 220, mái BTCT, chiều cao  từ 3,9 đến 4,0m </v>
          </cell>
          <cell r="E240" t="str">
            <v>m2</v>
          </cell>
          <cell r="F240">
            <v>5520900</v>
          </cell>
          <cell r="G240">
            <v>20</v>
          </cell>
          <cell r="H240">
            <v>0.8</v>
          </cell>
        </row>
        <row r="241">
          <cell r="B241" t="str">
            <v>Nha4t.1(3,8-3,9)</v>
          </cell>
          <cell r="C241" t="str">
            <v xml:space="preserve">Nhà 4 tầng, khung chịu lực BTCT, tường xây gạch 220, mái BTCT, chiều cao  từ 3,8 đến 3,9m </v>
          </cell>
          <cell r="E241" t="str">
            <v>m2</v>
          </cell>
          <cell r="F241">
            <v>5486800</v>
          </cell>
          <cell r="G241">
            <v>20</v>
          </cell>
          <cell r="H241">
            <v>0.8</v>
          </cell>
        </row>
        <row r="242">
          <cell r="B242" t="str">
            <v>Nha4t.1(3,7-3,8)</v>
          </cell>
          <cell r="C242" t="str">
            <v xml:space="preserve">Nhà 4 tầng, khung chịu lực BTCT, tường xây gạch 220, mái BTCT, chiều cao  từ 3,7 đến 3,8m </v>
          </cell>
          <cell r="E242" t="str">
            <v>m2</v>
          </cell>
          <cell r="F242">
            <v>5452700</v>
          </cell>
          <cell r="G242">
            <v>20</v>
          </cell>
          <cell r="H242">
            <v>0.8</v>
          </cell>
        </row>
        <row r="243">
          <cell r="B243" t="str">
            <v>Nha4t.1(3,6-3,7)</v>
          </cell>
          <cell r="C243" t="str">
            <v xml:space="preserve">Nhà 4 tầng, khung chịu lực BTCT, tường xây gạch 220, mái BTCT, chiều cao  từ 3,6 đến 3,7m </v>
          </cell>
          <cell r="E243" t="str">
            <v>m2</v>
          </cell>
          <cell r="F243">
            <v>5418600</v>
          </cell>
          <cell r="G243">
            <v>20</v>
          </cell>
          <cell r="H243">
            <v>0.8</v>
          </cell>
        </row>
        <row r="244">
          <cell r="B244" t="str">
            <v>Nha4t.1(3,5-3,6)</v>
          </cell>
          <cell r="C244" t="str">
            <v xml:space="preserve">Nhà 4 tầng, khung chịu lực BTCT, tường xây gạch 220, mái BTCT, chiều cao  từ 3,5 đến 3,6m </v>
          </cell>
          <cell r="E244" t="str">
            <v>m2</v>
          </cell>
          <cell r="F244">
            <v>5384500</v>
          </cell>
          <cell r="G244">
            <v>20</v>
          </cell>
          <cell r="H244">
            <v>0.8</v>
          </cell>
        </row>
        <row r="245">
          <cell r="B245" t="str">
            <v>Nha4t.1(3,4-3,5)</v>
          </cell>
          <cell r="C245" t="str">
            <v xml:space="preserve">Nhà 4 tầng, khung chịu lực BTCT, tường xây gạch 220, mái BTCT, chiều cao  từ 3,4 đến 3,5m </v>
          </cell>
          <cell r="E245" t="str">
            <v>m2</v>
          </cell>
          <cell r="F245">
            <v>5350400</v>
          </cell>
          <cell r="G245">
            <v>20</v>
          </cell>
          <cell r="H245">
            <v>0.8</v>
          </cell>
        </row>
        <row r="246">
          <cell r="B246" t="str">
            <v>Nha4t.1(3,3-3,4)</v>
          </cell>
          <cell r="C246" t="str">
            <v xml:space="preserve">Nhà 4 tầng, khung chịu lực BTCT, tường xây gạch 220, mái BTCT, chiều cao  từ 3,3 đến 3,4m </v>
          </cell>
          <cell r="E246" t="str">
            <v>m2</v>
          </cell>
          <cell r="F246">
            <v>5316300</v>
          </cell>
          <cell r="G246">
            <v>20</v>
          </cell>
          <cell r="H246">
            <v>0.8</v>
          </cell>
        </row>
        <row r="247">
          <cell r="B247" t="str">
            <v>Nha4t.1(3,2-3,3)</v>
          </cell>
          <cell r="C247" t="str">
            <v xml:space="preserve">Nhà 4 tầng, khung chịu lực BTCT, tường xây gạch 220, mái BTCT, chiều cao  từ 3,2 đến 3,3m </v>
          </cell>
          <cell r="E247" t="str">
            <v>m2</v>
          </cell>
          <cell r="F247">
            <v>5282200</v>
          </cell>
          <cell r="G247">
            <v>20</v>
          </cell>
          <cell r="H247">
            <v>0.8</v>
          </cell>
        </row>
        <row r="248">
          <cell r="B248" t="str">
            <v>Nha4t.1(3,1-3,2)</v>
          </cell>
          <cell r="C248" t="str">
            <v xml:space="preserve">Nhà 4 tầng, khung chịu lực BTCT, tường xây gạch 220, mái BTCT, chiều cao  từ 3,1 đến 3,2m </v>
          </cell>
          <cell r="E248" t="str">
            <v>m2</v>
          </cell>
          <cell r="F248">
            <v>5248100</v>
          </cell>
          <cell r="G248">
            <v>20</v>
          </cell>
          <cell r="H248">
            <v>0.8</v>
          </cell>
        </row>
        <row r="249">
          <cell r="B249" t="str">
            <v>Nha4t.1(3,0-3,1)</v>
          </cell>
          <cell r="C249" t="str">
            <v xml:space="preserve">Nhà 4 tầng, khung chịu lực BTCT, tường xây gạch 220, mái BTCT, chiều cao  từ 3,0 đến 3,1m </v>
          </cell>
          <cell r="E249" t="str">
            <v>m2</v>
          </cell>
          <cell r="F249">
            <v>5214000</v>
          </cell>
          <cell r="G249">
            <v>20</v>
          </cell>
          <cell r="H249">
            <v>0.8</v>
          </cell>
        </row>
        <row r="250">
          <cell r="C250" t="str">
            <v>Chiều cao tầng dưới 3,0m (Cứ 0,1m trừ đi 31.000 đồng/m2)</v>
          </cell>
        </row>
        <row r="251">
          <cell r="B251" t="str">
            <v>LAT NỀN</v>
          </cell>
          <cell r="C251" t="str">
            <v>Lát nền</v>
          </cell>
        </row>
        <row r="252">
          <cell r="B252" t="str">
            <v>Lát gạch chỉ</v>
          </cell>
          <cell r="C252" t="str">
            <v>Lát gạch chỉ</v>
          </cell>
          <cell r="E252" t="str">
            <v>m2</v>
          </cell>
          <cell r="F252">
            <v>114950.00000000001</v>
          </cell>
          <cell r="G252">
            <v>10</v>
          </cell>
          <cell r="H252">
            <v>0.8</v>
          </cell>
        </row>
        <row r="253">
          <cell r="B253" t="str">
            <v>Lát gạch Ceramic 200x200</v>
          </cell>
          <cell r="C253" t="str">
            <v>Lát nền, sàn bằng gạch Ceramic 200x200mm</v>
          </cell>
          <cell r="E253" t="str">
            <v>m2</v>
          </cell>
          <cell r="F253">
            <v>175780</v>
          </cell>
          <cell r="G253">
            <v>10</v>
          </cell>
          <cell r="H253">
            <v>0.8</v>
          </cell>
        </row>
        <row r="254">
          <cell r="B254" t="str">
            <v>Lát gạch Ceramic 300x300</v>
          </cell>
          <cell r="C254" t="str">
            <v>Lát nền, sàn bằng gạch Ceramic 300x300mm</v>
          </cell>
          <cell r="E254" t="str">
            <v>m2</v>
          </cell>
          <cell r="F254">
            <v>216150.00000000003</v>
          </cell>
          <cell r="G254">
            <v>10</v>
          </cell>
          <cell r="H254">
            <v>0.8</v>
          </cell>
        </row>
        <row r="255">
          <cell r="B255" t="str">
            <v>Lát gạch Ceramic 400x400</v>
          </cell>
          <cell r="C255" t="str">
            <v>Lát nền, sàn bằng gạch Ceramic 400x400mm</v>
          </cell>
          <cell r="E255" t="str">
            <v>m2</v>
          </cell>
          <cell r="F255">
            <v>217800.00000000003</v>
          </cell>
          <cell r="G255">
            <v>10</v>
          </cell>
          <cell r="H255">
            <v>0.8</v>
          </cell>
        </row>
        <row r="256">
          <cell r="B256" t="str">
            <v>Lát gạch Ceramic 500x500</v>
          </cell>
          <cell r="C256" t="str">
            <v>Lát nền, sàn bằng gạch Ceramic 500x500mm</v>
          </cell>
          <cell r="E256" t="str">
            <v>m2</v>
          </cell>
          <cell r="F256">
            <v>253440.00000000003</v>
          </cell>
          <cell r="G256">
            <v>10</v>
          </cell>
          <cell r="H256">
            <v>0.8</v>
          </cell>
        </row>
        <row r="257">
          <cell r="B257" t="str">
            <v>Lát gạch Ceramic 600x600</v>
          </cell>
          <cell r="C257" t="str">
            <v>Lát nền, sàn bằng gạch Ceramic 600x600mm</v>
          </cell>
          <cell r="E257" t="str">
            <v>m2</v>
          </cell>
          <cell r="G257">
            <v>10</v>
          </cell>
          <cell r="H257">
            <v>0.8</v>
          </cell>
        </row>
        <row r="258">
          <cell r="B258" t="str">
            <v>Lát gạch Ceramic 800x800</v>
          </cell>
          <cell r="C258" t="str">
            <v>Lát nền, sàn bằng gạch Ceramic 800x800mm</v>
          </cell>
          <cell r="E258" t="str">
            <v>m2</v>
          </cell>
          <cell r="G258">
            <v>10</v>
          </cell>
          <cell r="H258">
            <v>0.8</v>
          </cell>
        </row>
        <row r="259">
          <cell r="B259" t="str">
            <v>Lát gạch Granit 400x400</v>
          </cell>
          <cell r="C259" t="str">
            <v>Lát nền, sàn bằng gạch Granit 400x400mm</v>
          </cell>
          <cell r="E259" t="str">
            <v>m2</v>
          </cell>
          <cell r="F259">
            <v>330990</v>
          </cell>
          <cell r="G259">
            <v>10</v>
          </cell>
          <cell r="H259">
            <v>0.8</v>
          </cell>
        </row>
        <row r="260">
          <cell r="B260" t="str">
            <v>Lát gạch Granit 500x500</v>
          </cell>
          <cell r="C260" t="str">
            <v>Lát nền, sàn bằng gạch Granit 500x500mm</v>
          </cell>
          <cell r="E260" t="str">
            <v>m2</v>
          </cell>
          <cell r="F260">
            <v>357720</v>
          </cell>
          <cell r="G260">
            <v>10</v>
          </cell>
          <cell r="H260">
            <v>0.8</v>
          </cell>
        </row>
        <row r="261">
          <cell r="B261" t="str">
            <v>Lát gạch Granit 600x600</v>
          </cell>
          <cell r="C261" t="str">
            <v>Lát nền, sàn bằng gạch Granit 600x600mm</v>
          </cell>
          <cell r="E261" t="str">
            <v>m2</v>
          </cell>
          <cell r="F261">
            <v>383570.00000000006</v>
          </cell>
          <cell r="G261">
            <v>10</v>
          </cell>
          <cell r="H261">
            <v>0.8</v>
          </cell>
        </row>
        <row r="262">
          <cell r="B262" t="str">
            <v>Lát đá Granit kim sa 01</v>
          </cell>
          <cell r="C262" t="str">
            <v>Lát đá bậc tam cấp, đá Granit kim sa</v>
          </cell>
          <cell r="E262" t="str">
            <v>m2</v>
          </cell>
          <cell r="F262">
            <v>1749770.0000000002</v>
          </cell>
          <cell r="G262">
            <v>25</v>
          </cell>
          <cell r="H262">
            <v>0.8</v>
          </cell>
        </row>
        <row r="263">
          <cell r="B263" t="str">
            <v>Lát đá Granit kim sa 02</v>
          </cell>
          <cell r="C263" t="str">
            <v>Lát đá bậc cầu thang, đá Granit kim sa</v>
          </cell>
          <cell r="E263" t="str">
            <v>m2</v>
          </cell>
          <cell r="F263">
            <v>1759450.0000000002</v>
          </cell>
          <cell r="G263">
            <v>25</v>
          </cell>
          <cell r="H263">
            <v>0.8</v>
          </cell>
        </row>
        <row r="264">
          <cell r="B264" t="str">
            <v>Lát đá Granit kim sa</v>
          </cell>
          <cell r="C264" t="str">
            <v>Lát đá mặt bệ các loại (bệ bếp, bệ bàn, bệ lavabo…) đá Granit kim sa</v>
          </cell>
          <cell r="E264" t="str">
            <v>m2</v>
          </cell>
          <cell r="F264">
            <v>1790030.0000000002</v>
          </cell>
          <cell r="G264">
            <v>25</v>
          </cell>
          <cell r="H264">
            <v>0.8</v>
          </cell>
        </row>
        <row r="265">
          <cell r="B265" t="str">
            <v>Lát gạch đất nung 300x300</v>
          </cell>
          <cell r="C265" t="str">
            <v>Lát gạch đất nung 300x300mm</v>
          </cell>
          <cell r="E265" t="str">
            <v>m2</v>
          </cell>
          <cell r="F265">
            <v>159500</v>
          </cell>
          <cell r="G265">
            <v>10</v>
          </cell>
          <cell r="H265">
            <v>0.8</v>
          </cell>
        </row>
        <row r="266">
          <cell r="B266" t="str">
            <v>Lát gạch đất nung 400x400</v>
          </cell>
          <cell r="C266" t="str">
            <v>Lát gạch đất nung 400x400mm</v>
          </cell>
          <cell r="E266" t="str">
            <v>m2</v>
          </cell>
          <cell r="F266">
            <v>191070.00000000003</v>
          </cell>
          <cell r="G266">
            <v>10</v>
          </cell>
          <cell r="H266">
            <v>0.8</v>
          </cell>
        </row>
        <row r="267">
          <cell r="B267" t="str">
            <v>Lát gạch đất nung 500x500</v>
          </cell>
          <cell r="C267" t="str">
            <v>Lát gạch đất nung 500x500mm</v>
          </cell>
          <cell r="E267" t="str">
            <v>m2</v>
          </cell>
          <cell r="G267">
            <v>10</v>
          </cell>
          <cell r="H267">
            <v>0.8</v>
          </cell>
        </row>
        <row r="268">
          <cell r="B268" t="str">
            <v>ỐP GẠCH</v>
          </cell>
          <cell r="C268" t="str">
            <v>Ốp gạch</v>
          </cell>
        </row>
        <row r="269">
          <cell r="B269" t="str">
            <v>Ốp gạch 200x200</v>
          </cell>
          <cell r="C269" t="str">
            <v>Ốp gạch vào tường, trụ, cột, kích thước gạch 200x200mm</v>
          </cell>
          <cell r="E269" t="str">
            <v>m2</v>
          </cell>
          <cell r="G269">
            <v>25</v>
          </cell>
          <cell r="H269">
            <v>0.8</v>
          </cell>
        </row>
        <row r="270">
          <cell r="B270" t="str">
            <v>Ốp gạch 250x250</v>
          </cell>
          <cell r="C270" t="str">
            <v>Ốp gạch vào tường, trụ, cột, kích thước gạch 250x250mm</v>
          </cell>
          <cell r="E270" t="str">
            <v>m2</v>
          </cell>
          <cell r="F270">
            <v>276980</v>
          </cell>
          <cell r="G270">
            <v>25</v>
          </cell>
          <cell r="H270">
            <v>0.8</v>
          </cell>
        </row>
        <row r="271">
          <cell r="B271" t="str">
            <v>Ốp gạch 250x400</v>
          </cell>
          <cell r="C271" t="str">
            <v>Ốp gạch vào tường, trụ, cột, kích thước gạch 250x400mm</v>
          </cell>
          <cell r="E271" t="str">
            <v>m2</v>
          </cell>
          <cell r="F271">
            <v>278960</v>
          </cell>
          <cell r="G271">
            <v>25</v>
          </cell>
          <cell r="H271">
            <v>0.8</v>
          </cell>
        </row>
        <row r="272">
          <cell r="B272" t="str">
            <v>Ốp gạch 300x300</v>
          </cell>
          <cell r="C272" t="str">
            <v>Ốp gạch vào tường, trụ, cột, kích thước gạch 300x300mm</v>
          </cell>
          <cell r="E272" t="str">
            <v>m2</v>
          </cell>
          <cell r="F272">
            <v>290510</v>
          </cell>
          <cell r="G272">
            <v>25</v>
          </cell>
          <cell r="H272">
            <v>0.8</v>
          </cell>
        </row>
        <row r="273">
          <cell r="B273" t="str">
            <v>Ốp gạch 300x450</v>
          </cell>
          <cell r="C273" t="str">
            <v>Ốp gạch vào tường, trụ, cột, kích thước gạch 300x450mm</v>
          </cell>
          <cell r="E273" t="str">
            <v>m2</v>
          </cell>
          <cell r="F273">
            <v>304370</v>
          </cell>
          <cell r="G273">
            <v>25</v>
          </cell>
          <cell r="H273">
            <v>0.8</v>
          </cell>
        </row>
        <row r="274">
          <cell r="B274" t="str">
            <v>Ốp gạch 300x600</v>
          </cell>
          <cell r="C274" t="str">
            <v>Ốp gạch vào tường, trụ, cột, kích thước gạch 300x600mm</v>
          </cell>
          <cell r="E274" t="str">
            <v>m2</v>
          </cell>
          <cell r="F274">
            <v>348370</v>
          </cell>
          <cell r="G274">
            <v>25</v>
          </cell>
          <cell r="H274">
            <v>0.8</v>
          </cell>
        </row>
        <row r="275">
          <cell r="B275" t="str">
            <v>Ốp gạch 500x500</v>
          </cell>
          <cell r="C275" t="str">
            <v>Ốp gạch vào tường, trụ, cột, kích thước gạch 500x500mm</v>
          </cell>
          <cell r="E275" t="str">
            <v>m2</v>
          </cell>
          <cell r="F275">
            <v>372900.00000000006</v>
          </cell>
          <cell r="G275">
            <v>25</v>
          </cell>
          <cell r="H275">
            <v>0.8</v>
          </cell>
        </row>
        <row r="276">
          <cell r="B276" t="str">
            <v>Ốp gạch 600x600</v>
          </cell>
          <cell r="C276" t="str">
            <v>Ốp gạch vào tường, trụ, cột, kích thước gạch 600x600mm</v>
          </cell>
          <cell r="E276" t="str">
            <v>m2</v>
          </cell>
          <cell r="F276">
            <v>383900.00000000006</v>
          </cell>
          <cell r="G276">
            <v>25</v>
          </cell>
          <cell r="H276">
            <v>0.8</v>
          </cell>
        </row>
        <row r="277">
          <cell r="B277" t="str">
            <v>Ốp gạch 800x800</v>
          </cell>
          <cell r="C277" t="str">
            <v>Ốp gạch vào tường, trụ, cột, kích thước gạch 800x800mm</v>
          </cell>
          <cell r="E277" t="str">
            <v>m2</v>
          </cell>
          <cell r="G277">
            <v>25</v>
          </cell>
          <cell r="H277">
            <v>0.8</v>
          </cell>
        </row>
        <row r="278">
          <cell r="B278" t="str">
            <v>Ốp gạch chân tường 120x300</v>
          </cell>
          <cell r="C278" t="str">
            <v>Ốp gạch vào chân tường, viền tường, viền trụ, cột, kích thước gạch 120x300mm</v>
          </cell>
          <cell r="E278" t="str">
            <v>m2</v>
          </cell>
          <cell r="F278">
            <v>282480</v>
          </cell>
          <cell r="G278">
            <v>25</v>
          </cell>
          <cell r="H278">
            <v>0.8</v>
          </cell>
        </row>
        <row r="279">
          <cell r="B279" t="str">
            <v>Ốp gạch chân tường 120x400</v>
          </cell>
          <cell r="C279" t="str">
            <v>Ốp gạch vào chân tường, viền tường, viền trụ, cột, kích thước gạch 120x400mm</v>
          </cell>
          <cell r="E279" t="str">
            <v>m2</v>
          </cell>
          <cell r="F279">
            <v>277750</v>
          </cell>
          <cell r="G279">
            <v>25</v>
          </cell>
          <cell r="H279">
            <v>0.8</v>
          </cell>
        </row>
        <row r="280">
          <cell r="B280" t="str">
            <v>Ốp gạch chân tường 120x500</v>
          </cell>
          <cell r="C280" t="str">
            <v>Ốp gạch vào chân tường, viền tường, viền trụ, cột, kích thước gạch 120x500mm</v>
          </cell>
          <cell r="E280" t="str">
            <v>m2</v>
          </cell>
          <cell r="F280">
            <v>282920</v>
          </cell>
          <cell r="G280">
            <v>25</v>
          </cell>
          <cell r="H280">
            <v>0.8</v>
          </cell>
        </row>
        <row r="281">
          <cell r="C281" t="str">
            <v>Láng vữa, granito</v>
          </cell>
        </row>
        <row r="282">
          <cell r="B282" t="str">
            <v>Sàn không đánh màu</v>
          </cell>
          <cell r="C282" t="str">
            <v>Láng nền, sàn không đánh màu</v>
          </cell>
          <cell r="E282" t="str">
            <v>m2</v>
          </cell>
          <cell r="F282">
            <v>79090</v>
          </cell>
          <cell r="G282">
            <v>25</v>
          </cell>
        </row>
        <row r="283">
          <cell r="B283" t="str">
            <v>Sàn có đánh màu</v>
          </cell>
          <cell r="C283" t="str">
            <v>Láng nền, sàn có đánh màu</v>
          </cell>
          <cell r="E283" t="str">
            <v>m2</v>
          </cell>
          <cell r="F283">
            <v>85690</v>
          </cell>
          <cell r="G283">
            <v>25</v>
          </cell>
        </row>
        <row r="284">
          <cell r="B284" t="str">
            <v>Nền Granito</v>
          </cell>
          <cell r="C284" t="str">
            <v>Láng granito nền sàn</v>
          </cell>
          <cell r="E284" t="str">
            <v>m2</v>
          </cell>
          <cell r="F284">
            <v>520740.00000000006</v>
          </cell>
          <cell r="G284">
            <v>25</v>
          </cell>
        </row>
        <row r="285">
          <cell r="B285" t="str">
            <v>Cầu thang Granito</v>
          </cell>
          <cell r="C285" t="str">
            <v>Láng granito cầu thang</v>
          </cell>
          <cell r="E285" t="str">
            <v>m2</v>
          </cell>
          <cell r="F285">
            <v>941710.00000000012</v>
          </cell>
          <cell r="G285">
            <v>25</v>
          </cell>
        </row>
        <row r="286">
          <cell r="C286" t="str">
            <v>Bả, lăn sơn, vôi ve</v>
          </cell>
        </row>
        <row r="287">
          <cell r="B287" t="str">
            <v>Sơn trong nhà 01</v>
          </cell>
          <cell r="C287" t="str">
            <v>Sơn dầm, trần cột, tường trong nhà đã bả (chưa tính bả)</v>
          </cell>
          <cell r="E287" t="str">
            <v>m2</v>
          </cell>
          <cell r="F287">
            <v>53460.000000000007</v>
          </cell>
          <cell r="H287">
            <v>0.8</v>
          </cell>
        </row>
        <row r="288">
          <cell r="B288" t="str">
            <v>Sơn ngoài nhà 01</v>
          </cell>
          <cell r="C288" t="str">
            <v>Sơn dầm, trần cột, tường ngoài nhà đã bả (chưa tính bả)</v>
          </cell>
          <cell r="E288" t="str">
            <v>m2</v>
          </cell>
          <cell r="F288">
            <v>56650.000000000007</v>
          </cell>
          <cell r="H288">
            <v>0.8</v>
          </cell>
        </row>
        <row r="289">
          <cell r="B289" t="str">
            <v>Sơn trong nhà 02</v>
          </cell>
          <cell r="C289" t="str">
            <v>Sơn dầm, trần cột, tường trong nhà không bả</v>
          </cell>
          <cell r="E289" t="str">
            <v>m2</v>
          </cell>
          <cell r="F289">
            <v>63800.000000000007</v>
          </cell>
          <cell r="H289">
            <v>0.8</v>
          </cell>
        </row>
        <row r="290">
          <cell r="B290" t="str">
            <v>Sơn ngoài nhà 02</v>
          </cell>
          <cell r="C290" t="str">
            <v>Sơn dầm, trần cột, tường ngoài nhà không bả</v>
          </cell>
          <cell r="E290" t="str">
            <v>m2</v>
          </cell>
          <cell r="F290">
            <v>68200</v>
          </cell>
          <cell r="H290">
            <v>0.8</v>
          </cell>
        </row>
        <row r="291">
          <cell r="B291" t="str">
            <v>Bả matit 01</v>
          </cell>
          <cell r="C291" t="str">
            <v>Bả bằng matít vào tường</v>
          </cell>
          <cell r="E291" t="str">
            <v>m2</v>
          </cell>
          <cell r="F291">
            <v>33770</v>
          </cell>
          <cell r="H291">
            <v>0.8</v>
          </cell>
        </row>
        <row r="292">
          <cell r="B292" t="str">
            <v>Bả matit 02</v>
          </cell>
          <cell r="C292" t="str">
            <v>Bả bằng matít vào cột, dầm, trần</v>
          </cell>
          <cell r="E292" t="str">
            <v>m2</v>
          </cell>
          <cell r="F292">
            <v>39710</v>
          </cell>
          <cell r="H292">
            <v>0.8</v>
          </cell>
        </row>
        <row r="293">
          <cell r="B293" t="str">
            <v>Quét vôi ve</v>
          </cell>
          <cell r="C293" t="str">
            <v>Quét vôi ve trong và ngoài nhà</v>
          </cell>
          <cell r="E293" t="str">
            <v>m2</v>
          </cell>
          <cell r="F293">
            <v>12540.000000000002</v>
          </cell>
          <cell r="H293">
            <v>0.8</v>
          </cell>
        </row>
        <row r="294">
          <cell r="B294" t="str">
            <v>Trát tường ngoài</v>
          </cell>
          <cell r="C294" t="str">
            <v>Trát tường ngoài nhà vữa XM</v>
          </cell>
          <cell r="E294" t="str">
            <v>m2</v>
          </cell>
          <cell r="F294">
            <v>90750.000000000015</v>
          </cell>
          <cell r="H294">
            <v>0.8</v>
          </cell>
        </row>
        <row r="295">
          <cell r="B295" t="str">
            <v>Trát tường trong</v>
          </cell>
          <cell r="C295" t="str">
            <v>Trát tường trong nhà vữa XM</v>
          </cell>
          <cell r="E295" t="str">
            <v>m2</v>
          </cell>
          <cell r="F295">
            <v>72930</v>
          </cell>
          <cell r="H295">
            <v>0.8</v>
          </cell>
        </row>
        <row r="296">
          <cell r="B296" t="str">
            <v>Trát xà, dầm</v>
          </cell>
          <cell r="C296" t="str">
            <v>Trát xà, dầm, giằng vữa XM</v>
          </cell>
          <cell r="E296" t="str">
            <v>m2</v>
          </cell>
          <cell r="F296">
            <v>127490.00000000001</v>
          </cell>
          <cell r="H296">
            <v>0.8</v>
          </cell>
        </row>
        <row r="297">
          <cell r="B297" t="str">
            <v>Trát trụ, cột</v>
          </cell>
          <cell r="C297" t="str">
            <v>Trát trụ, cột, lam đứng, cầu thang vữa XM</v>
          </cell>
          <cell r="E297" t="str">
            <v>m2</v>
          </cell>
          <cell r="F297">
            <v>182380.00000000003</v>
          </cell>
          <cell r="H297">
            <v>0.8</v>
          </cell>
        </row>
        <row r="298">
          <cell r="B298" t="str">
            <v>Trát trần vữa</v>
          </cell>
          <cell r="C298" t="str">
            <v>Trát trần vữa XM</v>
          </cell>
          <cell r="E298" t="str">
            <v>m2</v>
          </cell>
          <cell r="F298">
            <v>176000</v>
          </cell>
          <cell r="H298">
            <v>0.8</v>
          </cell>
        </row>
        <row r="299">
          <cell r="B299" t="str">
            <v>TRẦN</v>
          </cell>
          <cell r="C299" t="str">
            <v>Trần, gác xép</v>
          </cell>
        </row>
        <row r="300">
          <cell r="B300" t="str">
            <v>Trần thạch cao</v>
          </cell>
          <cell r="C300" t="str">
            <v>Làm trần bằng tấm thạch cao</v>
          </cell>
          <cell r="E300" t="str">
            <v>m2</v>
          </cell>
          <cell r="F300">
            <v>360580</v>
          </cell>
          <cell r="G300">
            <v>25</v>
          </cell>
        </row>
        <row r="301">
          <cell r="B301" t="str">
            <v>Trần nhựa</v>
          </cell>
          <cell r="C301" t="str">
            <v>Làm trần bằng tấm nhựa</v>
          </cell>
          <cell r="E301" t="str">
            <v>m2</v>
          </cell>
          <cell r="F301">
            <v>134090</v>
          </cell>
          <cell r="G301">
            <v>25</v>
          </cell>
        </row>
        <row r="302">
          <cell r="B302" t="str">
            <v>Trần cót ép</v>
          </cell>
          <cell r="C302" t="str">
            <v>Làm trần cót ép</v>
          </cell>
          <cell r="E302" t="str">
            <v>m2</v>
          </cell>
          <cell r="F302">
            <v>108570.00000000001</v>
          </cell>
          <cell r="G302">
            <v>25</v>
          </cell>
        </row>
        <row r="303">
          <cell r="B303" t="str">
            <v>Trần gỗ dán</v>
          </cell>
          <cell r="C303" t="str">
            <v>Làm trần gỗ dán, ván ép</v>
          </cell>
          <cell r="E303" t="str">
            <v>m2</v>
          </cell>
          <cell r="F303">
            <v>233420.00000000003</v>
          </cell>
          <cell r="G303">
            <v>25</v>
          </cell>
        </row>
        <row r="304">
          <cell r="B304" t="str">
            <v>Gáp xép gỗ</v>
          </cell>
          <cell r="C304" t="str">
            <v>Gác xép gỗ nhóm IV (Để chứa đồ)</v>
          </cell>
          <cell r="E304" t="str">
            <v>m2</v>
          </cell>
          <cell r="F304">
            <v>2247630</v>
          </cell>
          <cell r="G304">
            <v>25</v>
          </cell>
        </row>
        <row r="305">
          <cell r="B305" t="str">
            <v>CHỐNG NÓNG</v>
          </cell>
          <cell r="C305" t="str">
            <v>Kết cấu chống nóng</v>
          </cell>
        </row>
        <row r="306">
          <cell r="B306" t="str">
            <v>Chống nóng mái Fibroximang</v>
          </cell>
          <cell r="C306" t="str">
            <v>Chống nóng mái bằng tấm fibroximang</v>
          </cell>
          <cell r="E306" t="str">
            <v>m2</v>
          </cell>
          <cell r="F306">
            <v>87780</v>
          </cell>
          <cell r="G306">
            <v>25</v>
          </cell>
        </row>
        <row r="307">
          <cell r="B307" t="str">
            <v>Chống nóng mái tôn</v>
          </cell>
          <cell r="C307" t="str">
            <v>Chống nóng mái bằng tôn mạ màu</v>
          </cell>
          <cell r="E307" t="str">
            <v>m2</v>
          </cell>
          <cell r="F307">
            <v>274890</v>
          </cell>
          <cell r="G307">
            <v>25</v>
          </cell>
        </row>
        <row r="308">
          <cell r="B308" t="str">
            <v>Lát gạch chống nóng</v>
          </cell>
          <cell r="C308" t="str">
            <v>Lát gạch chống nóng bằng gạch 4 lỗ 22x10,5x15cm</v>
          </cell>
          <cell r="E308" t="str">
            <v>m2</v>
          </cell>
          <cell r="F308">
            <v>203940.00000000003</v>
          </cell>
          <cell r="G308">
            <v>25</v>
          </cell>
        </row>
        <row r="309">
          <cell r="B309" t="str">
            <v>CỔNG</v>
          </cell>
          <cell r="C309" t="str">
            <v>CỔNG</v>
          </cell>
        </row>
        <row r="310">
          <cell r="B310" t="str">
            <v>Cánh cổng 01</v>
          </cell>
          <cell r="C310" t="str">
            <v>Cổng thép mặt bưng tôn, khung thép hộp, lan sắt vuông 10x10</v>
          </cell>
          <cell r="E310" t="str">
            <v>m2</v>
          </cell>
          <cell r="F310">
            <v>938520.00000000012</v>
          </cell>
          <cell r="G310">
            <v>10</v>
          </cell>
          <cell r="H310">
            <v>0.8</v>
          </cell>
        </row>
        <row r="311">
          <cell r="B311" t="str">
            <v>Cánh cổng 02</v>
          </cell>
          <cell r="C311" t="str">
            <v>Cổng thép mặt bưng tôn, khung thép hộp, lan sắt vuông 12x12</v>
          </cell>
          <cell r="E311" t="str">
            <v>m2</v>
          </cell>
          <cell r="F311">
            <v>1039060.0000000001</v>
          </cell>
          <cell r="G311">
            <v>10</v>
          </cell>
          <cell r="H311">
            <v>0.8</v>
          </cell>
        </row>
        <row r="312">
          <cell r="B312" t="str">
            <v>Cánh cổng 03</v>
          </cell>
          <cell r="C312" t="str">
            <v>Cổng thép mặt bưng tôn, khung thép hộp, lan sắt vuông 14x14</v>
          </cell>
          <cell r="E312" t="str">
            <v>m2</v>
          </cell>
          <cell r="F312">
            <v>1200210</v>
          </cell>
          <cell r="G312">
            <v>10</v>
          </cell>
          <cell r="H312">
            <v>0.8</v>
          </cell>
        </row>
        <row r="313">
          <cell r="B313" t="str">
            <v>Cánh cổng 04</v>
          </cell>
          <cell r="C313" t="str">
            <v>Cổng thép mặt bưng tôn, khung thép hộp, lan sắt vuông 16x16</v>
          </cell>
          <cell r="E313" t="str">
            <v>m2</v>
          </cell>
          <cell r="F313">
            <v>1337380</v>
          </cell>
          <cell r="G313">
            <v>10</v>
          </cell>
          <cell r="H313">
            <v>0.8</v>
          </cell>
        </row>
        <row r="314">
          <cell r="B314" t="str">
            <v>TƯỜNG RÀO</v>
          </cell>
          <cell r="C314" t="str">
            <v>TƯỜNG RÀO</v>
          </cell>
        </row>
        <row r="315">
          <cell r="B315" t="str">
            <v>Tường 220</v>
          </cell>
          <cell r="C315" t="str">
            <v>Tường rào xây gạch 220, trát vữa XM, quét vôi ve, cao ≤ 2,5m</v>
          </cell>
          <cell r="E315" t="str">
            <v>m2</v>
          </cell>
          <cell r="F315">
            <v>881320.00000000012</v>
          </cell>
          <cell r="G315">
            <v>10</v>
          </cell>
          <cell r="H315">
            <v>0.8</v>
          </cell>
        </row>
        <row r="316">
          <cell r="B316" t="str">
            <v>Tường 110</v>
          </cell>
          <cell r="C316" t="str">
            <v>Tường rào xây gạch bổ trụ 220, xây tường 110, trát vữa XM, quét vôi ve, cao ≤ 2,5m</v>
          </cell>
          <cell r="E316" t="str">
            <v>m2</v>
          </cell>
          <cell r="F316">
            <v>695200</v>
          </cell>
          <cell r="G316">
            <v>10</v>
          </cell>
          <cell r="H316">
            <v>0.8</v>
          </cell>
        </row>
        <row r="317">
          <cell r="B317" t="str">
            <v>Tường móng gạch 1</v>
          </cell>
          <cell r="C317" t="str">
            <v>Tường rào móng gạch, trát vữa XM, quét vôi vẻ. Khoang hoa sắt vuông 10x10</v>
          </cell>
          <cell r="E317" t="str">
            <v>m2</v>
          </cell>
          <cell r="F317">
            <v>849970.00000000012</v>
          </cell>
          <cell r="G317">
            <v>10</v>
          </cell>
          <cell r="H317">
            <v>0.8</v>
          </cell>
        </row>
        <row r="318">
          <cell r="B318" t="str">
            <v>Tường móng gạch 2</v>
          </cell>
          <cell r="C318" t="str">
            <v>Tường rào móng gạch, trát vữa XM, quét vôi vẻ. Khoang hoa sắt vuông 12x12</v>
          </cell>
          <cell r="E318" t="str">
            <v>m2</v>
          </cell>
          <cell r="F318">
            <v>890780.00000000012</v>
          </cell>
          <cell r="G318">
            <v>10</v>
          </cell>
          <cell r="H318">
            <v>0.8</v>
          </cell>
        </row>
        <row r="319">
          <cell r="B319" t="str">
            <v>Tường móng gạch 3</v>
          </cell>
          <cell r="C319" t="str">
            <v>Tường rào móng gạch, trát vữa XM, quét vôi vẻ. Khoang hoa sắt vuông 14x14</v>
          </cell>
          <cell r="E319" t="str">
            <v>m2</v>
          </cell>
          <cell r="F319">
            <v>966130.00000000012</v>
          </cell>
          <cell r="G319">
            <v>10</v>
          </cell>
          <cell r="H319">
            <v>0.8</v>
          </cell>
        </row>
        <row r="320">
          <cell r="B320" t="str">
            <v>Tường móng gạch 4</v>
          </cell>
          <cell r="C320" t="str">
            <v>Tường rào móng gạch, trát vữa XM, quét vôi vẻ. Khoang hoa sắt vuông 16x16</v>
          </cell>
          <cell r="E320" t="str">
            <v>m2</v>
          </cell>
          <cell r="F320">
            <v>1051820</v>
          </cell>
          <cell r="G320">
            <v>10</v>
          </cell>
          <cell r="H320">
            <v>0.8</v>
          </cell>
        </row>
        <row r="321">
          <cell r="B321" t="str">
            <v>Tường móng gạch 5</v>
          </cell>
          <cell r="C321" t="str">
            <v>Tường rào móng gạch, trát vữa XM, quét vôi vẻ. Khoang hoa sắt D &gt;= 10mm</v>
          </cell>
          <cell r="E321" t="str">
            <v>m2</v>
          </cell>
          <cell r="F321">
            <v>967890.00000000012</v>
          </cell>
          <cell r="G321">
            <v>10</v>
          </cell>
          <cell r="H321">
            <v>0.8</v>
          </cell>
        </row>
        <row r="322">
          <cell r="B322" t="str">
            <v>HRB40</v>
          </cell>
          <cell r="C322" t="str">
            <v>Hàng rào lưới B40</v>
          </cell>
          <cell r="E322" t="str">
            <v>m2</v>
          </cell>
          <cell r="F322">
            <v>104060.00000000001</v>
          </cell>
          <cell r="G322">
            <v>10</v>
          </cell>
          <cell r="H322">
            <v>0.2</v>
          </cell>
        </row>
        <row r="323">
          <cell r="B323" t="str">
            <v>HRB40.CK</v>
          </cell>
          <cell r="C323" t="str">
            <v>Hàng rào lưới B40 có khung thép</v>
          </cell>
          <cell r="E323" t="str">
            <v>m2</v>
          </cell>
          <cell r="F323">
            <v>189200.00000000003</v>
          </cell>
          <cell r="G323">
            <v>10</v>
          </cell>
          <cell r="H323">
            <v>0.2</v>
          </cell>
        </row>
        <row r="324">
          <cell r="C324" t="str">
            <v>Tường hoa, lan can</v>
          </cell>
        </row>
        <row r="325">
          <cell r="B325" t="str">
            <v>Tường hoa</v>
          </cell>
          <cell r="C325" t="str">
            <v>Tường hoa xây gạch, con tiện sứ (con tiện xi măng), trát vữa XM, quét vôi ve</v>
          </cell>
          <cell r="E325" t="str">
            <v>m2</v>
          </cell>
          <cell r="F325">
            <v>555500</v>
          </cell>
          <cell r="G325">
            <v>10</v>
          </cell>
          <cell r="H325">
            <v>0.8</v>
          </cell>
        </row>
        <row r="326">
          <cell r="B326" t="str">
            <v>Lan can inox</v>
          </cell>
          <cell r="C326" t="str">
            <v>Lan can bằng inox, cao &lt;=900</v>
          </cell>
          <cell r="E326" t="str">
            <v>md</v>
          </cell>
          <cell r="F326">
            <v>1193610</v>
          </cell>
          <cell r="G326">
            <v>10</v>
          </cell>
          <cell r="H326">
            <v>0.8</v>
          </cell>
        </row>
        <row r="327">
          <cell r="B327" t="str">
            <v>Lan can thép hộp</v>
          </cell>
          <cell r="C327" t="str">
            <v>Lan can bằng thép hộp, cao &lt;=900</v>
          </cell>
          <cell r="E327" t="str">
            <v>md</v>
          </cell>
          <cell r="F327">
            <v>444620.00000000006</v>
          </cell>
          <cell r="G327">
            <v>10</v>
          </cell>
          <cell r="H327">
            <v>0.8</v>
          </cell>
        </row>
        <row r="328">
          <cell r="B328" t="str">
            <v>Lan can thép hình</v>
          </cell>
          <cell r="C328" t="str">
            <v>Lan can bằng thép hình, cao &lt;=900</v>
          </cell>
          <cell r="E328" t="str">
            <v>md</v>
          </cell>
          <cell r="F328">
            <v>560010</v>
          </cell>
          <cell r="G328">
            <v>10</v>
          </cell>
          <cell r="H328">
            <v>0.8</v>
          </cell>
        </row>
        <row r="329">
          <cell r="C329" t="str">
            <v>Bể nước, bể phốt</v>
          </cell>
        </row>
        <row r="330">
          <cell r="B330" t="str">
            <v>Bể phốt 01</v>
          </cell>
          <cell r="C330" t="str">
            <v>Bể phốt đáy đổ BTCT, thành bể xây gạch, có nắp đậy BTCT</v>
          </cell>
          <cell r="E330" t="str">
            <v>m3</v>
          </cell>
          <cell r="F330">
            <v>2230140</v>
          </cell>
          <cell r="G330">
            <v>20</v>
          </cell>
          <cell r="H330">
            <v>0.8</v>
          </cell>
        </row>
        <row r="331">
          <cell r="B331" t="str">
            <v>Bể phốt 02</v>
          </cell>
          <cell r="C331" t="str">
            <v>Bể phốt đáy đổ BTCT, thành bể xây gạch, không nắp đậy BTCT</v>
          </cell>
          <cell r="E331" t="str">
            <v>m3</v>
          </cell>
          <cell r="F331">
            <v>1565080.0000000002</v>
          </cell>
          <cell r="G331">
            <v>20</v>
          </cell>
          <cell r="H331">
            <v>0.8</v>
          </cell>
        </row>
        <row r="332">
          <cell r="B332" t="str">
            <v>Bể nước 01</v>
          </cell>
          <cell r="C332" t="str">
            <v>Bể nước đáy đổ BTCT, thành bể xây gạch, có bể lọc</v>
          </cell>
          <cell r="E332" t="str">
            <v>m3</v>
          </cell>
          <cell r="F332">
            <v>2098800</v>
          </cell>
          <cell r="G332">
            <v>20</v>
          </cell>
          <cell r="H332">
            <v>0.8</v>
          </cell>
        </row>
        <row r="333">
          <cell r="B333" t="str">
            <v>Bể nước 02</v>
          </cell>
          <cell r="C333" t="str">
            <v>Bể nước đáy đổ BTCT, thành bể xây gạch, có nắp đậy BTCT</v>
          </cell>
          <cell r="E333" t="str">
            <v>m3</v>
          </cell>
          <cell r="F333">
            <v>2031150.0000000002</v>
          </cell>
          <cell r="G333">
            <v>20</v>
          </cell>
          <cell r="H333">
            <v>0.8</v>
          </cell>
        </row>
        <row r="334">
          <cell r="B334" t="str">
            <v>Bể nước 03</v>
          </cell>
          <cell r="C334" t="str">
            <v>Bể nước đáy đổ BTCT, thành bể xây gạch, không nắp đậy BTCT</v>
          </cell>
          <cell r="E334" t="str">
            <v>m3</v>
          </cell>
          <cell r="F334">
            <v>1565080.0000000002</v>
          </cell>
          <cell r="G334">
            <v>20</v>
          </cell>
          <cell r="H334">
            <v>0.8</v>
          </cell>
        </row>
        <row r="335">
          <cell r="B335" t="str">
            <v>Bể nước 04</v>
          </cell>
          <cell r="C335" t="str">
            <v>Bể nước đáy, thành, nắp bể đổ BTCT</v>
          </cell>
          <cell r="E335" t="str">
            <v>m3</v>
          </cell>
          <cell r="F335">
            <v>3272390.0000000005</v>
          </cell>
          <cell r="G335">
            <v>20</v>
          </cell>
          <cell r="H335">
            <v>0.8</v>
          </cell>
        </row>
        <row r="336">
          <cell r="C336" t="str">
            <v>Rãnh thoát nước</v>
          </cell>
        </row>
        <row r="337">
          <cell r="B337" t="str">
            <v>Rãnh nước 01</v>
          </cell>
          <cell r="C337" t="str">
            <v>Rãnh thoát nước xây gạch 220, có nắp đậy BTCT, rộng B&lt;=400</v>
          </cell>
          <cell r="E337" t="str">
            <v>m</v>
          </cell>
          <cell r="F337">
            <v>1004300.0000000001</v>
          </cell>
          <cell r="G337">
            <v>20</v>
          </cell>
          <cell r="H337">
            <v>0.8</v>
          </cell>
        </row>
        <row r="338">
          <cell r="B338" t="str">
            <v>Rãnh nước 02</v>
          </cell>
          <cell r="C338" t="str">
            <v>Rãnh thoát nước xây gạch 220, không nắp đậy BTCT, rộng B&lt;=400</v>
          </cell>
          <cell r="E338" t="str">
            <v>m</v>
          </cell>
          <cell r="F338">
            <v>840070.00000000012</v>
          </cell>
          <cell r="G338">
            <v>20</v>
          </cell>
          <cell r="H338">
            <v>0.8</v>
          </cell>
        </row>
        <row r="339">
          <cell r="B339" t="str">
            <v>Rãnh nước 03</v>
          </cell>
          <cell r="C339" t="str">
            <v>Rãnh thoát nước xây gạch 110, có nắp đậy BTCT, rộng B&lt;=300</v>
          </cell>
          <cell r="E339" t="str">
            <v>m</v>
          </cell>
          <cell r="F339">
            <v>477070.00000000006</v>
          </cell>
          <cell r="G339">
            <v>20</v>
          </cell>
          <cell r="H339">
            <v>0.8</v>
          </cell>
        </row>
        <row r="340">
          <cell r="B340" t="str">
            <v>Rãnh nước 04</v>
          </cell>
          <cell r="C340" t="str">
            <v>Rãnh thoát nước xây gạch 110, không nắp đậy BTCT, rộng B&lt;=300</v>
          </cell>
          <cell r="E340" t="str">
            <v>m</v>
          </cell>
          <cell r="F340">
            <v>336490</v>
          </cell>
          <cell r="G340">
            <v>20</v>
          </cell>
          <cell r="H340">
            <v>0.8</v>
          </cell>
        </row>
        <row r="341">
          <cell r="C341" t="str">
            <v>Kè, san nền</v>
          </cell>
        </row>
        <row r="342">
          <cell r="B342" t="str">
            <v>San nền</v>
          </cell>
          <cell r="C342" t="str">
            <v>San nền</v>
          </cell>
          <cell r="E342" t="str">
            <v>m3</v>
          </cell>
          <cell r="F342">
            <v>245025.00000000003</v>
          </cell>
          <cell r="G342">
            <v>30</v>
          </cell>
          <cell r="H342">
            <v>0.8</v>
          </cell>
        </row>
        <row r="343">
          <cell r="B343" t="str">
            <v>Kè đá</v>
          </cell>
          <cell r="C343" t="str">
            <v>Kè xây đá hộc</v>
          </cell>
          <cell r="E343" t="str">
            <v>m3</v>
          </cell>
          <cell r="F343">
            <v>2052820.0000000002</v>
          </cell>
          <cell r="G343">
            <v>30</v>
          </cell>
          <cell r="H343">
            <v>0.8</v>
          </cell>
        </row>
        <row r="344">
          <cell r="B344" t="str">
            <v>Kè gạch</v>
          </cell>
          <cell r="C344" t="str">
            <v>Kè gạch</v>
          </cell>
          <cell r="E344" t="str">
            <v>m3</v>
          </cell>
          <cell r="F344">
            <v>2126520</v>
          </cell>
          <cell r="G344">
            <v>30</v>
          </cell>
          <cell r="H344">
            <v>0.8</v>
          </cell>
        </row>
        <row r="345">
          <cell r="C345" t="str">
            <v>Sân, đường bê tông</v>
          </cell>
        </row>
        <row r="346">
          <cell r="B346" t="str">
            <v>Sân BT100</v>
          </cell>
          <cell r="C346" t="str">
            <v>Sân bê tông dày 100, mác 200</v>
          </cell>
          <cell r="E346" t="str">
            <v>m2</v>
          </cell>
          <cell r="F346">
            <v>159830</v>
          </cell>
          <cell r="G346">
            <v>20</v>
          </cell>
          <cell r="H346">
            <v>0.8</v>
          </cell>
        </row>
        <row r="347">
          <cell r="B347" t="str">
            <v>Sân BT150</v>
          </cell>
          <cell r="C347" t="str">
            <v>Sân bê tông dày 150, mác 200</v>
          </cell>
          <cell r="E347" t="str">
            <v>m2</v>
          </cell>
          <cell r="F347">
            <v>159830</v>
          </cell>
          <cell r="G347">
            <v>20</v>
          </cell>
          <cell r="H347">
            <v>0.8</v>
          </cell>
        </row>
        <row r="348">
          <cell r="B348" t="str">
            <v>Sân lót</v>
          </cell>
          <cell r="C348" t="str">
            <v>Sân lót bê tông gạch vỡ, mặt láng vữa XMCV</v>
          </cell>
          <cell r="E348" t="str">
            <v>m2</v>
          </cell>
          <cell r="F348">
            <v>127512.00000000001</v>
          </cell>
          <cell r="G348">
            <v>20</v>
          </cell>
          <cell r="H348">
            <v>0.8</v>
          </cell>
        </row>
        <row r="349">
          <cell r="B349" t="str">
            <v>CỘT TRỤ</v>
          </cell>
          <cell r="C349" t="str">
            <v>Cột trụ, tấm đan, nan chớp</v>
          </cell>
        </row>
        <row r="350">
          <cell r="B350" t="str">
            <v>Cột BTCT</v>
          </cell>
          <cell r="C350" t="str">
            <v>Cột BTCT, trát vữa XM, quét vôi ve</v>
          </cell>
          <cell r="E350" t="str">
            <v>m3</v>
          </cell>
          <cell r="F350">
            <v>4651020</v>
          </cell>
          <cell r="G350">
            <v>10</v>
          </cell>
          <cell r="H350">
            <v>0.8</v>
          </cell>
        </row>
        <row r="351">
          <cell r="B351" t="str">
            <v>Cột BT</v>
          </cell>
          <cell r="C351" t="str">
            <v>Cột bê tông, trát vữa XM, quét vôi ve</v>
          </cell>
          <cell r="E351" t="str">
            <v>m3</v>
          </cell>
          <cell r="F351">
            <v>3108710.0000000005</v>
          </cell>
          <cell r="G351">
            <v>10</v>
          </cell>
          <cell r="H351">
            <v>0.8</v>
          </cell>
        </row>
        <row r="352">
          <cell r="B352" t="str">
            <v>Trụ xây gạch</v>
          </cell>
          <cell r="C352" t="str">
            <v>Trụ xây gạch, trát vữa XM, quét vôi ve</v>
          </cell>
          <cell r="E352" t="str">
            <v>m3</v>
          </cell>
          <cell r="F352">
            <v>2326500</v>
          </cell>
          <cell r="G352">
            <v>10</v>
          </cell>
          <cell r="H352">
            <v>0.8</v>
          </cell>
        </row>
        <row r="353">
          <cell r="B353" t="str">
            <v>Tấm đan, nan chớp</v>
          </cell>
          <cell r="C353" t="str">
            <v>Tấm đan, nan chớp BTCT</v>
          </cell>
          <cell r="E353" t="str">
            <v>m3</v>
          </cell>
          <cell r="F353">
            <v>3589300.0000000005</v>
          </cell>
          <cell r="G353">
            <v>10</v>
          </cell>
          <cell r="H353">
            <v>0.8</v>
          </cell>
        </row>
        <row r="354">
          <cell r="B354" t="str">
            <v>GIẾNG</v>
          </cell>
          <cell r="C354" t="str">
            <v>Giếng khơi , giếng khoan</v>
          </cell>
        </row>
        <row r="355">
          <cell r="B355" t="str">
            <v>GK 01</v>
          </cell>
          <cell r="C355" t="str">
            <v>Giếng khơi thành xây gạch</v>
          </cell>
          <cell r="E355" t="str">
            <v>m sâu</v>
          </cell>
          <cell r="F355">
            <v>1252570</v>
          </cell>
          <cell r="G355">
            <v>10</v>
          </cell>
          <cell r="H355">
            <v>0.8</v>
          </cell>
        </row>
        <row r="356">
          <cell r="B356" t="str">
            <v>GK 02</v>
          </cell>
          <cell r="C356" t="str">
            <v>Giếng khơi thành đất</v>
          </cell>
          <cell r="E356" t="str">
            <v>m sâu</v>
          </cell>
          <cell r="F356">
            <v>696819.20000000007</v>
          </cell>
          <cell r="G356">
            <v>10</v>
          </cell>
          <cell r="H356">
            <v>0.8</v>
          </cell>
        </row>
        <row r="357">
          <cell r="B357" t="str">
            <v>GK</v>
          </cell>
          <cell r="C357" t="str">
            <v>Giếng khoan</v>
          </cell>
          <cell r="E357" t="str">
            <v>Giếng</v>
          </cell>
          <cell r="F357">
            <v>1937980.0000000002</v>
          </cell>
          <cell r="G357">
            <v>10</v>
          </cell>
          <cell r="H357">
            <v>0.8</v>
          </cell>
        </row>
        <row r="358">
          <cell r="B358" t="str">
            <v>THÁO DỠ</v>
          </cell>
          <cell r="C358" t="str">
            <v>Tháo dỡ, di chuyển, lắp đặt thiết bị</v>
          </cell>
        </row>
        <row r="359">
          <cell r="B359" t="str">
            <v>Cánh cổng</v>
          </cell>
          <cell r="C359" t="str">
            <v>Cánh cổng</v>
          </cell>
          <cell r="E359" t="str">
            <v>m2</v>
          </cell>
          <cell r="F359">
            <v>208120.00000000003</v>
          </cell>
          <cell r="G359">
            <v>10</v>
          </cell>
          <cell r="H359">
            <v>0.8</v>
          </cell>
        </row>
        <row r="360">
          <cell r="B360" t="str">
            <v>ĐH 1</v>
          </cell>
          <cell r="C360" t="str">
            <v>Điều hòa 1 cục loại treo tường</v>
          </cell>
          <cell r="E360" t="str">
            <v>máy</v>
          </cell>
          <cell r="F360">
            <v>1108580</v>
          </cell>
          <cell r="G360">
            <v>10</v>
          </cell>
          <cell r="H360">
            <v>0.8</v>
          </cell>
        </row>
        <row r="361">
          <cell r="B361" t="str">
            <v>ĐH 2</v>
          </cell>
          <cell r="C361" t="str">
            <v>Điều hòa 2 cục loại treo tường</v>
          </cell>
          <cell r="E361" t="str">
            <v>máy</v>
          </cell>
          <cell r="F361">
            <v>1108580</v>
          </cell>
          <cell r="G361">
            <v>10</v>
          </cell>
          <cell r="H361">
            <v>0.8</v>
          </cell>
        </row>
        <row r="362">
          <cell r="B362" t="str">
            <v>ĐH 3</v>
          </cell>
          <cell r="C362" t="str">
            <v>Điều hòa 1 cục loại ốp trần</v>
          </cell>
          <cell r="E362" t="str">
            <v>máy</v>
          </cell>
          <cell r="F362">
            <v>1108250</v>
          </cell>
          <cell r="G362">
            <v>10</v>
          </cell>
          <cell r="H362">
            <v>0.8</v>
          </cell>
        </row>
        <row r="363">
          <cell r="B363" t="str">
            <v>ĐH 4</v>
          </cell>
          <cell r="C363" t="str">
            <v>Điều hòa 2 cục loại âm trần</v>
          </cell>
          <cell r="E363" t="str">
            <v>máy</v>
          </cell>
          <cell r="F363">
            <v>869550.00000000012</v>
          </cell>
          <cell r="G363">
            <v>10</v>
          </cell>
          <cell r="H363">
            <v>0.8</v>
          </cell>
        </row>
        <row r="364">
          <cell r="B364" t="str">
            <v>ĐH 5</v>
          </cell>
          <cell r="C364" t="str">
            <v>Điều hòa 2 cục loại tủ đứng</v>
          </cell>
          <cell r="E364" t="str">
            <v>máy</v>
          </cell>
          <cell r="F364">
            <v>992200.00000000012</v>
          </cell>
          <cell r="G364">
            <v>10</v>
          </cell>
          <cell r="H364">
            <v>0.8</v>
          </cell>
        </row>
        <row r="365">
          <cell r="B365" t="str">
            <v>BNL</v>
          </cell>
          <cell r="C365" t="str">
            <v>Bình nóng lạnh</v>
          </cell>
          <cell r="E365" t="str">
            <v>bộ</v>
          </cell>
          <cell r="F365">
            <v>606100</v>
          </cell>
          <cell r="G365">
            <v>10</v>
          </cell>
          <cell r="H365">
            <v>0.8</v>
          </cell>
        </row>
        <row r="366">
          <cell r="B366" t="str">
            <v>XB</v>
          </cell>
          <cell r="C366" t="str">
            <v>Xí bệt</v>
          </cell>
          <cell r="E366" t="str">
            <v>bộ</v>
          </cell>
          <cell r="F366">
            <v>486750.00000000006</v>
          </cell>
          <cell r="G366">
            <v>10</v>
          </cell>
          <cell r="H366">
            <v>0.8</v>
          </cell>
        </row>
        <row r="367">
          <cell r="B367" t="str">
            <v>CR</v>
          </cell>
          <cell r="C367" t="str">
            <v>Chậu rửa</v>
          </cell>
          <cell r="E367" t="str">
            <v>bộ</v>
          </cell>
          <cell r="F367">
            <v>178530</v>
          </cell>
          <cell r="G367">
            <v>10</v>
          </cell>
          <cell r="H367">
            <v>0.8</v>
          </cell>
        </row>
        <row r="368">
          <cell r="B368" t="str">
            <v>CT</v>
          </cell>
          <cell r="C368" t="str">
            <v>Chậu tiểu</v>
          </cell>
          <cell r="E368" t="str">
            <v>bộ</v>
          </cell>
          <cell r="F368">
            <v>486750.00000000006</v>
          </cell>
          <cell r="G368">
            <v>10</v>
          </cell>
          <cell r="H368">
            <v>0.8</v>
          </cell>
        </row>
        <row r="369">
          <cell r="B369" t="str">
            <v>Quạt trần</v>
          </cell>
          <cell r="C369" t="str">
            <v>Quạt trần</v>
          </cell>
          <cell r="E369" t="str">
            <v>bộ</v>
          </cell>
          <cell r="F369">
            <v>649000</v>
          </cell>
          <cell r="G369">
            <v>10</v>
          </cell>
          <cell r="H369">
            <v>0.2</v>
          </cell>
        </row>
        <row r="370">
          <cell r="B370" t="str">
            <v>CỬA GỖ</v>
          </cell>
          <cell r="C370" t="str">
            <v>Cửa gỗ lim</v>
          </cell>
        </row>
        <row r="371">
          <cell r="B371" t="str">
            <v>KC gỗ lim (Kép)</v>
          </cell>
          <cell r="C371" t="str">
            <v>Khuôn cửa gỗ lim, khuôn kép</v>
          </cell>
          <cell r="D371" t="str">
            <v>250x60mm</v>
          </cell>
          <cell r="E371" t="str">
            <v>md</v>
          </cell>
          <cell r="F371">
            <v>1100000</v>
          </cell>
          <cell r="G371">
            <v>25</v>
          </cell>
        </row>
        <row r="372">
          <cell r="B372" t="str">
            <v>KC gỗ lim (Đơn)</v>
          </cell>
          <cell r="C372" t="str">
            <v>Khuôn cửa gỗ lim, khuôn đơn</v>
          </cell>
          <cell r="D372" t="str">
            <v>130x60mm</v>
          </cell>
          <cell r="E372" t="str">
            <v>md</v>
          </cell>
          <cell r="F372">
            <v>693000</v>
          </cell>
          <cell r="G372">
            <v>25</v>
          </cell>
        </row>
        <row r="373">
          <cell r="B373" t="str">
            <v>CC gỗ lim (cửa đi Pano đặc)</v>
          </cell>
          <cell r="C373" t="str">
            <v>Cửa đi gỗ lim Pano đặc</v>
          </cell>
          <cell r="E373" t="str">
            <v>m2</v>
          </cell>
          <cell r="F373">
            <v>2654300</v>
          </cell>
          <cell r="G373">
            <v>25</v>
          </cell>
        </row>
        <row r="374">
          <cell r="B374" t="str">
            <v>CC gỗ lim (cửa đi Pano kính)</v>
          </cell>
          <cell r="C374" t="str">
            <v>Cửa đi gỗ lim Pano kính</v>
          </cell>
          <cell r="E374" t="str">
            <v>m2</v>
          </cell>
          <cell r="F374">
            <v>2379300</v>
          </cell>
          <cell r="G374">
            <v>25</v>
          </cell>
        </row>
        <row r="375">
          <cell r="B375" t="str">
            <v>CC gỗ lim (cửa sổ Pano kính)</v>
          </cell>
          <cell r="C375" t="str">
            <v>Cửa sổ gỗ lim Pano kính</v>
          </cell>
          <cell r="E375" t="str">
            <v>m2</v>
          </cell>
          <cell r="F375">
            <v>2380400</v>
          </cell>
          <cell r="G375">
            <v>25</v>
          </cell>
        </row>
        <row r="376">
          <cell r="B376" t="str">
            <v>CC gỗ lim (cửa chớp)</v>
          </cell>
          <cell r="C376" t="str">
            <v>Cửa chớp gỗ lim</v>
          </cell>
          <cell r="E376" t="str">
            <v>m2</v>
          </cell>
          <cell r="F376">
            <v>2691700</v>
          </cell>
          <cell r="G376">
            <v>25</v>
          </cell>
        </row>
        <row r="377">
          <cell r="B377" t="str">
            <v>Song gỗ cửa sổ</v>
          </cell>
          <cell r="C377" t="str">
            <v>Song gỗ cửa sổ</v>
          </cell>
          <cell r="F377">
            <v>0</v>
          </cell>
          <cell r="G377">
            <v>25</v>
          </cell>
        </row>
        <row r="378">
          <cell r="B378" t="str">
            <v>CỬA GỖ</v>
          </cell>
          <cell r="C378" t="str">
            <v>Cửa gỗ dổi</v>
          </cell>
        </row>
        <row r="379">
          <cell r="B379" t="str">
            <v>KC gỗ dổi (Kép)</v>
          </cell>
          <cell r="C379" t="str">
            <v>Khuôn cửa gỗ dổi, khuôn kép</v>
          </cell>
          <cell r="D379" t="str">
            <v>250x60mm</v>
          </cell>
          <cell r="E379" t="str">
            <v>md</v>
          </cell>
          <cell r="F379">
            <v>1100000</v>
          </cell>
          <cell r="G379">
            <v>25</v>
          </cell>
        </row>
        <row r="380">
          <cell r="B380" t="str">
            <v>KC gỗ dổi (Đơn)</v>
          </cell>
          <cell r="C380" t="str">
            <v>Khuôn cửa gỗ dổi, khuôn đơn</v>
          </cell>
          <cell r="D380" t="str">
            <v>130x60mm</v>
          </cell>
          <cell r="E380" t="str">
            <v>md</v>
          </cell>
          <cell r="F380">
            <v>693000</v>
          </cell>
          <cell r="G380">
            <v>25</v>
          </cell>
        </row>
        <row r="381">
          <cell r="B381" t="str">
            <v>CC gỗ dổi (cửa đi Pano đặc)</v>
          </cell>
          <cell r="C381" t="str">
            <v>Cửa đi gỗ dổi Pano đặc</v>
          </cell>
          <cell r="E381" t="str">
            <v>m2</v>
          </cell>
          <cell r="F381">
            <v>2486000</v>
          </cell>
          <cell r="G381">
            <v>25</v>
          </cell>
        </row>
        <row r="382">
          <cell r="B382" t="str">
            <v>CC gỗ dổi (cửa đi Pano kính)</v>
          </cell>
          <cell r="C382" t="str">
            <v>Cửa đi gỗ dổi Pano kính</v>
          </cell>
          <cell r="E382" t="str">
            <v>m2</v>
          </cell>
          <cell r="F382">
            <v>2228600</v>
          </cell>
          <cell r="G382">
            <v>25</v>
          </cell>
        </row>
        <row r="383">
          <cell r="B383" t="str">
            <v>CC gỗ dổi (cửa sổ Pano kính)</v>
          </cell>
          <cell r="C383" t="str">
            <v>Cửa sổ gỗ dổi Pano kính</v>
          </cell>
          <cell r="E383" t="str">
            <v>m2</v>
          </cell>
          <cell r="F383">
            <v>2228600</v>
          </cell>
          <cell r="G383">
            <v>25</v>
          </cell>
        </row>
        <row r="384">
          <cell r="B384" t="str">
            <v>CC gỗ dổi (cửa chớp)</v>
          </cell>
          <cell r="C384" t="str">
            <v>Cửa chớp gỗ dổi</v>
          </cell>
          <cell r="E384" t="str">
            <v>m2</v>
          </cell>
          <cell r="F384">
            <v>2460700</v>
          </cell>
          <cell r="G384">
            <v>25</v>
          </cell>
        </row>
        <row r="385">
          <cell r="B385" t="str">
            <v>CỬA NHÔM</v>
          </cell>
          <cell r="C385" t="str">
            <v>Cửa nhôm hệ Xingfa</v>
          </cell>
        </row>
        <row r="386">
          <cell r="B386" t="str">
            <v>Của đi nhôm XF (1 cánh mở quay)-01</v>
          </cell>
          <cell r="C386" t="str">
            <v>Cửa đi 1 cánh mở quay XF55 thanh nhôm dày 2.0mm; kính an toàn 6,38mm; KT  700-900x2100-2400; phụ kiện đồng bộ</v>
          </cell>
          <cell r="E386" t="str">
            <v>m2</v>
          </cell>
          <cell r="F386">
            <v>3685000.0000000005</v>
          </cell>
          <cell r="G386">
            <v>25</v>
          </cell>
        </row>
        <row r="387">
          <cell r="B387" t="str">
            <v>Của đi nhôm XF (2 cánh mở quay)-02</v>
          </cell>
          <cell r="C387" t="str">
            <v>Cửa đi 2 cánh mở quay XF55 thanh nhôm dày 2.0mm; kính an toàn 6,38mm; KT  1200-1800x2100-2400; phụ kiện đồng bộ</v>
          </cell>
          <cell r="E387" t="str">
            <v>m2</v>
          </cell>
          <cell r="F387">
            <v>3806000.0000000005</v>
          </cell>
          <cell r="G387">
            <v>25</v>
          </cell>
        </row>
        <row r="388">
          <cell r="B388" t="str">
            <v>Của sổ nhôm XF (1 cánh mở quay)</v>
          </cell>
          <cell r="C388" t="str">
            <v>Cửa sổ 1 cánh mở quay XF55 thanh nhôm dày 1.4mm; kính an toàn 6,38mm; KT  600-1000x1000-1600; phụ kiện đồng bộ</v>
          </cell>
          <cell r="E388" t="str">
            <v>m2</v>
          </cell>
          <cell r="F388">
            <v>3223000.0000000005</v>
          </cell>
          <cell r="G388">
            <v>25</v>
          </cell>
        </row>
        <row r="389">
          <cell r="B389" t="str">
            <v>Của sổ nhôm XF (2 cánh mở quay)</v>
          </cell>
          <cell r="C389" t="str">
            <v>Cửa sổ 2 cánh mở quay XF55 thanh nhôm dày 1.4mm; kính an toàn 6,38mm; KT  1200-2000x1000-1600; phụ kiện đồng bộ</v>
          </cell>
          <cell r="E389" t="str">
            <v>m2</v>
          </cell>
          <cell r="F389">
            <v>2761000</v>
          </cell>
          <cell r="G389">
            <v>25</v>
          </cell>
        </row>
        <row r="390">
          <cell r="B390" t="str">
            <v>CỬA NHÔM</v>
          </cell>
          <cell r="C390" t="str">
            <v>Cửa nhôm hệ Việt Pháp</v>
          </cell>
        </row>
        <row r="391">
          <cell r="B391" t="str">
            <v>Của đi nhôm VP (1 cánh mở quay)</v>
          </cell>
          <cell r="C391" t="str">
            <v>Cửa đi 1 cánh mở quay hệ Việt Pháp EU450 thanh nhôm dày 1,2mm; kính an toàn 6,38mm; KT 700-1000x2100-2400; phụ kiện đồng bộ</v>
          </cell>
          <cell r="E391" t="str">
            <v>m2</v>
          </cell>
          <cell r="F391">
            <v>3025000.0000000005</v>
          </cell>
          <cell r="G391">
            <v>25</v>
          </cell>
        </row>
        <row r="392">
          <cell r="B392" t="str">
            <v>Của đi nhôm VP (2 cánh mở quay)</v>
          </cell>
          <cell r="C392" t="str">
            <v>Cửa đi 2 cánh mở quay hệ Việt Pháp EU450 thanh nhôm dày 1,2mm; kính an toàn 6,38mm; KT 1200-1800x2100-2400; phụ kiện đồng bộ</v>
          </cell>
          <cell r="E392" t="str">
            <v>m2</v>
          </cell>
          <cell r="F392">
            <v>3322000.0000000005</v>
          </cell>
          <cell r="G392">
            <v>25</v>
          </cell>
        </row>
        <row r="393">
          <cell r="B393" t="str">
            <v>Của sổ nhôm VP (1 cánh mở quay)</v>
          </cell>
          <cell r="C393" t="str">
            <v>Cửa sổ 1 cánh mở quay hệ Việt Pháp EU4400 thanh nhôm dày 1,2mm; kính an toàn 6,38mm; KT 600-1000x1000-1600; phụ kiện đồng bộ</v>
          </cell>
          <cell r="E393" t="str">
            <v>m2</v>
          </cell>
          <cell r="F393">
            <v>2123000</v>
          </cell>
          <cell r="G393">
            <v>25</v>
          </cell>
        </row>
        <row r="394">
          <cell r="B394" t="str">
            <v>Của sổ nhôm VP (2 cánh mở quay)</v>
          </cell>
          <cell r="C394" t="str">
            <v>Cửa sổ 1 cánh mở quay hệ Việt Pháp EU4400 thanh nhôm dày 1,2mm; kính an toàn 6,38mm; KT 1200-2000x1000-1600; phụ kiện đồng bộ</v>
          </cell>
          <cell r="E394" t="str">
            <v>m2</v>
          </cell>
          <cell r="F394">
            <v>2332000</v>
          </cell>
          <cell r="G394">
            <v>25</v>
          </cell>
        </row>
        <row r="395">
          <cell r="B395" t="str">
            <v>CỬA NHỰA</v>
          </cell>
          <cell r="C395" t="str">
            <v>Cửa nhựa lõi thép Shide Đông Á</v>
          </cell>
        </row>
        <row r="396">
          <cell r="B396" t="str">
            <v>Của nhựa ĐA (1 cánh mở quay)</v>
          </cell>
          <cell r="C396" t="str">
            <v>Cửa nhựa lõi thép Shide Đông Á, 1 cánh mở quay, kính an toàn 6,38mm. Phụ kiện GQ đồng bộ</v>
          </cell>
          <cell r="E396" t="str">
            <v>m2</v>
          </cell>
          <cell r="F396">
            <v>3509000.0000000005</v>
          </cell>
          <cell r="G396">
            <v>25</v>
          </cell>
        </row>
        <row r="397">
          <cell r="C397" t="str">
            <v>Thiết bị nước, thiết bị vệ sinh</v>
          </cell>
        </row>
        <row r="398">
          <cell r="B398" t="str">
            <v>Tiểu nam</v>
          </cell>
          <cell r="C398" t="str">
            <v>Tiểu nam</v>
          </cell>
          <cell r="E398" t="str">
            <v>bộ</v>
          </cell>
          <cell r="F398">
            <v>486750.00000000006</v>
          </cell>
          <cell r="G398">
            <v>10</v>
          </cell>
          <cell r="H398">
            <v>0.8</v>
          </cell>
        </row>
        <row r="399">
          <cell r="B399" t="str">
            <v>Sen vòi</v>
          </cell>
          <cell r="C399" t="str">
            <v>Sen vòi</v>
          </cell>
          <cell r="E399" t="str">
            <v>bộ</v>
          </cell>
          <cell r="F399">
            <v>1750000</v>
          </cell>
          <cell r="G399">
            <v>10</v>
          </cell>
          <cell r="H399">
            <v>0.8</v>
          </cell>
        </row>
        <row r="400">
          <cell r="B400" t="str">
            <v>Téc nhựa đứng 500L</v>
          </cell>
          <cell r="C400" t="str">
            <v>Téc nhựa đứng 500L</v>
          </cell>
          <cell r="E400" t="str">
            <v>cái</v>
          </cell>
          <cell r="F400">
            <v>1969000.0000000002</v>
          </cell>
          <cell r="G400">
            <v>10</v>
          </cell>
          <cell r="H400">
            <v>0.2</v>
          </cell>
        </row>
        <row r="401">
          <cell r="B401" t="str">
            <v>Téc nhựa đứng 1000L</v>
          </cell>
          <cell r="C401" t="str">
            <v>Téc nhựa đứng 1000L</v>
          </cell>
          <cell r="E401" t="str">
            <v>cái</v>
          </cell>
          <cell r="F401">
            <v>3329000</v>
          </cell>
          <cell r="G401">
            <v>10</v>
          </cell>
          <cell r="H401">
            <v>0.2</v>
          </cell>
        </row>
        <row r="402">
          <cell r="B402" t="str">
            <v>Téc nhựa đứng 1500L</v>
          </cell>
          <cell r="C402" t="str">
            <v>Téc nhựa đứng 1500L</v>
          </cell>
          <cell r="E402" t="str">
            <v>cái</v>
          </cell>
          <cell r="F402">
            <v>5049000</v>
          </cell>
          <cell r="G402">
            <v>10</v>
          </cell>
          <cell r="H402">
            <v>0.2</v>
          </cell>
        </row>
        <row r="403">
          <cell r="B403" t="str">
            <v>Téc nhựa đứng 2000L</v>
          </cell>
          <cell r="C403" t="str">
            <v>Téc nhựa đứng 2000L</v>
          </cell>
          <cell r="E403" t="str">
            <v>cái</v>
          </cell>
          <cell r="F403">
            <v>6559000</v>
          </cell>
          <cell r="G403">
            <v>10</v>
          </cell>
          <cell r="H403">
            <v>0.2</v>
          </cell>
        </row>
        <row r="404">
          <cell r="B404" t="str">
            <v>Téc nhựa ngang 500L</v>
          </cell>
          <cell r="C404" t="str">
            <v>Téc nhựa ngang 500L</v>
          </cell>
          <cell r="E404" t="str">
            <v>cái</v>
          </cell>
          <cell r="F404">
            <v>2049000</v>
          </cell>
          <cell r="G404">
            <v>10</v>
          </cell>
          <cell r="H404">
            <v>0.2</v>
          </cell>
        </row>
        <row r="405">
          <cell r="B405" t="str">
            <v>Téc nhựa ngang 1000L</v>
          </cell>
          <cell r="C405" t="str">
            <v>Téc nhựa ngang 1000L</v>
          </cell>
          <cell r="E405" t="str">
            <v>cái</v>
          </cell>
          <cell r="F405">
            <v>3928999.8000000003</v>
          </cell>
          <cell r="G405">
            <v>10</v>
          </cell>
          <cell r="H405">
            <v>0.2</v>
          </cell>
        </row>
        <row r="406">
          <cell r="B406" t="str">
            <v>Téc nhựa ngang 1500L</v>
          </cell>
          <cell r="C406" t="str">
            <v>Téc nhựa ngang 1500L</v>
          </cell>
          <cell r="E406" t="str">
            <v>cái</v>
          </cell>
          <cell r="F406">
            <v>6149000.0000000009</v>
          </cell>
          <cell r="G406">
            <v>10</v>
          </cell>
          <cell r="H406">
            <v>0.2</v>
          </cell>
        </row>
        <row r="407">
          <cell r="B407" t="str">
            <v>Téc nhựa ngang 2000L</v>
          </cell>
          <cell r="C407" t="str">
            <v>Téc nhựa ngang 2000L</v>
          </cell>
          <cell r="E407" t="str">
            <v>cái</v>
          </cell>
          <cell r="F407">
            <v>7959000</v>
          </cell>
          <cell r="G407">
            <v>10</v>
          </cell>
          <cell r="H407">
            <v>0.2</v>
          </cell>
        </row>
        <row r="408">
          <cell r="B408" t="str">
            <v>Téc Inox đứng 500L</v>
          </cell>
          <cell r="C408" t="str">
            <v>Téc inox đứng 500L</v>
          </cell>
          <cell r="E408" t="str">
            <v>cái</v>
          </cell>
          <cell r="F408">
            <v>2789000</v>
          </cell>
          <cell r="G408">
            <v>10</v>
          </cell>
          <cell r="H408">
            <v>0.2</v>
          </cell>
        </row>
        <row r="409">
          <cell r="B409" t="str">
            <v>Téc Inox đứng 1000L</v>
          </cell>
          <cell r="C409" t="str">
            <v>Téc inox đứng 1000L</v>
          </cell>
          <cell r="E409" t="str">
            <v>cái</v>
          </cell>
          <cell r="F409">
            <v>4619000</v>
          </cell>
          <cell r="G409">
            <v>10</v>
          </cell>
          <cell r="H409">
            <v>0.2</v>
          </cell>
        </row>
        <row r="410">
          <cell r="B410" t="str">
            <v>Téc Inox đứng 1500L</v>
          </cell>
          <cell r="C410" t="str">
            <v>Téc inox đứng 1500L</v>
          </cell>
          <cell r="E410" t="str">
            <v>cái</v>
          </cell>
          <cell r="F410">
            <v>7079000</v>
          </cell>
          <cell r="G410">
            <v>10</v>
          </cell>
          <cell r="H410">
            <v>0.2</v>
          </cell>
        </row>
        <row r="411">
          <cell r="B411" t="str">
            <v>Téc Inox đứng 2000L</v>
          </cell>
          <cell r="C411" t="str">
            <v>Téc inox đứng 2000L</v>
          </cell>
          <cell r="E411" t="str">
            <v>cái</v>
          </cell>
          <cell r="F411">
            <v>9239000</v>
          </cell>
          <cell r="G411">
            <v>10</v>
          </cell>
          <cell r="H411">
            <v>0.2</v>
          </cell>
        </row>
        <row r="412">
          <cell r="B412" t="str">
            <v>Téc Inox ngang 500L</v>
          </cell>
          <cell r="C412" t="str">
            <v>Téc inox ngang 500L</v>
          </cell>
          <cell r="E412" t="str">
            <v>cái</v>
          </cell>
          <cell r="F412">
            <v>2939000</v>
          </cell>
          <cell r="G412">
            <v>10</v>
          </cell>
          <cell r="H412">
            <v>0.2</v>
          </cell>
        </row>
        <row r="413">
          <cell r="B413" t="str">
            <v>Téc Inox ngang 1000L</v>
          </cell>
          <cell r="C413" t="str">
            <v>Téc inox ngang 1000L</v>
          </cell>
          <cell r="E413" t="str">
            <v>cái</v>
          </cell>
          <cell r="F413">
            <v>4819000</v>
          </cell>
          <cell r="G413">
            <v>10</v>
          </cell>
          <cell r="H413">
            <v>0.2</v>
          </cell>
        </row>
        <row r="414">
          <cell r="B414" t="str">
            <v>Téc Inox ngang 1500L</v>
          </cell>
          <cell r="C414" t="str">
            <v>Téc inox ngang 1500L</v>
          </cell>
          <cell r="E414" t="str">
            <v>cái</v>
          </cell>
          <cell r="F414">
            <v>7329000</v>
          </cell>
          <cell r="G414">
            <v>10</v>
          </cell>
          <cell r="H414">
            <v>0.2</v>
          </cell>
        </row>
        <row r="415">
          <cell r="B415" t="str">
            <v>Téc Inox ngang 2000L</v>
          </cell>
          <cell r="C415" t="str">
            <v>Téc inox ngang 2000L</v>
          </cell>
          <cell r="E415" t="str">
            <v>cái</v>
          </cell>
          <cell r="F415">
            <v>9589000</v>
          </cell>
          <cell r="G415">
            <v>10</v>
          </cell>
          <cell r="H415">
            <v>0.2</v>
          </cell>
        </row>
        <row r="416">
          <cell r="B416" t="str">
            <v>MÁI</v>
          </cell>
        </row>
        <row r="417">
          <cell r="B417" t="str">
            <v>Mái ngói 01</v>
          </cell>
          <cell r="C417" t="str">
            <v>Mái ngói đỏ Hạ Long (22v/m2)</v>
          </cell>
          <cell r="E417" t="str">
            <v>m2</v>
          </cell>
          <cell r="F417">
            <v>275396.00000000006</v>
          </cell>
          <cell r="G417">
            <v>25</v>
          </cell>
          <cell r="H417">
            <v>0.8</v>
          </cell>
        </row>
        <row r="418">
          <cell r="B418" t="str">
            <v>Mái ngói 02</v>
          </cell>
          <cell r="C418" t="str">
            <v>Mái ngói mũi hài Hạ Long (85v/m2)</v>
          </cell>
          <cell r="E418" t="str">
            <v>m2</v>
          </cell>
          <cell r="F418">
            <v>319770</v>
          </cell>
          <cell r="G418">
            <v>25</v>
          </cell>
          <cell r="H418">
            <v>0.8</v>
          </cell>
        </row>
        <row r="419">
          <cell r="C419" t="str">
            <v>Cột tuýp</v>
          </cell>
        </row>
        <row r="420">
          <cell r="B420" t="str">
            <v>Tuyp21</v>
          </cell>
          <cell r="C420" t="str">
            <v>Cột tuýp ɸ21 dày 1.8mm</v>
          </cell>
          <cell r="E420" t="str">
            <v>kg</v>
          </cell>
          <cell r="F420">
            <v>37180</v>
          </cell>
          <cell r="H420">
            <v>0.2</v>
          </cell>
          <cell r="I420">
            <v>0.9073</v>
          </cell>
        </row>
        <row r="421">
          <cell r="B421" t="str">
            <v>Tuyp27</v>
          </cell>
          <cell r="C421" t="str">
            <v>Cột tuýp ɸ27 dày 1.8mm</v>
          </cell>
          <cell r="E421" t="str">
            <v>kg</v>
          </cell>
          <cell r="F421">
            <v>37180</v>
          </cell>
          <cell r="H421">
            <v>0.2</v>
          </cell>
          <cell r="I421">
            <v>1.173</v>
          </cell>
        </row>
        <row r="422">
          <cell r="B422" t="str">
            <v>Tuyp34</v>
          </cell>
          <cell r="C422" t="str">
            <v>Cột tuýp ɸ34 dày 1.8mm</v>
          </cell>
          <cell r="E422" t="str">
            <v>kg</v>
          </cell>
          <cell r="F422">
            <v>37180</v>
          </cell>
          <cell r="H422">
            <v>0.2</v>
          </cell>
          <cell r="I422">
            <v>1.484</v>
          </cell>
        </row>
        <row r="423">
          <cell r="B423" t="str">
            <v>Tuyp42</v>
          </cell>
          <cell r="C423" t="str">
            <v>Cột tuýp ɸ42 dày 1.8mm</v>
          </cell>
          <cell r="E423" t="str">
            <v>kg</v>
          </cell>
          <cell r="F423">
            <v>37180</v>
          </cell>
          <cell r="H423">
            <v>0.2</v>
          </cell>
          <cell r="I423">
            <v>1.839</v>
          </cell>
        </row>
        <row r="424">
          <cell r="B424" t="str">
            <v>Tuyp48</v>
          </cell>
          <cell r="C424" t="str">
            <v>Cột tuýp ɸ48 dày 1.8mm</v>
          </cell>
          <cell r="E424" t="str">
            <v>kg</v>
          </cell>
          <cell r="F424">
            <v>36960</v>
          </cell>
          <cell r="H424">
            <v>0.2</v>
          </cell>
          <cell r="I424">
            <v>2.15</v>
          </cell>
        </row>
        <row r="425">
          <cell r="B425" t="str">
            <v>Tuyp60</v>
          </cell>
          <cell r="C425" t="str">
            <v>Cột tuýp ɸ60 dày 1.8mm</v>
          </cell>
          <cell r="E425" t="str">
            <v>kg</v>
          </cell>
          <cell r="F425">
            <v>36960</v>
          </cell>
          <cell r="H425">
            <v>0.2</v>
          </cell>
          <cell r="I425">
            <v>2.6379999999999999</v>
          </cell>
        </row>
        <row r="426">
          <cell r="B426" t="str">
            <v>Tuyp76</v>
          </cell>
          <cell r="C426" t="str">
            <v>Cột tuýp ɸ76 dày1.8mm</v>
          </cell>
          <cell r="E426" t="str">
            <v>kg</v>
          </cell>
          <cell r="F426">
            <v>36960</v>
          </cell>
          <cell r="H426">
            <v>0.2</v>
          </cell>
          <cell r="I426">
            <v>3.8085</v>
          </cell>
        </row>
        <row r="427">
          <cell r="B427" t="str">
            <v>Tuyp90</v>
          </cell>
          <cell r="C427" t="str">
            <v>Cột tuýp ɸ90 dày 1.8mm</v>
          </cell>
          <cell r="E427" t="str">
            <v>kg</v>
          </cell>
          <cell r="F427">
            <v>36960</v>
          </cell>
          <cell r="H427">
            <v>0.2</v>
          </cell>
          <cell r="I427">
            <v>4.4664999999999999</v>
          </cell>
        </row>
        <row r="428">
          <cell r="B428" t="str">
            <v>Sắt hộp</v>
          </cell>
          <cell r="E428" t="str">
            <v>kg</v>
          </cell>
          <cell r="F428">
            <v>29590.000000000004</v>
          </cell>
          <cell r="H428">
            <v>0.2</v>
          </cell>
        </row>
        <row r="429">
          <cell r="C429" t="str">
            <v>Ống nước</v>
          </cell>
        </row>
        <row r="430">
          <cell r="B430" t="str">
            <v>PVCD27</v>
          </cell>
          <cell r="C430" t="str">
            <v>Ống thoát nước PVC D27 Pn10</v>
          </cell>
          <cell r="E430" t="str">
            <v>m</v>
          </cell>
          <cell r="F430">
            <v>13999.7</v>
          </cell>
          <cell r="H430">
            <v>0.8</v>
          </cell>
        </row>
        <row r="431">
          <cell r="B431" t="str">
            <v>PVCD34</v>
          </cell>
          <cell r="C431" t="str">
            <v>Ống thoát nước PVC D34 Pn10</v>
          </cell>
          <cell r="E431" t="str">
            <v>m</v>
          </cell>
          <cell r="F431">
            <v>21499.5</v>
          </cell>
          <cell r="H431">
            <v>0.8</v>
          </cell>
        </row>
        <row r="432">
          <cell r="B432" t="str">
            <v>PVCD48</v>
          </cell>
          <cell r="C432" t="str">
            <v>Ống thoát nước PVC D48 Pn10</v>
          </cell>
          <cell r="E432" t="str">
            <v>m</v>
          </cell>
          <cell r="F432">
            <v>40199.5</v>
          </cell>
          <cell r="H432">
            <v>0.8</v>
          </cell>
        </row>
        <row r="433">
          <cell r="B433" t="str">
            <v>PVCD110</v>
          </cell>
          <cell r="C433" t="str">
            <v>Ống thoát nước PVC D110 Pn10</v>
          </cell>
          <cell r="E433" t="str">
            <v>m</v>
          </cell>
          <cell r="F433">
            <v>182099.50000000003</v>
          </cell>
          <cell r="H433">
            <v>0.8</v>
          </cell>
        </row>
        <row r="434">
          <cell r="C434" t="str">
            <v>Dây điện</v>
          </cell>
        </row>
        <row r="435">
          <cell r="B435" t="str">
            <v>DĐ 2x2,5mm</v>
          </cell>
          <cell r="C435" t="str">
            <v>Dây điện 2x2,5mm</v>
          </cell>
          <cell r="E435" t="str">
            <v>m</v>
          </cell>
          <cell r="F435">
            <v>26500</v>
          </cell>
          <cell r="H435">
            <v>0.2</v>
          </cell>
        </row>
        <row r="436">
          <cell r="B436" t="str">
            <v>DĐ 2x4mm</v>
          </cell>
          <cell r="C436" t="str">
            <v>Dây điện 2x4mm</v>
          </cell>
          <cell r="E436" t="str">
            <v>m</v>
          </cell>
          <cell r="F436">
            <v>43200</v>
          </cell>
          <cell r="H436">
            <v>0.2</v>
          </cell>
        </row>
        <row r="437">
          <cell r="B437" t="str">
            <v>DĐ 2x6mm</v>
          </cell>
          <cell r="C437" t="str">
            <v>Dây điện 2x6mm</v>
          </cell>
          <cell r="E437" t="str">
            <v>m</v>
          </cell>
          <cell r="F437">
            <v>58700</v>
          </cell>
          <cell r="H437">
            <v>0.2</v>
          </cell>
        </row>
        <row r="438">
          <cell r="B438" t="str">
            <v>DĐ 2x10mm</v>
          </cell>
          <cell r="C438" t="str">
            <v>Dây điện 2x10mm</v>
          </cell>
          <cell r="E438" t="str">
            <v>m</v>
          </cell>
          <cell r="F438">
            <v>89200</v>
          </cell>
          <cell r="H438">
            <v>0.2</v>
          </cell>
        </row>
        <row r="439">
          <cell r="B439" t="str">
            <v>DĐ 2x35mm</v>
          </cell>
          <cell r="C439" t="str">
            <v>Dây điện 2x35mm</v>
          </cell>
          <cell r="E439" t="str">
            <v>m</v>
          </cell>
          <cell r="F439">
            <v>312800</v>
          </cell>
          <cell r="H439">
            <v>0.2</v>
          </cell>
        </row>
        <row r="440">
          <cell r="B440" t="str">
            <v>DĐ 2x50mm</v>
          </cell>
          <cell r="C440" t="str">
            <v>Dây điện 2x50mm</v>
          </cell>
          <cell r="E440" t="str">
            <v>m</v>
          </cell>
          <cell r="F440">
            <v>423200</v>
          </cell>
          <cell r="H440">
            <v>0.2</v>
          </cell>
        </row>
        <row r="441">
          <cell r="B441" t="str">
            <v>DĐ an90</v>
          </cell>
          <cell r="C441" t="str">
            <v>Dây điện AN90</v>
          </cell>
          <cell r="E441" t="str">
            <v>m</v>
          </cell>
          <cell r="F441">
            <v>81010</v>
          </cell>
          <cell r="H441">
            <v>0.2</v>
          </cell>
        </row>
        <row r="442">
          <cell r="B442" t="str">
            <v>DĐ ac90</v>
          </cell>
          <cell r="C442" t="str">
            <v>Dây điện AC90</v>
          </cell>
          <cell r="E442" t="str">
            <v>m</v>
          </cell>
          <cell r="F442">
            <v>81010</v>
          </cell>
          <cell r="H442">
            <v>0.2</v>
          </cell>
        </row>
        <row r="443">
          <cell r="C443" t="str">
            <v>Khác</v>
          </cell>
        </row>
        <row r="444">
          <cell r="B444" t="str">
            <v>Gác xép WC mái BTCT</v>
          </cell>
          <cell r="C444" t="str">
            <v>Gác xép nhà vệ sinh mái BTCT</v>
          </cell>
          <cell r="E444" t="str">
            <v>m2</v>
          </cell>
          <cell r="F444">
            <v>1757250.0000000002</v>
          </cell>
          <cell r="G444">
            <v>25</v>
          </cell>
          <cell r="H444">
            <v>0.8</v>
          </cell>
        </row>
        <row r="445">
          <cell r="B445" t="str">
            <v>Tôn quây</v>
          </cell>
          <cell r="C445" t="str">
            <v>Tôn quây EK106 (6 sóng) dày 0,4mm</v>
          </cell>
          <cell r="E445" t="str">
            <v>m2</v>
          </cell>
          <cell r="F445">
            <v>135999.6</v>
          </cell>
          <cell r="H445">
            <v>0.8</v>
          </cell>
        </row>
        <row r="446">
          <cell r="B446" t="str">
            <v>Dây thép gai</v>
          </cell>
          <cell r="C446" t="str">
            <v>Dây thép gai</v>
          </cell>
          <cell r="E446" t="str">
            <v>kg</v>
          </cell>
          <cell r="F446">
            <v>15972.000000000002</v>
          </cell>
          <cell r="G446">
            <v>10</v>
          </cell>
          <cell r="H446">
            <v>0.8</v>
          </cell>
        </row>
        <row r="447">
          <cell r="B447" t="str">
            <v>CỐNG</v>
          </cell>
          <cell r="C447" t="str">
            <v>Cống tròn rung ép</v>
          </cell>
        </row>
        <row r="448">
          <cell r="B448" t="str">
            <v>Cống D300</v>
          </cell>
          <cell r="C448" t="str">
            <v>Cống D300 M300</v>
          </cell>
          <cell r="E448" t="str">
            <v>m</v>
          </cell>
          <cell r="F448">
            <v>311300</v>
          </cell>
          <cell r="H448">
            <v>0.8</v>
          </cell>
        </row>
        <row r="449">
          <cell r="B449" t="str">
            <v>Cống D400</v>
          </cell>
          <cell r="C449" t="str">
            <v>Cống D400 M300</v>
          </cell>
          <cell r="E449" t="str">
            <v>m</v>
          </cell>
          <cell r="F449">
            <v>344300</v>
          </cell>
          <cell r="H449">
            <v>0.8</v>
          </cell>
        </row>
        <row r="450">
          <cell r="B450" t="str">
            <v>Cống D500</v>
          </cell>
          <cell r="C450" t="str">
            <v>Cống D500 M300</v>
          </cell>
          <cell r="E450" t="str">
            <v>m</v>
          </cell>
          <cell r="F450">
            <v>513700.00000000006</v>
          </cell>
          <cell r="H450">
            <v>0.8</v>
          </cell>
        </row>
        <row r="451">
          <cell r="B451" t="str">
            <v>Cống D600</v>
          </cell>
          <cell r="C451" t="str">
            <v>Cống D600 M300</v>
          </cell>
          <cell r="E451" t="str">
            <v>m</v>
          </cell>
          <cell r="F451">
            <v>586300</v>
          </cell>
          <cell r="H451">
            <v>0.8</v>
          </cell>
        </row>
        <row r="452">
          <cell r="B452" t="str">
            <v>Cống D800</v>
          </cell>
          <cell r="C452" t="str">
            <v>Cống D800 M300</v>
          </cell>
          <cell r="E452" t="str">
            <v>m</v>
          </cell>
          <cell r="F452">
            <v>1075800</v>
          </cell>
          <cell r="H452">
            <v>0.8</v>
          </cell>
        </row>
        <row r="453">
          <cell r="B453" t="str">
            <v>Cống D1000</v>
          </cell>
          <cell r="C453" t="str">
            <v>Cống D1000 M300</v>
          </cell>
          <cell r="E453" t="str">
            <v>m</v>
          </cell>
          <cell r="F453">
            <v>1461900.0000000002</v>
          </cell>
          <cell r="H453">
            <v>0.8</v>
          </cell>
        </row>
        <row r="454">
          <cell r="B454" t="str">
            <v>Cống D1250</v>
          </cell>
          <cell r="C454" t="str">
            <v>Cống D1250 M300</v>
          </cell>
          <cell r="E454" t="str">
            <v>m</v>
          </cell>
          <cell r="F454">
            <v>2281400</v>
          </cell>
          <cell r="H454">
            <v>0.8</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2"/>
  <sheetViews>
    <sheetView tabSelected="1" zoomScale="70" zoomScaleNormal="70" workbookViewId="0">
      <pane ySplit="1" topLeftCell="A11" activePane="bottomLeft" state="frozen"/>
      <selection activeCell="F1" sqref="F1"/>
      <selection pane="bottomLeft" activeCell="E17" sqref="E17"/>
    </sheetView>
  </sheetViews>
  <sheetFormatPr defaultColWidth="9.08984375" defaultRowHeight="18"/>
  <cols>
    <col min="1" max="1" width="16.08984375" style="559" customWidth="1"/>
    <col min="2" max="2" width="67.453125" style="670" customWidth="1"/>
    <col min="3" max="3" width="26.6328125" style="671" customWidth="1"/>
    <col min="4" max="4" width="11.90625" style="672" customWidth="1"/>
    <col min="5" max="5" width="15.90625" style="672" customWidth="1"/>
    <col min="6" max="6" width="10.36328125" style="672" customWidth="1"/>
    <col min="7" max="7" width="24.08984375" style="673" customWidth="1"/>
    <col min="8" max="8" width="13.453125" style="672" customWidth="1"/>
    <col min="9" max="9" width="18.90625" style="674" customWidth="1"/>
    <col min="10" max="10" width="21" style="672" customWidth="1"/>
    <col min="11" max="11" width="19.54296875" style="675" customWidth="1"/>
    <col min="12" max="12" width="29.453125" style="675" customWidth="1"/>
    <col min="13" max="13" width="18.453125" style="676" customWidth="1"/>
    <col min="14" max="14" width="15.08984375" style="672" customWidth="1"/>
    <col min="15" max="15" width="10.54296875" style="676" customWidth="1"/>
    <col min="16" max="16" width="9.08984375" style="676"/>
    <col min="17" max="17" width="14" style="674" customWidth="1"/>
    <col min="18" max="18" width="17.453125" style="676" customWidth="1"/>
    <col min="19" max="19" width="17.08984375" style="672" customWidth="1"/>
    <col min="20" max="20" width="19.90625" style="677" customWidth="1"/>
    <col min="21" max="21" width="19.90625" style="678" customWidth="1"/>
    <col min="22" max="22" width="19.90625" style="679" customWidth="1"/>
    <col min="23" max="23" width="19.90625" style="677" customWidth="1"/>
    <col min="24" max="24" width="12.453125" style="680" customWidth="1"/>
    <col min="25" max="25" width="11.6328125" style="681" customWidth="1"/>
    <col min="26" max="26" width="29.54296875" style="674" customWidth="1"/>
    <col min="27" max="27" width="24" style="676" customWidth="1"/>
    <col min="28" max="28" width="23.54296875" style="676" customWidth="1"/>
    <col min="29" max="29" width="22.36328125" style="676" customWidth="1"/>
    <col min="30" max="30" width="13.453125" style="682" customWidth="1"/>
    <col min="31" max="31" width="19" style="676" customWidth="1"/>
    <col min="32" max="16384" width="9.08984375" style="676"/>
  </cols>
  <sheetData>
    <row r="1" spans="1:31" s="594" customFormat="1" ht="85.75" customHeight="1">
      <c r="A1" s="582" t="s">
        <v>0</v>
      </c>
      <c r="B1" s="583" t="s">
        <v>1</v>
      </c>
      <c r="C1" s="582" t="s">
        <v>2</v>
      </c>
      <c r="D1" s="584" t="s">
        <v>3</v>
      </c>
      <c r="E1" s="582" t="s">
        <v>4</v>
      </c>
      <c r="F1" s="582" t="s">
        <v>5</v>
      </c>
      <c r="G1" s="585" t="s">
        <v>6</v>
      </c>
      <c r="H1" s="586" t="s">
        <v>7</v>
      </c>
      <c r="I1" s="587" t="s">
        <v>8</v>
      </c>
      <c r="J1" s="588" t="s">
        <v>9</v>
      </c>
      <c r="K1" s="582" t="s">
        <v>10</v>
      </c>
      <c r="L1" s="582" t="s">
        <v>11</v>
      </c>
      <c r="M1" s="582" t="s">
        <v>12</v>
      </c>
      <c r="N1" s="589" t="s">
        <v>13</v>
      </c>
      <c r="O1" s="590" t="s">
        <v>14</v>
      </c>
      <c r="P1" s="591" t="s">
        <v>15</v>
      </c>
      <c r="Q1" s="586" t="s">
        <v>17</v>
      </c>
      <c r="R1" s="582" t="s">
        <v>16</v>
      </c>
      <c r="S1" s="592" t="s">
        <v>18</v>
      </c>
      <c r="T1" s="582" t="s">
        <v>19</v>
      </c>
      <c r="U1" s="582" t="s">
        <v>20</v>
      </c>
      <c r="V1" s="582" t="s">
        <v>21</v>
      </c>
      <c r="W1" s="582" t="s">
        <v>22</v>
      </c>
      <c r="X1" s="582" t="s">
        <v>23</v>
      </c>
      <c r="Y1" s="582" t="s">
        <v>24</v>
      </c>
      <c r="Z1" s="582" t="s">
        <v>25</v>
      </c>
      <c r="AA1" s="582" t="s">
        <v>26</v>
      </c>
      <c r="AB1" s="582" t="s">
        <v>27</v>
      </c>
      <c r="AC1" s="582" t="s">
        <v>2250</v>
      </c>
      <c r="AD1" s="582" t="s">
        <v>2251</v>
      </c>
      <c r="AE1" s="593" t="s">
        <v>28</v>
      </c>
    </row>
    <row r="2" spans="1:31" s="493" customFormat="1" ht="48" customHeight="1">
      <c r="A2" s="595">
        <v>1</v>
      </c>
      <c r="B2" s="596" t="s">
        <v>2278</v>
      </c>
      <c r="C2" s="500" t="s">
        <v>2281</v>
      </c>
      <c r="D2" s="491"/>
      <c r="E2" s="492">
        <v>876</v>
      </c>
      <c r="F2" s="492" t="s">
        <v>2257</v>
      </c>
      <c r="G2" s="492" t="s">
        <v>2266</v>
      </c>
      <c r="H2" s="503" t="e">
        <f t="shared" ref="H2" si="0">E2/D2</f>
        <v>#DIV/0!</v>
      </c>
      <c r="I2" s="504">
        <v>125000</v>
      </c>
      <c r="J2" s="505">
        <f t="shared" ref="J2" si="1">+I2*E2</f>
        <v>109500000</v>
      </c>
      <c r="K2" s="506"/>
      <c r="L2" s="507"/>
      <c r="M2" s="508"/>
      <c r="N2" s="509"/>
      <c r="O2" s="510"/>
      <c r="P2" s="508"/>
      <c r="Q2" s="511"/>
      <c r="R2" s="512"/>
      <c r="S2" s="513" t="s">
        <v>2252</v>
      </c>
      <c r="T2" s="514"/>
      <c r="U2" s="514">
        <f>T6</f>
        <v>0</v>
      </c>
      <c r="V2" s="514">
        <f>T7</f>
        <v>94303127</v>
      </c>
      <c r="W2" s="514">
        <f t="shared" ref="W2" si="2">V2+U2</f>
        <v>94303127</v>
      </c>
      <c r="X2" s="515">
        <v>4</v>
      </c>
      <c r="Y2" s="514" t="e">
        <f t="shared" ref="Y2" si="3">IF(H2&gt;=70%,17000*30*12,IF(H2&gt;=30%,17000*30*6,IF(H2&gt;=20%,17000*30*5,IF(H2&gt;=10%,17000*30*3,17000*30*2))))</f>
        <v>#DIV/0!</v>
      </c>
      <c r="Z2" s="514" t="e">
        <f t="shared" ref="Z2" si="4">Y2*X2</f>
        <v>#DIV/0!</v>
      </c>
      <c r="AA2" s="514">
        <f>E2*125000*3</f>
        <v>328500000</v>
      </c>
      <c r="AB2" s="514">
        <f t="shared" ref="AB2" si="5">30000*E2</f>
        <v>26280000</v>
      </c>
      <c r="AC2" s="514" t="e">
        <f t="shared" ref="AC2" si="6">AB2+AA2+Z2+W2+J2</f>
        <v>#DIV/0!</v>
      </c>
      <c r="AD2" s="514">
        <f>15000*E2</f>
        <v>13140000</v>
      </c>
      <c r="AE2" s="516" t="e">
        <f t="shared" ref="AE2" si="7">AD2+AC2</f>
        <v>#DIV/0!</v>
      </c>
    </row>
    <row r="3" spans="1:31" s="494" customFormat="1" ht="35">
      <c r="A3" s="519"/>
      <c r="B3" s="520" t="s">
        <v>2282</v>
      </c>
      <c r="C3" s="521"/>
      <c r="D3" s="522"/>
      <c r="E3" s="521"/>
      <c r="F3" s="523"/>
      <c r="G3" s="523"/>
      <c r="H3" s="523"/>
      <c r="I3" s="524"/>
      <c r="J3" s="525"/>
      <c r="K3" s="526" t="s">
        <v>2253</v>
      </c>
      <c r="L3" s="527"/>
      <c r="M3" s="528"/>
      <c r="N3" s="529"/>
      <c r="O3" s="530"/>
      <c r="P3" s="531"/>
      <c r="Q3" s="532"/>
      <c r="R3" s="533"/>
      <c r="S3" s="534" t="s">
        <v>2252</v>
      </c>
      <c r="T3" s="535"/>
      <c r="U3" s="536"/>
      <c r="V3" s="536"/>
      <c r="W3" s="536"/>
      <c r="X3" s="528"/>
      <c r="Y3" s="536"/>
      <c r="Z3" s="536"/>
      <c r="AA3" s="536"/>
      <c r="AB3" s="536"/>
      <c r="AC3" s="536"/>
      <c r="AD3" s="536"/>
      <c r="AE3" s="536"/>
    </row>
    <row r="4" spans="1:31" s="498" customFormat="1" ht="31.15" customHeight="1">
      <c r="A4" s="597">
        <v>2</v>
      </c>
      <c r="B4" s="598" t="s">
        <v>2279</v>
      </c>
      <c r="C4" s="599" t="s">
        <v>2281</v>
      </c>
      <c r="D4" s="496"/>
      <c r="E4" s="600">
        <v>720.4</v>
      </c>
      <c r="F4" s="497" t="s">
        <v>2257</v>
      </c>
      <c r="G4" s="497" t="s">
        <v>2267</v>
      </c>
      <c r="H4" s="601" t="e">
        <f t="shared" ref="H4" si="8">E4/D4</f>
        <v>#DIV/0!</v>
      </c>
      <c r="I4" s="602">
        <v>125000</v>
      </c>
      <c r="J4" s="603">
        <f t="shared" ref="J4" si="9">+I4*E4</f>
        <v>90050000</v>
      </c>
      <c r="K4" s="604"/>
      <c r="L4" s="605"/>
      <c r="M4" s="606"/>
      <c r="N4" s="607"/>
      <c r="O4" s="608"/>
      <c r="P4" s="606"/>
      <c r="Q4" s="609"/>
      <c r="R4" s="610"/>
      <c r="S4" s="611" t="s">
        <v>2252</v>
      </c>
      <c r="T4" s="612"/>
      <c r="U4" s="612">
        <f>T8</f>
        <v>658127</v>
      </c>
      <c r="V4" s="612">
        <f>T9</f>
        <v>218170</v>
      </c>
      <c r="W4" s="612">
        <f t="shared" ref="W4" si="10">V4+U4</f>
        <v>876297</v>
      </c>
      <c r="X4" s="613">
        <v>4</v>
      </c>
      <c r="Y4" s="612" t="e">
        <f t="shared" ref="Y4" si="11">IF(H4&gt;=70%,17000*30*12,IF(H4&gt;=30%,17000*30*6,IF(H4&gt;=20%,17000*30*5,IF(H4&gt;=10%,17000*30*3,17000*30*2))))</f>
        <v>#DIV/0!</v>
      </c>
      <c r="Z4" s="612" t="e">
        <f t="shared" ref="Z4" si="12">Y4*X4</f>
        <v>#DIV/0!</v>
      </c>
      <c r="AA4" s="612">
        <f>E4*125000*3</f>
        <v>270150000</v>
      </c>
      <c r="AB4" s="612">
        <f t="shared" ref="AB4" si="13">30000*E4</f>
        <v>21612000</v>
      </c>
      <c r="AC4" s="612" t="e">
        <f t="shared" ref="AC4" si="14">AB4+AA4+Z4+W4+J4</f>
        <v>#DIV/0!</v>
      </c>
      <c r="AD4" s="612">
        <f>15000*E4</f>
        <v>10806000</v>
      </c>
      <c r="AE4" s="614" t="e">
        <f t="shared" ref="AE4" si="15">AD4+AC4</f>
        <v>#DIV/0!</v>
      </c>
    </row>
    <row r="5" spans="1:31" s="495" customFormat="1" ht="35">
      <c r="A5" s="615"/>
      <c r="B5" s="616" t="s">
        <v>2283</v>
      </c>
      <c r="C5" s="600"/>
      <c r="D5" s="617"/>
      <c r="E5" s="600"/>
      <c r="F5" s="618"/>
      <c r="G5" s="618"/>
      <c r="H5" s="618"/>
      <c r="I5" s="619"/>
      <c r="J5" s="620"/>
      <c r="K5" s="621" t="s">
        <v>2253</v>
      </c>
      <c r="L5" s="622"/>
      <c r="M5" s="623"/>
      <c r="N5" s="624"/>
      <c r="O5" s="625"/>
      <c r="P5" s="626"/>
      <c r="Q5" s="609"/>
      <c r="R5" s="627"/>
      <c r="S5" s="611" t="s">
        <v>2252</v>
      </c>
      <c r="T5" s="628"/>
      <c r="U5" s="629"/>
      <c r="V5" s="629"/>
      <c r="W5" s="629"/>
      <c r="X5" s="623"/>
      <c r="Y5" s="629"/>
      <c r="Z5" s="629"/>
      <c r="AA5" s="629"/>
      <c r="AB5" s="629"/>
      <c r="AC5" s="629"/>
      <c r="AD5" s="629"/>
      <c r="AE5" s="629"/>
    </row>
    <row r="6" spans="1:31" s="518" customFormat="1" ht="49.75" customHeight="1">
      <c r="A6" s="499" t="s">
        <v>2268</v>
      </c>
      <c r="B6" s="500"/>
      <c r="C6" s="500" t="s">
        <v>2281</v>
      </c>
      <c r="D6" s="501"/>
      <c r="E6" s="499">
        <f>876 + 720.4</f>
        <v>1596.4</v>
      </c>
      <c r="F6" s="499">
        <v>50</v>
      </c>
      <c r="G6" s="502" t="s">
        <v>2256</v>
      </c>
      <c r="H6" s="537"/>
      <c r="I6" s="538"/>
      <c r="J6" s="539"/>
      <c r="K6" s="540"/>
      <c r="L6" s="540"/>
      <c r="M6" s="541"/>
      <c r="N6" s="542"/>
      <c r="O6" s="543"/>
      <c r="P6" s="543"/>
      <c r="Q6" s="544"/>
      <c r="R6" s="545"/>
      <c r="S6" s="546"/>
      <c r="T6" s="547"/>
      <c r="U6" s="630"/>
      <c r="V6" s="631"/>
      <c r="W6" s="547"/>
      <c r="X6" s="513"/>
      <c r="Y6" s="513"/>
      <c r="Z6" s="632"/>
      <c r="AA6" s="517">
        <f>Z8</f>
        <v>0</v>
      </c>
      <c r="AB6" s="517">
        <f>Z12</f>
        <v>350000000</v>
      </c>
      <c r="AC6" s="517">
        <f>AB6+AA6</f>
        <v>350000000</v>
      </c>
      <c r="AD6" s="633"/>
      <c r="AE6" s="634"/>
    </row>
    <row r="7" spans="1:31" s="558" customFormat="1" ht="35">
      <c r="A7" s="548"/>
      <c r="B7" s="579" t="s">
        <v>2280</v>
      </c>
      <c r="C7" s="635"/>
      <c r="D7" s="635"/>
      <c r="E7" s="550"/>
      <c r="F7" s="551"/>
      <c r="G7" s="552"/>
      <c r="H7" s="636"/>
      <c r="I7" s="637"/>
      <c r="J7" s="551"/>
      <c r="K7" s="640" t="s">
        <v>42</v>
      </c>
      <c r="L7" s="639"/>
      <c r="M7" s="640"/>
      <c r="N7" s="553"/>
      <c r="O7" s="554"/>
      <c r="P7" s="554"/>
      <c r="Q7" s="641"/>
      <c r="R7" s="555"/>
      <c r="S7" s="642"/>
      <c r="T7" s="643">
        <f>T8+T12</f>
        <v>94303127</v>
      </c>
      <c r="U7" s="643"/>
      <c r="V7" s="643"/>
      <c r="W7" s="643"/>
      <c r="X7" s="644"/>
      <c r="Y7" s="645"/>
      <c r="Z7" s="646">
        <f>Z8+Z12</f>
        <v>350000000</v>
      </c>
      <c r="AA7" s="557"/>
      <c r="AB7" s="557"/>
      <c r="AC7" s="557"/>
      <c r="AD7" s="554"/>
      <c r="AE7" s="557"/>
    </row>
    <row r="8" spans="1:31" s="559" customFormat="1" ht="49.75" customHeight="1">
      <c r="B8" s="560"/>
      <c r="C8" s="549"/>
      <c r="D8" s="647"/>
      <c r="E8" s="561"/>
      <c r="F8" s="561"/>
      <c r="G8" s="562"/>
      <c r="H8" s="648"/>
      <c r="I8" s="649"/>
      <c r="J8" s="640"/>
      <c r="K8" s="553" t="s">
        <v>30</v>
      </c>
      <c r="L8" s="563"/>
      <c r="M8" s="564"/>
      <c r="N8" s="564"/>
      <c r="O8" s="564"/>
      <c r="P8" s="564"/>
      <c r="Q8" s="649"/>
      <c r="R8" s="565"/>
      <c r="S8" s="650"/>
      <c r="T8" s="556">
        <f>SUBTOTAL(9,T9:T11)</f>
        <v>658127</v>
      </c>
      <c r="U8" s="652"/>
      <c r="V8" s="653"/>
      <c r="W8" s="651"/>
      <c r="X8" s="654"/>
      <c r="Y8" s="654"/>
      <c r="Z8" s="655">
        <f>ROUND(SUM(Z9:Z11),0)</f>
        <v>0</v>
      </c>
      <c r="AA8" s="568"/>
      <c r="AB8" s="568"/>
      <c r="AC8" s="568"/>
      <c r="AD8" s="564"/>
      <c r="AE8" s="569"/>
    </row>
    <row r="9" spans="1:31" s="559" customFormat="1" ht="49.75" customHeight="1">
      <c r="B9" s="560"/>
      <c r="C9" s="570"/>
      <c r="D9" s="647"/>
      <c r="E9" s="561"/>
      <c r="F9" s="561"/>
      <c r="G9" s="562"/>
      <c r="H9" s="648"/>
      <c r="I9" s="649"/>
      <c r="J9" s="649"/>
      <c r="K9" s="563" t="s">
        <v>2271</v>
      </c>
      <c r="L9" s="563" t="s">
        <v>2254</v>
      </c>
      <c r="M9" s="564" t="s">
        <v>2265</v>
      </c>
      <c r="N9" s="564">
        <f>67.5*1.484</f>
        <v>100.17</v>
      </c>
      <c r="O9" s="564"/>
      <c r="P9" s="564"/>
      <c r="Q9" s="649"/>
      <c r="R9" s="572">
        <v>21780</v>
      </c>
      <c r="S9" s="567">
        <v>0.1</v>
      </c>
      <c r="T9" s="571">
        <f>ROUND((S9*R9*N9),0)</f>
        <v>218170</v>
      </c>
      <c r="U9" s="657"/>
      <c r="V9" s="658"/>
      <c r="W9" s="656"/>
      <c r="X9" s="659"/>
      <c r="Y9" s="654"/>
      <c r="Z9" s="660">
        <f>Y9*W9*Q9</f>
        <v>0</v>
      </c>
      <c r="AA9" s="569"/>
      <c r="AB9" s="569"/>
      <c r="AC9" s="569"/>
      <c r="AD9" s="564"/>
      <c r="AE9" s="569"/>
    </row>
    <row r="10" spans="1:31" s="559" customFormat="1" ht="49.75" customHeight="1">
      <c r="B10" s="560"/>
      <c r="C10" s="549"/>
      <c r="D10" s="647"/>
      <c r="E10" s="561"/>
      <c r="F10" s="561"/>
      <c r="G10" s="562"/>
      <c r="H10" s="648"/>
      <c r="I10" s="649"/>
      <c r="J10" s="649"/>
      <c r="K10" s="563" t="s">
        <v>2241</v>
      </c>
      <c r="L10" s="563" t="s">
        <v>2255</v>
      </c>
      <c r="M10" s="564" t="s">
        <v>35</v>
      </c>
      <c r="N10" s="564">
        <v>40</v>
      </c>
      <c r="O10" s="564"/>
      <c r="P10" s="564"/>
      <c r="Q10" s="581"/>
      <c r="R10" s="572">
        <v>90756</v>
      </c>
      <c r="S10" s="581">
        <v>0.1</v>
      </c>
      <c r="T10" s="571">
        <f>ROUND((S10*R10*N10),0)</f>
        <v>363024</v>
      </c>
      <c r="U10" s="657"/>
      <c r="V10" s="658"/>
      <c r="W10" s="656"/>
      <c r="X10" s="659"/>
      <c r="Y10" s="654"/>
      <c r="Z10" s="660">
        <f>Y10*X10*W10*Q10</f>
        <v>0</v>
      </c>
      <c r="AA10" s="568"/>
      <c r="AB10" s="568"/>
      <c r="AC10" s="568"/>
      <c r="AD10" s="564"/>
      <c r="AE10" s="569"/>
    </row>
    <row r="11" spans="1:31" s="559" customFormat="1" ht="49.75" customHeight="1">
      <c r="B11" s="560"/>
      <c r="C11" s="570"/>
      <c r="D11" s="647"/>
      <c r="E11" s="561"/>
      <c r="F11" s="561"/>
      <c r="G11" s="562"/>
      <c r="H11" s="648"/>
      <c r="I11" s="649"/>
      <c r="J11" s="649"/>
      <c r="K11" s="563" t="s">
        <v>2224</v>
      </c>
      <c r="L11" s="577"/>
      <c r="M11" s="578" t="s">
        <v>44</v>
      </c>
      <c r="N11" s="578">
        <f>400*1.173*0.1</f>
        <v>46.920000000000009</v>
      </c>
      <c r="O11" s="578"/>
      <c r="P11" s="578"/>
      <c r="Q11" s="567"/>
      <c r="R11" s="572">
        <v>16396.600000000002</v>
      </c>
      <c r="S11" s="567">
        <v>0.1</v>
      </c>
      <c r="T11" s="571">
        <f>ROUND((S11*R11*N11),0)</f>
        <v>76933</v>
      </c>
      <c r="U11" s="647"/>
      <c r="V11" s="658"/>
      <c r="W11" s="656"/>
      <c r="X11" s="659"/>
      <c r="Y11" s="654"/>
      <c r="Z11" s="660">
        <f>Y11*X11*W11*Q11</f>
        <v>0</v>
      </c>
      <c r="AA11" s="569"/>
      <c r="AB11" s="569"/>
      <c r="AC11" s="569"/>
      <c r="AD11" s="564"/>
      <c r="AE11" s="569"/>
    </row>
    <row r="12" spans="1:31" s="559" customFormat="1" ht="49.75" customHeight="1">
      <c r="B12" s="560"/>
      <c r="C12" s="549"/>
      <c r="D12" s="647"/>
      <c r="E12" s="561"/>
      <c r="F12" s="561"/>
      <c r="G12" s="562"/>
      <c r="H12" s="648"/>
      <c r="I12" s="649"/>
      <c r="J12" s="640"/>
      <c r="K12" s="553" t="s">
        <v>37</v>
      </c>
      <c r="L12" s="563"/>
      <c r="M12" s="564"/>
      <c r="N12" s="564"/>
      <c r="O12" s="564"/>
      <c r="P12" s="564"/>
      <c r="Q12" s="649"/>
      <c r="R12" s="565"/>
      <c r="S12" s="650"/>
      <c r="T12" s="556">
        <f>SUBTOTAL(9,T13:T16)</f>
        <v>93645000</v>
      </c>
      <c r="U12" s="652"/>
      <c r="V12" s="653"/>
      <c r="W12" s="651"/>
      <c r="X12" s="659"/>
      <c r="Y12" s="654"/>
      <c r="Z12" s="655">
        <f>ROUND(SUM(Z13:Z16),0)</f>
        <v>350000000</v>
      </c>
      <c r="AA12" s="568"/>
      <c r="AB12" s="568"/>
      <c r="AC12" s="568"/>
      <c r="AD12" s="564"/>
      <c r="AE12" s="569"/>
    </row>
    <row r="13" spans="1:31" s="559" customFormat="1" ht="49.75" customHeight="1">
      <c r="A13" s="573"/>
      <c r="B13" s="560"/>
      <c r="C13" s="570"/>
      <c r="D13" s="647"/>
      <c r="E13" s="561"/>
      <c r="F13" s="561"/>
      <c r="G13" s="562"/>
      <c r="H13" s="648"/>
      <c r="I13" s="649"/>
      <c r="J13" s="649"/>
      <c r="K13" s="574" t="s">
        <v>259</v>
      </c>
      <c r="L13" s="563" t="s">
        <v>2276</v>
      </c>
      <c r="M13" s="574" t="s">
        <v>2242</v>
      </c>
      <c r="N13" s="564">
        <v>16</v>
      </c>
      <c r="O13" s="574">
        <v>25</v>
      </c>
      <c r="P13" s="564">
        <f>+N13*O13</f>
        <v>400</v>
      </c>
      <c r="Q13" s="638"/>
      <c r="R13" s="576">
        <v>3850000</v>
      </c>
      <c r="S13" s="567">
        <v>0.5</v>
      </c>
      <c r="T13" s="571">
        <f>ROUND((S13*R13*N13),0)</f>
        <v>30800000</v>
      </c>
      <c r="U13" s="657"/>
      <c r="V13" s="658"/>
      <c r="W13" s="661"/>
      <c r="X13" s="654"/>
      <c r="Y13" s="654"/>
      <c r="Z13" s="660">
        <f t="shared" ref="Z13" si="16">Y13*W13*Q13</f>
        <v>0</v>
      </c>
      <c r="AA13" s="568"/>
      <c r="AB13" s="568"/>
      <c r="AC13" s="569"/>
      <c r="AD13" s="564"/>
      <c r="AE13" s="569"/>
    </row>
    <row r="14" spans="1:31" s="559" customFormat="1" ht="49.75" customHeight="1">
      <c r="A14" s="573"/>
      <c r="B14" s="560"/>
      <c r="C14" s="570"/>
      <c r="D14" s="647"/>
      <c r="E14" s="561"/>
      <c r="F14" s="561"/>
      <c r="G14" s="562"/>
      <c r="H14" s="648"/>
      <c r="I14" s="649"/>
      <c r="J14" s="649"/>
      <c r="K14" s="574" t="s">
        <v>259</v>
      </c>
      <c r="L14" s="563" t="s">
        <v>2277</v>
      </c>
      <c r="M14" s="574" t="s">
        <v>2242</v>
      </c>
      <c r="N14" s="564">
        <v>16</v>
      </c>
      <c r="O14" s="574">
        <v>25</v>
      </c>
      <c r="P14" s="564">
        <f t="shared" ref="P14:P15" si="17">+O14*N14</f>
        <v>400</v>
      </c>
      <c r="Q14" s="638"/>
      <c r="R14" s="575">
        <v>3750000</v>
      </c>
      <c r="S14" s="567">
        <v>0.5</v>
      </c>
      <c r="T14" s="571">
        <f t="shared" ref="T14:T15" si="18">ROUND((S14*R14*N14),0)</f>
        <v>30000000</v>
      </c>
      <c r="U14" s="657"/>
      <c r="V14" s="658"/>
      <c r="W14" s="661"/>
      <c r="X14" s="654"/>
      <c r="Y14" s="654"/>
      <c r="Z14" s="660">
        <v>350000000</v>
      </c>
      <c r="AA14" s="568"/>
      <c r="AB14" s="568"/>
      <c r="AC14" s="569"/>
      <c r="AD14" s="564"/>
      <c r="AE14" s="569"/>
    </row>
    <row r="15" spans="1:31" s="559" customFormat="1" ht="49.75" customHeight="1">
      <c r="A15" s="573"/>
      <c r="B15" s="560"/>
      <c r="C15" s="570"/>
      <c r="D15" s="647"/>
      <c r="E15" s="561"/>
      <c r="F15" s="561"/>
      <c r="G15" s="562"/>
      <c r="H15" s="648"/>
      <c r="I15" s="649"/>
      <c r="J15" s="649"/>
      <c r="K15" s="574" t="s">
        <v>259</v>
      </c>
      <c r="L15" s="563" t="s">
        <v>2277</v>
      </c>
      <c r="M15" s="574" t="s">
        <v>2242</v>
      </c>
      <c r="N15" s="564">
        <v>17</v>
      </c>
      <c r="O15" s="574">
        <v>25</v>
      </c>
      <c r="P15" s="564">
        <f t="shared" si="17"/>
        <v>425</v>
      </c>
      <c r="Q15" s="638"/>
      <c r="R15" s="575">
        <v>3750000</v>
      </c>
      <c r="S15" s="567">
        <v>0.5</v>
      </c>
      <c r="T15" s="571">
        <f t="shared" si="18"/>
        <v>31875000</v>
      </c>
      <c r="U15" s="662"/>
      <c r="V15" s="663"/>
      <c r="W15" s="661"/>
      <c r="X15" s="654"/>
      <c r="Y15" s="654"/>
      <c r="Z15" s="660">
        <f t="shared" ref="Z15:Z16" si="19">Y15*W15*Q15</f>
        <v>0</v>
      </c>
      <c r="AA15" s="568"/>
      <c r="AB15" s="568"/>
      <c r="AC15" s="569"/>
      <c r="AD15" s="564"/>
      <c r="AE15" s="569"/>
    </row>
    <row r="16" spans="1:31" s="559" customFormat="1" ht="49.5" customHeight="1">
      <c r="B16" s="560"/>
      <c r="C16" s="549"/>
      <c r="D16" s="647"/>
      <c r="E16" s="561"/>
      <c r="F16" s="561"/>
      <c r="G16" s="562"/>
      <c r="H16" s="648"/>
      <c r="I16" s="649"/>
      <c r="J16" s="640"/>
      <c r="K16" s="563" t="s">
        <v>2258</v>
      </c>
      <c r="L16" s="563"/>
      <c r="M16" s="574" t="s">
        <v>31</v>
      </c>
      <c r="N16" s="564">
        <v>20</v>
      </c>
      <c r="O16" s="574"/>
      <c r="P16" s="564"/>
      <c r="Q16" s="649"/>
      <c r="R16" s="575">
        <v>97000</v>
      </c>
      <c r="S16" s="567">
        <v>0.5</v>
      </c>
      <c r="T16" s="571">
        <f t="shared" ref="T16" si="20">ROUND((S16*R16*N16),0)</f>
        <v>970000</v>
      </c>
      <c r="U16" s="665"/>
      <c r="V16" s="666"/>
      <c r="W16" s="664"/>
      <c r="X16" s="654"/>
      <c r="Y16" s="654"/>
      <c r="Z16" s="660">
        <f t="shared" si="19"/>
        <v>0</v>
      </c>
      <c r="AA16" s="568"/>
      <c r="AB16" s="568"/>
      <c r="AC16" s="568"/>
      <c r="AD16" s="564"/>
      <c r="AE16" s="569"/>
    </row>
    <row r="17" spans="1:31" s="493" customFormat="1" ht="31.15" customHeight="1">
      <c r="A17" s="595">
        <v>1</v>
      </c>
      <c r="B17" s="596" t="s">
        <v>2284</v>
      </c>
      <c r="C17" s="500" t="s">
        <v>2287</v>
      </c>
      <c r="D17" s="491"/>
      <c r="E17" s="492">
        <v>672</v>
      </c>
      <c r="F17" s="492" t="s">
        <v>2257</v>
      </c>
      <c r="G17" s="492" t="s">
        <v>2259</v>
      </c>
      <c r="H17" s="503" t="e">
        <f t="shared" ref="H17" si="21">E17/D17</f>
        <v>#DIV/0!</v>
      </c>
      <c r="I17" s="504">
        <v>125000</v>
      </c>
      <c r="J17" s="505">
        <f t="shared" ref="J17" si="22">+I17*E17</f>
        <v>84000000</v>
      </c>
      <c r="K17" s="506"/>
      <c r="L17" s="507"/>
      <c r="M17" s="508"/>
      <c r="N17" s="509"/>
      <c r="O17" s="510"/>
      <c r="P17" s="511"/>
      <c r="Q17" s="511"/>
      <c r="R17" s="512"/>
      <c r="S17" s="513" t="s">
        <v>2252</v>
      </c>
      <c r="T17" s="514"/>
      <c r="U17" s="514">
        <f>T21</f>
        <v>0</v>
      </c>
      <c r="V17" s="514">
        <f>T22</f>
        <v>313837476</v>
      </c>
      <c r="W17" s="514">
        <f t="shared" ref="W17" si="23">V17+U17</f>
        <v>313837476</v>
      </c>
      <c r="X17" s="515">
        <v>4</v>
      </c>
      <c r="Y17" s="514" t="e">
        <f t="shared" ref="Y17" si="24">IF(H17&gt;=70%,17000*30*12,IF(H17&gt;=30%,17000*30*6,IF(H17&gt;=20%,17000*30*5,IF(H17&gt;=10%,17000*30*3,17000*30*2))))</f>
        <v>#DIV/0!</v>
      </c>
      <c r="Z17" s="514" t="e">
        <f t="shared" ref="Z17" si="25">Y17*X17</f>
        <v>#DIV/0!</v>
      </c>
      <c r="AA17" s="514">
        <f>E17*125000*3</f>
        <v>252000000</v>
      </c>
      <c r="AB17" s="514">
        <f t="shared" ref="AB17" si="26">30000*E17</f>
        <v>20160000</v>
      </c>
      <c r="AC17" s="514" t="e">
        <f t="shared" ref="AC17" si="27">AB17+AA17+Z17+W17+J17</f>
        <v>#DIV/0!</v>
      </c>
      <c r="AD17" s="514">
        <f>15000*E17</f>
        <v>10080000</v>
      </c>
      <c r="AE17" s="516" t="e">
        <f t="shared" ref="AE17" si="28">AD17+AC17</f>
        <v>#DIV/0!</v>
      </c>
    </row>
    <row r="18" spans="1:31" s="494" customFormat="1" ht="35">
      <c r="A18" s="519"/>
      <c r="B18" s="520" t="s">
        <v>2288</v>
      </c>
      <c r="C18" s="521"/>
      <c r="D18" s="522"/>
      <c r="E18" s="521"/>
      <c r="F18" s="523"/>
      <c r="G18" s="523"/>
      <c r="H18" s="523"/>
      <c r="I18" s="524"/>
      <c r="J18" s="525"/>
      <c r="K18" s="526" t="s">
        <v>2253</v>
      </c>
      <c r="L18" s="527"/>
      <c r="M18" s="528"/>
      <c r="N18" s="529"/>
      <c r="O18" s="530"/>
      <c r="Q18" s="532"/>
      <c r="R18" s="533"/>
      <c r="S18" s="534" t="s">
        <v>2252</v>
      </c>
      <c r="T18" s="535"/>
      <c r="U18" s="536"/>
      <c r="V18" s="536"/>
      <c r="W18" s="536"/>
      <c r="X18" s="528"/>
      <c r="Y18" s="536"/>
      <c r="Z18" s="536"/>
      <c r="AA18" s="536"/>
      <c r="AB18" s="536"/>
      <c r="AC18" s="536"/>
      <c r="AD18" s="536"/>
      <c r="AE18" s="536"/>
    </row>
    <row r="19" spans="1:31" s="493" customFormat="1" ht="31.15" customHeight="1">
      <c r="A19" s="595">
        <v>2</v>
      </c>
      <c r="B19" s="596" t="s">
        <v>2285</v>
      </c>
      <c r="C19" s="500" t="s">
        <v>2287</v>
      </c>
      <c r="D19" s="491"/>
      <c r="E19" s="492">
        <v>528</v>
      </c>
      <c r="F19" s="492" t="s">
        <v>2257</v>
      </c>
      <c r="G19" s="492" t="s">
        <v>2260</v>
      </c>
      <c r="H19" s="503" t="e">
        <f t="shared" ref="H19" si="29">E19/D19</f>
        <v>#DIV/0!</v>
      </c>
      <c r="I19" s="504">
        <v>125000</v>
      </c>
      <c r="J19" s="505">
        <f t="shared" ref="J19" si="30">+I19*E19</f>
        <v>66000000</v>
      </c>
      <c r="K19" s="506"/>
      <c r="L19" s="507"/>
      <c r="M19" s="508"/>
      <c r="N19" s="509"/>
      <c r="O19" s="510"/>
      <c r="P19" s="508"/>
      <c r="Q19" s="511"/>
      <c r="R19" s="512"/>
      <c r="S19" s="513" t="s">
        <v>2252</v>
      </c>
      <c r="T19" s="514"/>
      <c r="U19" s="514">
        <f>T23</f>
        <v>3087476</v>
      </c>
      <c r="V19" s="514">
        <f>T24</f>
        <v>148104</v>
      </c>
      <c r="W19" s="514">
        <f t="shared" ref="W19" si="31">V19+U19</f>
        <v>3235580</v>
      </c>
      <c r="X19" s="515">
        <v>4</v>
      </c>
      <c r="Y19" s="514" t="e">
        <f t="shared" ref="Y19" si="32">IF(H19&gt;=70%,17000*30*12,IF(H19&gt;=30%,17000*30*6,IF(H19&gt;=20%,17000*30*5,IF(H19&gt;=10%,17000*30*3,17000*30*2))))</f>
        <v>#DIV/0!</v>
      </c>
      <c r="Z19" s="514" t="e">
        <f t="shared" ref="Z19" si="33">Y19*X19</f>
        <v>#DIV/0!</v>
      </c>
      <c r="AA19" s="514">
        <f>E19*125000*3</f>
        <v>198000000</v>
      </c>
      <c r="AB19" s="514">
        <f t="shared" ref="AB19" si="34">30000*E19</f>
        <v>15840000</v>
      </c>
      <c r="AC19" s="514" t="e">
        <f t="shared" ref="AC19" si="35">AB19+AA19+Z19+W19+J19</f>
        <v>#DIV/0!</v>
      </c>
      <c r="AD19" s="514">
        <f>15000*E19</f>
        <v>7920000</v>
      </c>
      <c r="AE19" s="516" t="e">
        <f t="shared" ref="AE19" si="36">AD19+AC19</f>
        <v>#DIV/0!</v>
      </c>
    </row>
    <row r="20" spans="1:31" s="494" customFormat="1" ht="35">
      <c r="A20" s="519"/>
      <c r="B20" s="520" t="s">
        <v>2289</v>
      </c>
      <c r="C20" s="521"/>
      <c r="D20" s="522"/>
      <c r="E20" s="521"/>
      <c r="F20" s="523"/>
      <c r="G20" s="523"/>
      <c r="H20" s="523"/>
      <c r="I20" s="524"/>
      <c r="J20" s="525"/>
      <c r="K20" s="526" t="s">
        <v>2253</v>
      </c>
      <c r="L20" s="527"/>
      <c r="M20" s="528"/>
      <c r="N20" s="529"/>
      <c r="O20" s="530"/>
      <c r="P20" s="531"/>
      <c r="Q20" s="532"/>
      <c r="R20" s="533"/>
      <c r="S20" s="534" t="s">
        <v>2252</v>
      </c>
      <c r="T20" s="535"/>
      <c r="U20" s="536"/>
      <c r="V20" s="536"/>
      <c r="W20" s="536"/>
      <c r="X20" s="528"/>
      <c r="Y20" s="536"/>
      <c r="Z20" s="536"/>
      <c r="AA20" s="536"/>
      <c r="AB20" s="536"/>
      <c r="AC20" s="536"/>
      <c r="AD20" s="536"/>
      <c r="AE20" s="536"/>
    </row>
    <row r="21" spans="1:31" s="518" customFormat="1" ht="49.75" customHeight="1">
      <c r="A21" s="499" t="s">
        <v>2269</v>
      </c>
      <c r="B21" s="500"/>
      <c r="C21" s="500" t="s">
        <v>2287</v>
      </c>
      <c r="D21" s="501"/>
      <c r="E21" s="499">
        <v>1200</v>
      </c>
      <c r="F21" s="499">
        <v>50</v>
      </c>
      <c r="G21" s="502" t="s">
        <v>2261</v>
      </c>
      <c r="H21" s="537"/>
      <c r="I21" s="538"/>
      <c r="J21" s="539"/>
      <c r="K21" s="540"/>
      <c r="L21" s="540"/>
      <c r="M21" s="541"/>
      <c r="N21" s="542"/>
      <c r="O21" s="543"/>
      <c r="P21" s="543"/>
      <c r="Q21" s="544"/>
      <c r="R21" s="545"/>
      <c r="S21" s="546"/>
      <c r="T21" s="547"/>
      <c r="U21" s="630"/>
      <c r="V21" s="631"/>
      <c r="W21" s="547"/>
      <c r="X21" s="513"/>
      <c r="Y21" s="513"/>
      <c r="Z21" s="632"/>
      <c r="AA21" s="517">
        <f>Z23</f>
        <v>0</v>
      </c>
      <c r="AB21" s="517">
        <f>Z29</f>
        <v>0</v>
      </c>
      <c r="AC21" s="517">
        <f>AB21+AA21</f>
        <v>0</v>
      </c>
      <c r="AD21" s="633"/>
      <c r="AE21" s="634"/>
    </row>
    <row r="22" spans="1:31" s="558" customFormat="1" ht="70">
      <c r="A22" s="548"/>
      <c r="B22" s="579" t="s">
        <v>2286</v>
      </c>
      <c r="C22" s="635"/>
      <c r="D22" s="635"/>
      <c r="E22" s="550"/>
      <c r="F22" s="551"/>
      <c r="G22" s="552"/>
      <c r="H22" s="636"/>
      <c r="I22" s="637"/>
      <c r="J22" s="551"/>
      <c r="K22" s="640" t="s">
        <v>42</v>
      </c>
      <c r="L22" s="553"/>
      <c r="M22" s="554"/>
      <c r="N22" s="554"/>
      <c r="O22" s="554"/>
      <c r="P22" s="554"/>
      <c r="Q22" s="641"/>
      <c r="R22" s="555"/>
      <c r="S22" s="642"/>
      <c r="T22" s="686">
        <f>SUM(T23+T29)</f>
        <v>313837476</v>
      </c>
      <c r="U22" s="643"/>
      <c r="V22" s="643"/>
      <c r="W22" s="643"/>
      <c r="X22" s="644"/>
      <c r="Y22" s="645"/>
      <c r="Z22" s="646">
        <f>Z23+Z29</f>
        <v>0</v>
      </c>
      <c r="AA22" s="557"/>
      <c r="AB22" s="557"/>
      <c r="AC22" s="557"/>
      <c r="AD22" s="554"/>
      <c r="AE22" s="557"/>
    </row>
    <row r="23" spans="1:31" s="559" customFormat="1" ht="49.75" customHeight="1">
      <c r="B23" s="560"/>
      <c r="C23" s="549"/>
      <c r="D23" s="647"/>
      <c r="E23" s="561"/>
      <c r="F23" s="561"/>
      <c r="G23" s="562"/>
      <c r="H23" s="648"/>
      <c r="I23" s="649"/>
      <c r="J23" s="640"/>
      <c r="K23" s="553" t="s">
        <v>30</v>
      </c>
      <c r="L23" s="563"/>
      <c r="M23" s="564"/>
      <c r="N23" s="564"/>
      <c r="O23" s="564"/>
      <c r="P23" s="564"/>
      <c r="Q23" s="649"/>
      <c r="R23" s="565"/>
      <c r="S23" s="650"/>
      <c r="T23" s="566">
        <f>SUBTOTAL(9,T24:T28)</f>
        <v>3087476</v>
      </c>
      <c r="U23" s="652"/>
      <c r="V23" s="653"/>
      <c r="W23" s="651"/>
      <c r="X23" s="654"/>
      <c r="Y23" s="654"/>
      <c r="Z23" s="655">
        <f>ROUND(SUM(Z24:Z28),0)</f>
        <v>0</v>
      </c>
      <c r="AA23" s="568"/>
      <c r="AB23" s="568"/>
      <c r="AC23" s="568"/>
      <c r="AD23" s="564"/>
      <c r="AE23" s="569"/>
    </row>
    <row r="24" spans="1:31" s="559" customFormat="1" ht="49.75" customHeight="1">
      <c r="B24" s="560"/>
      <c r="C24" s="570"/>
      <c r="D24" s="647"/>
      <c r="E24" s="561"/>
      <c r="F24" s="561"/>
      <c r="G24" s="562"/>
      <c r="H24" s="648"/>
      <c r="I24" s="649"/>
      <c r="J24" s="649"/>
      <c r="K24" s="563" t="s">
        <v>2270</v>
      </c>
      <c r="L24" s="542" t="s">
        <v>2272</v>
      </c>
      <c r="M24" s="564" t="s">
        <v>44</v>
      </c>
      <c r="N24" s="564">
        <v>68</v>
      </c>
      <c r="O24" s="683"/>
      <c r="P24" s="564"/>
      <c r="Q24" s="649"/>
      <c r="R24" s="572">
        <v>21780</v>
      </c>
      <c r="S24" s="567">
        <v>0.1</v>
      </c>
      <c r="T24" s="571">
        <f>ROUND((S24*R24*N24),0)</f>
        <v>148104</v>
      </c>
      <c r="U24" s="657"/>
      <c r="V24" s="658"/>
      <c r="W24" s="656"/>
      <c r="X24" s="659"/>
      <c r="Y24" s="654"/>
      <c r="Z24" s="660"/>
      <c r="AA24" s="569"/>
      <c r="AB24" s="569"/>
      <c r="AC24" s="569"/>
      <c r="AD24" s="564"/>
      <c r="AE24" s="569"/>
    </row>
    <row r="25" spans="1:31" s="559" customFormat="1" ht="49.75" customHeight="1">
      <c r="B25" s="560"/>
      <c r="C25" s="549"/>
      <c r="D25" s="647"/>
      <c r="E25" s="561"/>
      <c r="F25" s="561"/>
      <c r="G25" s="562"/>
      <c r="H25" s="648"/>
      <c r="I25" s="649"/>
      <c r="J25" s="649"/>
      <c r="K25" s="563" t="s">
        <v>2241</v>
      </c>
      <c r="L25" s="563" t="s">
        <v>2249</v>
      </c>
      <c r="M25" s="564" t="s">
        <v>35</v>
      </c>
      <c r="N25" s="564">
        <v>50</v>
      </c>
      <c r="O25" s="564"/>
      <c r="P25" s="564"/>
      <c r="Q25" s="581"/>
      <c r="R25" s="572">
        <v>90756</v>
      </c>
      <c r="S25" s="581">
        <v>0.1</v>
      </c>
      <c r="T25" s="571">
        <f t="shared" ref="T25:T28" si="37">ROUND((S25*R25*N25),0)</f>
        <v>453780</v>
      </c>
      <c r="U25" s="657"/>
      <c r="V25" s="658"/>
      <c r="W25" s="656"/>
      <c r="X25" s="659"/>
      <c r="Y25" s="654"/>
      <c r="Z25" s="660"/>
      <c r="AA25" s="568"/>
      <c r="AB25" s="568"/>
      <c r="AC25" s="568"/>
      <c r="AD25" s="564"/>
      <c r="AE25" s="569"/>
    </row>
    <row r="26" spans="1:31" s="559" customFormat="1" ht="49.75" customHeight="1">
      <c r="B26" s="560"/>
      <c r="C26" s="549"/>
      <c r="D26" s="647"/>
      <c r="E26" s="561"/>
      <c r="F26" s="561"/>
      <c r="G26" s="562"/>
      <c r="H26" s="648"/>
      <c r="I26" s="649"/>
      <c r="J26" s="649"/>
      <c r="K26" s="563" t="s">
        <v>2248</v>
      </c>
      <c r="L26" s="563" t="s">
        <v>2263</v>
      </c>
      <c r="M26" s="564" t="s">
        <v>35</v>
      </c>
      <c r="N26" s="578">
        <v>50</v>
      </c>
      <c r="O26" s="564"/>
      <c r="P26" s="578"/>
      <c r="Q26" s="581"/>
      <c r="R26" s="580">
        <v>45430.000000000007</v>
      </c>
      <c r="S26" s="567">
        <v>0.1</v>
      </c>
      <c r="T26" s="571">
        <f t="shared" si="37"/>
        <v>227150</v>
      </c>
      <c r="U26" s="657"/>
      <c r="V26" s="658"/>
      <c r="W26" s="656"/>
      <c r="X26" s="659"/>
      <c r="Y26" s="654"/>
      <c r="Z26" s="660"/>
      <c r="AA26" s="568"/>
      <c r="AB26" s="568"/>
      <c r="AC26" s="568"/>
      <c r="AD26" s="564"/>
      <c r="AE26" s="569"/>
    </row>
    <row r="27" spans="1:31" s="559" customFormat="1" ht="49.75" customHeight="1">
      <c r="B27" s="560"/>
      <c r="C27" s="549"/>
      <c r="D27" s="647"/>
      <c r="E27" s="561"/>
      <c r="F27" s="561"/>
      <c r="G27" s="562"/>
      <c r="H27" s="648"/>
      <c r="I27" s="649"/>
      <c r="J27" s="649"/>
      <c r="K27" s="563" t="s">
        <v>2243</v>
      </c>
      <c r="L27" s="563" t="s">
        <v>2264</v>
      </c>
      <c r="M27" s="564" t="s">
        <v>35</v>
      </c>
      <c r="N27" s="578">
        <v>110</v>
      </c>
      <c r="O27" s="564"/>
      <c r="P27" s="578"/>
      <c r="Q27" s="654"/>
      <c r="R27" s="580">
        <v>13860.000000000002</v>
      </c>
      <c r="S27" s="581">
        <v>0.1</v>
      </c>
      <c r="T27" s="571">
        <f t="shared" si="37"/>
        <v>152460</v>
      </c>
      <c r="U27" s="657"/>
      <c r="V27" s="658"/>
      <c r="W27" s="656"/>
      <c r="X27" s="659"/>
      <c r="Y27" s="654"/>
      <c r="Z27" s="660"/>
      <c r="AA27" s="568"/>
      <c r="AB27" s="568"/>
      <c r="AC27" s="568"/>
      <c r="AD27" s="564"/>
      <c r="AE27" s="569"/>
    </row>
    <row r="28" spans="1:31" s="559" customFormat="1" ht="49.75" customHeight="1">
      <c r="B28" s="560"/>
      <c r="C28" s="570"/>
      <c r="D28" s="647"/>
      <c r="E28" s="561"/>
      <c r="F28" s="561"/>
      <c r="G28" s="562"/>
      <c r="H28" s="648"/>
      <c r="I28" s="649"/>
      <c r="J28" s="649"/>
      <c r="K28" s="563" t="s">
        <v>2005</v>
      </c>
      <c r="L28" s="577" t="s">
        <v>2262</v>
      </c>
      <c r="M28" s="578" t="s">
        <v>44</v>
      </c>
      <c r="N28" s="667">
        <f>1.8*195*2.5</f>
        <v>877.5</v>
      </c>
      <c r="O28" s="578"/>
      <c r="P28" s="578"/>
      <c r="Q28" s="668"/>
      <c r="R28" s="572">
        <v>23999.800000000003</v>
      </c>
      <c r="S28" s="669">
        <v>0.1</v>
      </c>
      <c r="T28" s="571">
        <f t="shared" si="37"/>
        <v>2105982</v>
      </c>
      <c r="U28" s="647"/>
      <c r="V28" s="658"/>
      <c r="W28" s="656"/>
      <c r="X28" s="659"/>
      <c r="Y28" s="654"/>
      <c r="Z28" s="660"/>
      <c r="AA28" s="569"/>
      <c r="AB28" s="569"/>
      <c r="AC28" s="569"/>
      <c r="AD28" s="564"/>
      <c r="AE28" s="569"/>
    </row>
    <row r="29" spans="1:31" s="559" customFormat="1" ht="49.75" customHeight="1">
      <c r="B29" s="560"/>
      <c r="C29" s="549"/>
      <c r="D29" s="647"/>
      <c r="E29" s="561"/>
      <c r="F29" s="561"/>
      <c r="G29" s="562"/>
      <c r="H29" s="648"/>
      <c r="I29" s="649"/>
      <c r="J29" s="640"/>
      <c r="K29" s="553" t="s">
        <v>37</v>
      </c>
      <c r="L29" s="563"/>
      <c r="M29" s="564"/>
      <c r="N29" s="564"/>
      <c r="O29" s="564"/>
      <c r="P29" s="564"/>
      <c r="Q29" s="649"/>
      <c r="R29" s="565"/>
      <c r="S29" s="650"/>
      <c r="T29" s="566">
        <f>SUBTOTAL(9,T30:T32)</f>
        <v>310750000</v>
      </c>
      <c r="U29" s="652"/>
      <c r="V29" s="653"/>
      <c r="W29" s="651"/>
      <c r="X29" s="659"/>
      <c r="Y29" s="654"/>
      <c r="Z29" s="655"/>
      <c r="AA29" s="568"/>
      <c r="AB29" s="568"/>
      <c r="AC29" s="568"/>
      <c r="AD29" s="564"/>
      <c r="AE29" s="569"/>
    </row>
    <row r="30" spans="1:31" s="559" customFormat="1" ht="49.75" customHeight="1">
      <c r="A30" s="573"/>
      <c r="B30" s="560"/>
      <c r="C30" s="570"/>
      <c r="D30" s="647"/>
      <c r="E30" s="561"/>
      <c r="F30" s="561"/>
      <c r="G30" s="562"/>
      <c r="H30" s="648"/>
      <c r="I30" s="649"/>
      <c r="J30" s="649"/>
      <c r="K30" s="574" t="s">
        <v>38</v>
      </c>
      <c r="L30" s="563" t="s">
        <v>2275</v>
      </c>
      <c r="M30" s="574" t="s">
        <v>2242</v>
      </c>
      <c r="N30" s="564">
        <v>2167</v>
      </c>
      <c r="O30" s="574">
        <v>0.4</v>
      </c>
      <c r="P30" s="564">
        <f>+N30*O30</f>
        <v>866.80000000000007</v>
      </c>
      <c r="Q30" s="638"/>
      <c r="R30" s="684">
        <v>200000</v>
      </c>
      <c r="S30" s="654">
        <v>0.5</v>
      </c>
      <c r="T30" s="656">
        <f>ROUND(S30*R30*N30,0)</f>
        <v>216700000</v>
      </c>
      <c r="U30" s="657"/>
      <c r="V30" s="658"/>
      <c r="W30" s="661"/>
      <c r="X30" s="654"/>
      <c r="Y30" s="654"/>
      <c r="Z30" s="660"/>
      <c r="AA30" s="568"/>
      <c r="AB30" s="568"/>
      <c r="AC30" s="569"/>
      <c r="AD30" s="564"/>
      <c r="AE30" s="569"/>
    </row>
    <row r="31" spans="1:31" s="559" customFormat="1" ht="49.75" customHeight="1">
      <c r="A31" s="573"/>
      <c r="B31" s="560"/>
      <c r="C31" s="570"/>
      <c r="D31" s="647"/>
      <c r="E31" s="561"/>
      <c r="F31" s="561"/>
      <c r="G31" s="562"/>
      <c r="H31" s="648"/>
      <c r="I31" s="649"/>
      <c r="J31" s="649"/>
      <c r="K31" s="574" t="s">
        <v>38</v>
      </c>
      <c r="L31" s="563" t="s">
        <v>2274</v>
      </c>
      <c r="M31" s="574" t="s">
        <v>2242</v>
      </c>
      <c r="N31" s="564">
        <v>1791</v>
      </c>
      <c r="O31" s="574">
        <v>0.4</v>
      </c>
      <c r="P31" s="564">
        <f>+N31*O31</f>
        <v>716.40000000000009</v>
      </c>
      <c r="Q31" s="638"/>
      <c r="R31" s="685">
        <v>100000</v>
      </c>
      <c r="S31" s="567">
        <v>0.5</v>
      </c>
      <c r="T31" s="571">
        <f t="shared" ref="T31" si="38">ROUND((S31*R31*N31),0)</f>
        <v>89550000</v>
      </c>
      <c r="U31" s="657"/>
      <c r="V31" s="658"/>
      <c r="W31" s="661"/>
      <c r="X31" s="654"/>
      <c r="Y31" s="654"/>
      <c r="Z31" s="660"/>
      <c r="AA31" s="568"/>
      <c r="AB31" s="568"/>
      <c r="AC31" s="569"/>
      <c r="AD31" s="564"/>
      <c r="AE31" s="569"/>
    </row>
    <row r="32" spans="1:31" s="559" customFormat="1" ht="49.75" customHeight="1">
      <c r="B32" s="560"/>
      <c r="C32" s="549"/>
      <c r="D32" s="647"/>
      <c r="E32" s="561"/>
      <c r="F32" s="561"/>
      <c r="G32" s="562"/>
      <c r="H32" s="648"/>
      <c r="I32" s="649"/>
      <c r="J32" s="640"/>
      <c r="K32" s="563" t="s">
        <v>48</v>
      </c>
      <c r="L32" s="564" t="s">
        <v>2273</v>
      </c>
      <c r="M32" s="574" t="s">
        <v>31</v>
      </c>
      <c r="N32" s="564">
        <v>450</v>
      </c>
      <c r="O32" s="574"/>
      <c r="P32" s="564">
        <f>N32</f>
        <v>450</v>
      </c>
      <c r="Q32" s="649"/>
      <c r="R32" s="575">
        <v>20000</v>
      </c>
      <c r="S32" s="567">
        <v>0.5</v>
      </c>
      <c r="T32" s="571">
        <f>ROUND((S32*R32*N32),0)</f>
        <v>4500000</v>
      </c>
      <c r="U32" s="665"/>
      <c r="V32" s="666"/>
      <c r="W32" s="664"/>
      <c r="X32" s="654"/>
      <c r="Y32" s="654"/>
      <c r="Z32" s="660"/>
      <c r="AA32" s="568"/>
      <c r="AB32" s="568"/>
      <c r="AC32" s="568"/>
      <c r="AD32" s="564"/>
      <c r="AE32" s="569"/>
    </row>
  </sheetData>
  <autoFilter ref="A1:AE32"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7" tint="-0.499984740745262"/>
  </sheetPr>
  <dimension ref="A1:J1161"/>
  <sheetViews>
    <sheetView showGridLines="0" zoomScale="120" zoomScaleNormal="120" workbookViewId="0">
      <pane xSplit="13" ySplit="2" topLeftCell="N255" activePane="bottomRight" state="frozen"/>
      <selection pane="topRight" activeCell="N1" sqref="N1"/>
      <selection pane="bottomLeft" activeCell="A3" sqref="A3"/>
      <selection pane="bottomRight" activeCell="D1165" sqref="D1165"/>
    </sheetView>
  </sheetViews>
  <sheetFormatPr defaultColWidth="9.08984375" defaultRowHeight="14"/>
  <cols>
    <col min="1" max="1" width="5.90625" style="479" customWidth="1"/>
    <col min="2" max="2" width="15.90625" style="480" customWidth="1"/>
    <col min="3" max="3" width="30.453125" style="260" customWidth="1"/>
    <col min="4" max="4" width="22.453125" style="260" customWidth="1"/>
    <col min="5" max="5" width="11.453125" style="487" customWidth="1"/>
    <col min="6" max="6" width="8.453125" style="487" customWidth="1"/>
    <col min="7" max="7" width="14.453125" style="259" customWidth="1"/>
    <col min="8" max="8" width="11.08984375" style="489" customWidth="1"/>
    <col min="9" max="9" width="11.08984375" style="490" customWidth="1"/>
    <col min="10" max="10" width="19.90625" style="260" customWidth="1"/>
    <col min="11" max="11" width="9.08984375" style="260"/>
    <col min="12" max="12" width="11" style="260" bestFit="1" customWidth="1"/>
    <col min="13" max="256" width="9.08984375" style="260"/>
    <col min="257" max="257" width="5.90625" style="260" customWidth="1"/>
    <col min="258" max="258" width="15.90625" style="260" customWidth="1"/>
    <col min="259" max="259" width="30.453125" style="260" customWidth="1"/>
    <col min="260" max="260" width="22.453125" style="260" customWidth="1"/>
    <col min="261" max="261" width="11.453125" style="260" customWidth="1"/>
    <col min="262" max="262" width="8.453125" style="260" customWidth="1"/>
    <col min="263" max="263" width="14.453125" style="260" customWidth="1"/>
    <col min="264" max="265" width="11.08984375" style="260" customWidth="1"/>
    <col min="266" max="266" width="19.90625" style="260" customWidth="1"/>
    <col min="267" max="267" width="9.08984375" style="260"/>
    <col min="268" max="268" width="11" style="260" bestFit="1" customWidth="1"/>
    <col min="269" max="512" width="9.08984375" style="260"/>
    <col min="513" max="513" width="5.90625" style="260" customWidth="1"/>
    <col min="514" max="514" width="15.90625" style="260" customWidth="1"/>
    <col min="515" max="515" width="30.453125" style="260" customWidth="1"/>
    <col min="516" max="516" width="22.453125" style="260" customWidth="1"/>
    <col min="517" max="517" width="11.453125" style="260" customWidth="1"/>
    <col min="518" max="518" width="8.453125" style="260" customWidth="1"/>
    <col min="519" max="519" width="14.453125" style="260" customWidth="1"/>
    <col min="520" max="521" width="11.08984375" style="260" customWidth="1"/>
    <col min="522" max="522" width="19.90625" style="260" customWidth="1"/>
    <col min="523" max="523" width="9.08984375" style="260"/>
    <col min="524" max="524" width="11" style="260" bestFit="1" customWidth="1"/>
    <col min="525" max="768" width="9.08984375" style="260"/>
    <col min="769" max="769" width="5.90625" style="260" customWidth="1"/>
    <col min="770" max="770" width="15.90625" style="260" customWidth="1"/>
    <col min="771" max="771" width="30.453125" style="260" customWidth="1"/>
    <col min="772" max="772" width="22.453125" style="260" customWidth="1"/>
    <col min="773" max="773" width="11.453125" style="260" customWidth="1"/>
    <col min="774" max="774" width="8.453125" style="260" customWidth="1"/>
    <col min="775" max="775" width="14.453125" style="260" customWidth="1"/>
    <col min="776" max="777" width="11.08984375" style="260" customWidth="1"/>
    <col min="778" max="778" width="19.90625" style="260" customWidth="1"/>
    <col min="779" max="779" width="9.08984375" style="260"/>
    <col min="780" max="780" width="11" style="260" bestFit="1" customWidth="1"/>
    <col min="781" max="1024" width="9.08984375" style="260"/>
    <col min="1025" max="1025" width="5.90625" style="260" customWidth="1"/>
    <col min="1026" max="1026" width="15.90625" style="260" customWidth="1"/>
    <col min="1027" max="1027" width="30.453125" style="260" customWidth="1"/>
    <col min="1028" max="1028" width="22.453125" style="260" customWidth="1"/>
    <col min="1029" max="1029" width="11.453125" style="260" customWidth="1"/>
    <col min="1030" max="1030" width="8.453125" style="260" customWidth="1"/>
    <col min="1031" max="1031" width="14.453125" style="260" customWidth="1"/>
    <col min="1032" max="1033" width="11.08984375" style="260" customWidth="1"/>
    <col min="1034" max="1034" width="19.90625" style="260" customWidth="1"/>
    <col min="1035" max="1035" width="9.08984375" style="260"/>
    <col min="1036" max="1036" width="11" style="260" bestFit="1" customWidth="1"/>
    <col min="1037" max="1280" width="9.08984375" style="260"/>
    <col min="1281" max="1281" width="5.90625" style="260" customWidth="1"/>
    <col min="1282" max="1282" width="15.90625" style="260" customWidth="1"/>
    <col min="1283" max="1283" width="30.453125" style="260" customWidth="1"/>
    <col min="1284" max="1284" width="22.453125" style="260" customWidth="1"/>
    <col min="1285" max="1285" width="11.453125" style="260" customWidth="1"/>
    <col min="1286" max="1286" width="8.453125" style="260" customWidth="1"/>
    <col min="1287" max="1287" width="14.453125" style="260" customWidth="1"/>
    <col min="1288" max="1289" width="11.08984375" style="260" customWidth="1"/>
    <col min="1290" max="1290" width="19.90625" style="260" customWidth="1"/>
    <col min="1291" max="1291" width="9.08984375" style="260"/>
    <col min="1292" max="1292" width="11" style="260" bestFit="1" customWidth="1"/>
    <col min="1293" max="1536" width="9.08984375" style="260"/>
    <col min="1537" max="1537" width="5.90625" style="260" customWidth="1"/>
    <col min="1538" max="1538" width="15.90625" style="260" customWidth="1"/>
    <col min="1539" max="1539" width="30.453125" style="260" customWidth="1"/>
    <col min="1540" max="1540" width="22.453125" style="260" customWidth="1"/>
    <col min="1541" max="1541" width="11.453125" style="260" customWidth="1"/>
    <col min="1542" max="1542" width="8.453125" style="260" customWidth="1"/>
    <col min="1543" max="1543" width="14.453125" style="260" customWidth="1"/>
    <col min="1544" max="1545" width="11.08984375" style="260" customWidth="1"/>
    <col min="1546" max="1546" width="19.90625" style="260" customWidth="1"/>
    <col min="1547" max="1547" width="9.08984375" style="260"/>
    <col min="1548" max="1548" width="11" style="260" bestFit="1" customWidth="1"/>
    <col min="1549" max="1792" width="9.08984375" style="260"/>
    <col min="1793" max="1793" width="5.90625" style="260" customWidth="1"/>
    <col min="1794" max="1794" width="15.90625" style="260" customWidth="1"/>
    <col min="1795" max="1795" width="30.453125" style="260" customWidth="1"/>
    <col min="1796" max="1796" width="22.453125" style="260" customWidth="1"/>
    <col min="1797" max="1797" width="11.453125" style="260" customWidth="1"/>
    <col min="1798" max="1798" width="8.453125" style="260" customWidth="1"/>
    <col min="1799" max="1799" width="14.453125" style="260" customWidth="1"/>
    <col min="1800" max="1801" width="11.08984375" style="260" customWidth="1"/>
    <col min="1802" max="1802" width="19.90625" style="260" customWidth="1"/>
    <col min="1803" max="1803" width="9.08984375" style="260"/>
    <col min="1804" max="1804" width="11" style="260" bestFit="1" customWidth="1"/>
    <col min="1805" max="2048" width="9.08984375" style="260"/>
    <col min="2049" max="2049" width="5.90625" style="260" customWidth="1"/>
    <col min="2050" max="2050" width="15.90625" style="260" customWidth="1"/>
    <col min="2051" max="2051" width="30.453125" style="260" customWidth="1"/>
    <col min="2052" max="2052" width="22.453125" style="260" customWidth="1"/>
    <col min="2053" max="2053" width="11.453125" style="260" customWidth="1"/>
    <col min="2054" max="2054" width="8.453125" style="260" customWidth="1"/>
    <col min="2055" max="2055" width="14.453125" style="260" customWidth="1"/>
    <col min="2056" max="2057" width="11.08984375" style="260" customWidth="1"/>
    <col min="2058" max="2058" width="19.90625" style="260" customWidth="1"/>
    <col min="2059" max="2059" width="9.08984375" style="260"/>
    <col min="2060" max="2060" width="11" style="260" bestFit="1" customWidth="1"/>
    <col min="2061" max="2304" width="9.08984375" style="260"/>
    <col min="2305" max="2305" width="5.90625" style="260" customWidth="1"/>
    <col min="2306" max="2306" width="15.90625" style="260" customWidth="1"/>
    <col min="2307" max="2307" width="30.453125" style="260" customWidth="1"/>
    <col min="2308" max="2308" width="22.453125" style="260" customWidth="1"/>
    <col min="2309" max="2309" width="11.453125" style="260" customWidth="1"/>
    <col min="2310" max="2310" width="8.453125" style="260" customWidth="1"/>
    <col min="2311" max="2311" width="14.453125" style="260" customWidth="1"/>
    <col min="2312" max="2313" width="11.08984375" style="260" customWidth="1"/>
    <col min="2314" max="2314" width="19.90625" style="260" customWidth="1"/>
    <col min="2315" max="2315" width="9.08984375" style="260"/>
    <col min="2316" max="2316" width="11" style="260" bestFit="1" customWidth="1"/>
    <col min="2317" max="2560" width="9.08984375" style="260"/>
    <col min="2561" max="2561" width="5.90625" style="260" customWidth="1"/>
    <col min="2562" max="2562" width="15.90625" style="260" customWidth="1"/>
    <col min="2563" max="2563" width="30.453125" style="260" customWidth="1"/>
    <col min="2564" max="2564" width="22.453125" style="260" customWidth="1"/>
    <col min="2565" max="2565" width="11.453125" style="260" customWidth="1"/>
    <col min="2566" max="2566" width="8.453125" style="260" customWidth="1"/>
    <col min="2567" max="2567" width="14.453125" style="260" customWidth="1"/>
    <col min="2568" max="2569" width="11.08984375" style="260" customWidth="1"/>
    <col min="2570" max="2570" width="19.90625" style="260" customWidth="1"/>
    <col min="2571" max="2571" width="9.08984375" style="260"/>
    <col min="2572" max="2572" width="11" style="260" bestFit="1" customWidth="1"/>
    <col min="2573" max="2816" width="9.08984375" style="260"/>
    <col min="2817" max="2817" width="5.90625" style="260" customWidth="1"/>
    <col min="2818" max="2818" width="15.90625" style="260" customWidth="1"/>
    <col min="2819" max="2819" width="30.453125" style="260" customWidth="1"/>
    <col min="2820" max="2820" width="22.453125" style="260" customWidth="1"/>
    <col min="2821" max="2821" width="11.453125" style="260" customWidth="1"/>
    <col min="2822" max="2822" width="8.453125" style="260" customWidth="1"/>
    <col min="2823" max="2823" width="14.453125" style="260" customWidth="1"/>
    <col min="2824" max="2825" width="11.08984375" style="260" customWidth="1"/>
    <col min="2826" max="2826" width="19.90625" style="260" customWidth="1"/>
    <col min="2827" max="2827" width="9.08984375" style="260"/>
    <col min="2828" max="2828" width="11" style="260" bestFit="1" customWidth="1"/>
    <col min="2829" max="3072" width="9.08984375" style="260"/>
    <col min="3073" max="3073" width="5.90625" style="260" customWidth="1"/>
    <col min="3074" max="3074" width="15.90625" style="260" customWidth="1"/>
    <col min="3075" max="3075" width="30.453125" style="260" customWidth="1"/>
    <col min="3076" max="3076" width="22.453125" style="260" customWidth="1"/>
    <col min="3077" max="3077" width="11.453125" style="260" customWidth="1"/>
    <col min="3078" max="3078" width="8.453125" style="260" customWidth="1"/>
    <col min="3079" max="3079" width="14.453125" style="260" customWidth="1"/>
    <col min="3080" max="3081" width="11.08984375" style="260" customWidth="1"/>
    <col min="3082" max="3082" width="19.90625" style="260" customWidth="1"/>
    <col min="3083" max="3083" width="9.08984375" style="260"/>
    <col min="3084" max="3084" width="11" style="260" bestFit="1" customWidth="1"/>
    <col min="3085" max="3328" width="9.08984375" style="260"/>
    <col min="3329" max="3329" width="5.90625" style="260" customWidth="1"/>
    <col min="3330" max="3330" width="15.90625" style="260" customWidth="1"/>
    <col min="3331" max="3331" width="30.453125" style="260" customWidth="1"/>
    <col min="3332" max="3332" width="22.453125" style="260" customWidth="1"/>
    <col min="3333" max="3333" width="11.453125" style="260" customWidth="1"/>
    <col min="3334" max="3334" width="8.453125" style="260" customWidth="1"/>
    <col min="3335" max="3335" width="14.453125" style="260" customWidth="1"/>
    <col min="3336" max="3337" width="11.08984375" style="260" customWidth="1"/>
    <col min="3338" max="3338" width="19.90625" style="260" customWidth="1"/>
    <col min="3339" max="3339" width="9.08984375" style="260"/>
    <col min="3340" max="3340" width="11" style="260" bestFit="1" customWidth="1"/>
    <col min="3341" max="3584" width="9.08984375" style="260"/>
    <col min="3585" max="3585" width="5.90625" style="260" customWidth="1"/>
    <col min="3586" max="3586" width="15.90625" style="260" customWidth="1"/>
    <col min="3587" max="3587" width="30.453125" style="260" customWidth="1"/>
    <col min="3588" max="3588" width="22.453125" style="260" customWidth="1"/>
    <col min="3589" max="3589" width="11.453125" style="260" customWidth="1"/>
    <col min="3590" max="3590" width="8.453125" style="260" customWidth="1"/>
    <col min="3591" max="3591" width="14.453125" style="260" customWidth="1"/>
    <col min="3592" max="3593" width="11.08984375" style="260" customWidth="1"/>
    <col min="3594" max="3594" width="19.90625" style="260" customWidth="1"/>
    <col min="3595" max="3595" width="9.08984375" style="260"/>
    <col min="3596" max="3596" width="11" style="260" bestFit="1" customWidth="1"/>
    <col min="3597" max="3840" width="9.08984375" style="260"/>
    <col min="3841" max="3841" width="5.90625" style="260" customWidth="1"/>
    <col min="3842" max="3842" width="15.90625" style="260" customWidth="1"/>
    <col min="3843" max="3843" width="30.453125" style="260" customWidth="1"/>
    <col min="3844" max="3844" width="22.453125" style="260" customWidth="1"/>
    <col min="3845" max="3845" width="11.453125" style="260" customWidth="1"/>
    <col min="3846" max="3846" width="8.453125" style="260" customWidth="1"/>
    <col min="3847" max="3847" width="14.453125" style="260" customWidth="1"/>
    <col min="3848" max="3849" width="11.08984375" style="260" customWidth="1"/>
    <col min="3850" max="3850" width="19.90625" style="260" customWidth="1"/>
    <col min="3851" max="3851" width="9.08984375" style="260"/>
    <col min="3852" max="3852" width="11" style="260" bestFit="1" customWidth="1"/>
    <col min="3853" max="4096" width="9.08984375" style="260"/>
    <col min="4097" max="4097" width="5.90625" style="260" customWidth="1"/>
    <col min="4098" max="4098" width="15.90625" style="260" customWidth="1"/>
    <col min="4099" max="4099" width="30.453125" style="260" customWidth="1"/>
    <col min="4100" max="4100" width="22.453125" style="260" customWidth="1"/>
    <col min="4101" max="4101" width="11.453125" style="260" customWidth="1"/>
    <col min="4102" max="4102" width="8.453125" style="260" customWidth="1"/>
    <col min="4103" max="4103" width="14.453125" style="260" customWidth="1"/>
    <col min="4104" max="4105" width="11.08984375" style="260" customWidth="1"/>
    <col min="4106" max="4106" width="19.90625" style="260" customWidth="1"/>
    <col min="4107" max="4107" width="9.08984375" style="260"/>
    <col min="4108" max="4108" width="11" style="260" bestFit="1" customWidth="1"/>
    <col min="4109" max="4352" width="9.08984375" style="260"/>
    <col min="4353" max="4353" width="5.90625" style="260" customWidth="1"/>
    <col min="4354" max="4354" width="15.90625" style="260" customWidth="1"/>
    <col min="4355" max="4355" width="30.453125" style="260" customWidth="1"/>
    <col min="4356" max="4356" width="22.453125" style="260" customWidth="1"/>
    <col min="4357" max="4357" width="11.453125" style="260" customWidth="1"/>
    <col min="4358" max="4358" width="8.453125" style="260" customWidth="1"/>
    <col min="4359" max="4359" width="14.453125" style="260" customWidth="1"/>
    <col min="4360" max="4361" width="11.08984375" style="260" customWidth="1"/>
    <col min="4362" max="4362" width="19.90625" style="260" customWidth="1"/>
    <col min="4363" max="4363" width="9.08984375" style="260"/>
    <col min="4364" max="4364" width="11" style="260" bestFit="1" customWidth="1"/>
    <col min="4365" max="4608" width="9.08984375" style="260"/>
    <col min="4609" max="4609" width="5.90625" style="260" customWidth="1"/>
    <col min="4610" max="4610" width="15.90625" style="260" customWidth="1"/>
    <col min="4611" max="4611" width="30.453125" style="260" customWidth="1"/>
    <col min="4612" max="4612" width="22.453125" style="260" customWidth="1"/>
    <col min="4613" max="4613" width="11.453125" style="260" customWidth="1"/>
    <col min="4614" max="4614" width="8.453125" style="260" customWidth="1"/>
    <col min="4615" max="4615" width="14.453125" style="260" customWidth="1"/>
    <col min="4616" max="4617" width="11.08984375" style="260" customWidth="1"/>
    <col min="4618" max="4618" width="19.90625" style="260" customWidth="1"/>
    <col min="4619" max="4619" width="9.08984375" style="260"/>
    <col min="4620" max="4620" width="11" style="260" bestFit="1" customWidth="1"/>
    <col min="4621" max="4864" width="9.08984375" style="260"/>
    <col min="4865" max="4865" width="5.90625" style="260" customWidth="1"/>
    <col min="4866" max="4866" width="15.90625" style="260" customWidth="1"/>
    <col min="4867" max="4867" width="30.453125" style="260" customWidth="1"/>
    <col min="4868" max="4868" width="22.453125" style="260" customWidth="1"/>
    <col min="4869" max="4869" width="11.453125" style="260" customWidth="1"/>
    <col min="4870" max="4870" width="8.453125" style="260" customWidth="1"/>
    <col min="4871" max="4871" width="14.453125" style="260" customWidth="1"/>
    <col min="4872" max="4873" width="11.08984375" style="260" customWidth="1"/>
    <col min="4874" max="4874" width="19.90625" style="260" customWidth="1"/>
    <col min="4875" max="4875" width="9.08984375" style="260"/>
    <col min="4876" max="4876" width="11" style="260" bestFit="1" customWidth="1"/>
    <col min="4877" max="5120" width="9.08984375" style="260"/>
    <col min="5121" max="5121" width="5.90625" style="260" customWidth="1"/>
    <col min="5122" max="5122" width="15.90625" style="260" customWidth="1"/>
    <col min="5123" max="5123" width="30.453125" style="260" customWidth="1"/>
    <col min="5124" max="5124" width="22.453125" style="260" customWidth="1"/>
    <col min="5125" max="5125" width="11.453125" style="260" customWidth="1"/>
    <col min="5126" max="5126" width="8.453125" style="260" customWidth="1"/>
    <col min="5127" max="5127" width="14.453125" style="260" customWidth="1"/>
    <col min="5128" max="5129" width="11.08984375" style="260" customWidth="1"/>
    <col min="5130" max="5130" width="19.90625" style="260" customWidth="1"/>
    <col min="5131" max="5131" width="9.08984375" style="260"/>
    <col min="5132" max="5132" width="11" style="260" bestFit="1" customWidth="1"/>
    <col min="5133" max="5376" width="9.08984375" style="260"/>
    <col min="5377" max="5377" width="5.90625" style="260" customWidth="1"/>
    <col min="5378" max="5378" width="15.90625" style="260" customWidth="1"/>
    <col min="5379" max="5379" width="30.453125" style="260" customWidth="1"/>
    <col min="5380" max="5380" width="22.453125" style="260" customWidth="1"/>
    <col min="5381" max="5381" width="11.453125" style="260" customWidth="1"/>
    <col min="5382" max="5382" width="8.453125" style="260" customWidth="1"/>
    <col min="5383" max="5383" width="14.453125" style="260" customWidth="1"/>
    <col min="5384" max="5385" width="11.08984375" style="260" customWidth="1"/>
    <col min="5386" max="5386" width="19.90625" style="260" customWidth="1"/>
    <col min="5387" max="5387" width="9.08984375" style="260"/>
    <col min="5388" max="5388" width="11" style="260" bestFit="1" customWidth="1"/>
    <col min="5389" max="5632" width="9.08984375" style="260"/>
    <col min="5633" max="5633" width="5.90625" style="260" customWidth="1"/>
    <col min="5634" max="5634" width="15.90625" style="260" customWidth="1"/>
    <col min="5635" max="5635" width="30.453125" style="260" customWidth="1"/>
    <col min="5636" max="5636" width="22.453125" style="260" customWidth="1"/>
    <col min="5637" max="5637" width="11.453125" style="260" customWidth="1"/>
    <col min="5638" max="5638" width="8.453125" style="260" customWidth="1"/>
    <col min="5639" max="5639" width="14.453125" style="260" customWidth="1"/>
    <col min="5640" max="5641" width="11.08984375" style="260" customWidth="1"/>
    <col min="5642" max="5642" width="19.90625" style="260" customWidth="1"/>
    <col min="5643" max="5643" width="9.08984375" style="260"/>
    <col min="5644" max="5644" width="11" style="260" bestFit="1" customWidth="1"/>
    <col min="5645" max="5888" width="9.08984375" style="260"/>
    <col min="5889" max="5889" width="5.90625" style="260" customWidth="1"/>
    <col min="5890" max="5890" width="15.90625" style="260" customWidth="1"/>
    <col min="5891" max="5891" width="30.453125" style="260" customWidth="1"/>
    <col min="5892" max="5892" width="22.453125" style="260" customWidth="1"/>
    <col min="5893" max="5893" width="11.453125" style="260" customWidth="1"/>
    <col min="5894" max="5894" width="8.453125" style="260" customWidth="1"/>
    <col min="5895" max="5895" width="14.453125" style="260" customWidth="1"/>
    <col min="5896" max="5897" width="11.08984375" style="260" customWidth="1"/>
    <col min="5898" max="5898" width="19.90625" style="260" customWidth="1"/>
    <col min="5899" max="5899" width="9.08984375" style="260"/>
    <col min="5900" max="5900" width="11" style="260" bestFit="1" customWidth="1"/>
    <col min="5901" max="6144" width="9.08984375" style="260"/>
    <col min="6145" max="6145" width="5.90625" style="260" customWidth="1"/>
    <col min="6146" max="6146" width="15.90625" style="260" customWidth="1"/>
    <col min="6147" max="6147" width="30.453125" style="260" customWidth="1"/>
    <col min="6148" max="6148" width="22.453125" style="260" customWidth="1"/>
    <col min="6149" max="6149" width="11.453125" style="260" customWidth="1"/>
    <col min="6150" max="6150" width="8.453125" style="260" customWidth="1"/>
    <col min="6151" max="6151" width="14.453125" style="260" customWidth="1"/>
    <col min="6152" max="6153" width="11.08984375" style="260" customWidth="1"/>
    <col min="6154" max="6154" width="19.90625" style="260" customWidth="1"/>
    <col min="6155" max="6155" width="9.08984375" style="260"/>
    <col min="6156" max="6156" width="11" style="260" bestFit="1" customWidth="1"/>
    <col min="6157" max="6400" width="9.08984375" style="260"/>
    <col min="6401" max="6401" width="5.90625" style="260" customWidth="1"/>
    <col min="6402" max="6402" width="15.90625" style="260" customWidth="1"/>
    <col min="6403" max="6403" width="30.453125" style="260" customWidth="1"/>
    <col min="6404" max="6404" width="22.453125" style="260" customWidth="1"/>
    <col min="6405" max="6405" width="11.453125" style="260" customWidth="1"/>
    <col min="6406" max="6406" width="8.453125" style="260" customWidth="1"/>
    <col min="6407" max="6407" width="14.453125" style="260" customWidth="1"/>
    <col min="6408" max="6409" width="11.08984375" style="260" customWidth="1"/>
    <col min="6410" max="6410" width="19.90625" style="260" customWidth="1"/>
    <col min="6411" max="6411" width="9.08984375" style="260"/>
    <col min="6412" max="6412" width="11" style="260" bestFit="1" customWidth="1"/>
    <col min="6413" max="6656" width="9.08984375" style="260"/>
    <col min="6657" max="6657" width="5.90625" style="260" customWidth="1"/>
    <col min="6658" max="6658" width="15.90625" style="260" customWidth="1"/>
    <col min="6659" max="6659" width="30.453125" style="260" customWidth="1"/>
    <col min="6660" max="6660" width="22.453125" style="260" customWidth="1"/>
    <col min="6661" max="6661" width="11.453125" style="260" customWidth="1"/>
    <col min="6662" max="6662" width="8.453125" style="260" customWidth="1"/>
    <col min="6663" max="6663" width="14.453125" style="260" customWidth="1"/>
    <col min="6664" max="6665" width="11.08984375" style="260" customWidth="1"/>
    <col min="6666" max="6666" width="19.90625" style="260" customWidth="1"/>
    <col min="6667" max="6667" width="9.08984375" style="260"/>
    <col min="6668" max="6668" width="11" style="260" bestFit="1" customWidth="1"/>
    <col min="6669" max="6912" width="9.08984375" style="260"/>
    <col min="6913" max="6913" width="5.90625" style="260" customWidth="1"/>
    <col min="6914" max="6914" width="15.90625" style="260" customWidth="1"/>
    <col min="6915" max="6915" width="30.453125" style="260" customWidth="1"/>
    <col min="6916" max="6916" width="22.453125" style="260" customWidth="1"/>
    <col min="6917" max="6917" width="11.453125" style="260" customWidth="1"/>
    <col min="6918" max="6918" width="8.453125" style="260" customWidth="1"/>
    <col min="6919" max="6919" width="14.453125" style="260" customWidth="1"/>
    <col min="6920" max="6921" width="11.08984375" style="260" customWidth="1"/>
    <col min="6922" max="6922" width="19.90625" style="260" customWidth="1"/>
    <col min="6923" max="6923" width="9.08984375" style="260"/>
    <col min="6924" max="6924" width="11" style="260" bestFit="1" customWidth="1"/>
    <col min="6925" max="7168" width="9.08984375" style="260"/>
    <col min="7169" max="7169" width="5.90625" style="260" customWidth="1"/>
    <col min="7170" max="7170" width="15.90625" style="260" customWidth="1"/>
    <col min="7171" max="7171" width="30.453125" style="260" customWidth="1"/>
    <col min="7172" max="7172" width="22.453125" style="260" customWidth="1"/>
    <col min="7173" max="7173" width="11.453125" style="260" customWidth="1"/>
    <col min="7174" max="7174" width="8.453125" style="260" customWidth="1"/>
    <col min="7175" max="7175" width="14.453125" style="260" customWidth="1"/>
    <col min="7176" max="7177" width="11.08984375" style="260" customWidth="1"/>
    <col min="7178" max="7178" width="19.90625" style="260" customWidth="1"/>
    <col min="7179" max="7179" width="9.08984375" style="260"/>
    <col min="7180" max="7180" width="11" style="260" bestFit="1" customWidth="1"/>
    <col min="7181" max="7424" width="9.08984375" style="260"/>
    <col min="7425" max="7425" width="5.90625" style="260" customWidth="1"/>
    <col min="7426" max="7426" width="15.90625" style="260" customWidth="1"/>
    <col min="7427" max="7427" width="30.453125" style="260" customWidth="1"/>
    <col min="7428" max="7428" width="22.453125" style="260" customWidth="1"/>
    <col min="7429" max="7429" width="11.453125" style="260" customWidth="1"/>
    <col min="7430" max="7430" width="8.453125" style="260" customWidth="1"/>
    <col min="7431" max="7431" width="14.453125" style="260" customWidth="1"/>
    <col min="7432" max="7433" width="11.08984375" style="260" customWidth="1"/>
    <col min="7434" max="7434" width="19.90625" style="260" customWidth="1"/>
    <col min="7435" max="7435" width="9.08984375" style="260"/>
    <col min="7436" max="7436" width="11" style="260" bestFit="1" customWidth="1"/>
    <col min="7437" max="7680" width="9.08984375" style="260"/>
    <col min="7681" max="7681" width="5.90625" style="260" customWidth="1"/>
    <col min="7682" max="7682" width="15.90625" style="260" customWidth="1"/>
    <col min="7683" max="7683" width="30.453125" style="260" customWidth="1"/>
    <col min="7684" max="7684" width="22.453125" style="260" customWidth="1"/>
    <col min="7685" max="7685" width="11.453125" style="260" customWidth="1"/>
    <col min="7686" max="7686" width="8.453125" style="260" customWidth="1"/>
    <col min="7687" max="7687" width="14.453125" style="260" customWidth="1"/>
    <col min="7688" max="7689" width="11.08984375" style="260" customWidth="1"/>
    <col min="7690" max="7690" width="19.90625" style="260" customWidth="1"/>
    <col min="7691" max="7691" width="9.08984375" style="260"/>
    <col min="7692" max="7692" width="11" style="260" bestFit="1" customWidth="1"/>
    <col min="7693" max="7936" width="9.08984375" style="260"/>
    <col min="7937" max="7937" width="5.90625" style="260" customWidth="1"/>
    <col min="7938" max="7938" width="15.90625" style="260" customWidth="1"/>
    <col min="7939" max="7939" width="30.453125" style="260" customWidth="1"/>
    <col min="7940" max="7940" width="22.453125" style="260" customWidth="1"/>
    <col min="7941" max="7941" width="11.453125" style="260" customWidth="1"/>
    <col min="7942" max="7942" width="8.453125" style="260" customWidth="1"/>
    <col min="7943" max="7943" width="14.453125" style="260" customWidth="1"/>
    <col min="7944" max="7945" width="11.08984375" style="260" customWidth="1"/>
    <col min="7946" max="7946" width="19.90625" style="260" customWidth="1"/>
    <col min="7947" max="7947" width="9.08984375" style="260"/>
    <col min="7948" max="7948" width="11" style="260" bestFit="1" customWidth="1"/>
    <col min="7949" max="8192" width="9.08984375" style="260"/>
    <col min="8193" max="8193" width="5.90625" style="260" customWidth="1"/>
    <col min="8194" max="8194" width="15.90625" style="260" customWidth="1"/>
    <col min="8195" max="8195" width="30.453125" style="260" customWidth="1"/>
    <col min="8196" max="8196" width="22.453125" style="260" customWidth="1"/>
    <col min="8197" max="8197" width="11.453125" style="260" customWidth="1"/>
    <col min="8198" max="8198" width="8.453125" style="260" customWidth="1"/>
    <col min="8199" max="8199" width="14.453125" style="260" customWidth="1"/>
    <col min="8200" max="8201" width="11.08984375" style="260" customWidth="1"/>
    <col min="8202" max="8202" width="19.90625" style="260" customWidth="1"/>
    <col min="8203" max="8203" width="9.08984375" style="260"/>
    <col min="8204" max="8204" width="11" style="260" bestFit="1" customWidth="1"/>
    <col min="8205" max="8448" width="9.08984375" style="260"/>
    <col min="8449" max="8449" width="5.90625" style="260" customWidth="1"/>
    <col min="8450" max="8450" width="15.90625" style="260" customWidth="1"/>
    <col min="8451" max="8451" width="30.453125" style="260" customWidth="1"/>
    <col min="8452" max="8452" width="22.453125" style="260" customWidth="1"/>
    <col min="8453" max="8453" width="11.453125" style="260" customWidth="1"/>
    <col min="8454" max="8454" width="8.453125" style="260" customWidth="1"/>
    <col min="8455" max="8455" width="14.453125" style="260" customWidth="1"/>
    <col min="8456" max="8457" width="11.08984375" style="260" customWidth="1"/>
    <col min="8458" max="8458" width="19.90625" style="260" customWidth="1"/>
    <col min="8459" max="8459" width="9.08984375" style="260"/>
    <col min="8460" max="8460" width="11" style="260" bestFit="1" customWidth="1"/>
    <col min="8461" max="8704" width="9.08984375" style="260"/>
    <col min="8705" max="8705" width="5.90625" style="260" customWidth="1"/>
    <col min="8706" max="8706" width="15.90625" style="260" customWidth="1"/>
    <col min="8707" max="8707" width="30.453125" style="260" customWidth="1"/>
    <col min="8708" max="8708" width="22.453125" style="260" customWidth="1"/>
    <col min="8709" max="8709" width="11.453125" style="260" customWidth="1"/>
    <col min="8710" max="8710" width="8.453125" style="260" customWidth="1"/>
    <col min="8711" max="8711" width="14.453125" style="260" customWidth="1"/>
    <col min="8712" max="8713" width="11.08984375" style="260" customWidth="1"/>
    <col min="8714" max="8714" width="19.90625" style="260" customWidth="1"/>
    <col min="8715" max="8715" width="9.08984375" style="260"/>
    <col min="8716" max="8716" width="11" style="260" bestFit="1" customWidth="1"/>
    <col min="8717" max="8960" width="9.08984375" style="260"/>
    <col min="8961" max="8961" width="5.90625" style="260" customWidth="1"/>
    <col min="8962" max="8962" width="15.90625" style="260" customWidth="1"/>
    <col min="8963" max="8963" width="30.453125" style="260" customWidth="1"/>
    <col min="8964" max="8964" width="22.453125" style="260" customWidth="1"/>
    <col min="8965" max="8965" width="11.453125" style="260" customWidth="1"/>
    <col min="8966" max="8966" width="8.453125" style="260" customWidth="1"/>
    <col min="8967" max="8967" width="14.453125" style="260" customWidth="1"/>
    <col min="8968" max="8969" width="11.08984375" style="260" customWidth="1"/>
    <col min="8970" max="8970" width="19.90625" style="260" customWidth="1"/>
    <col min="8971" max="8971" width="9.08984375" style="260"/>
    <col min="8972" max="8972" width="11" style="260" bestFit="1" customWidth="1"/>
    <col min="8973" max="9216" width="9.08984375" style="260"/>
    <col min="9217" max="9217" width="5.90625" style="260" customWidth="1"/>
    <col min="9218" max="9218" width="15.90625" style="260" customWidth="1"/>
    <col min="9219" max="9219" width="30.453125" style="260" customWidth="1"/>
    <col min="9220" max="9220" width="22.453125" style="260" customWidth="1"/>
    <col min="9221" max="9221" width="11.453125" style="260" customWidth="1"/>
    <col min="9222" max="9222" width="8.453125" style="260" customWidth="1"/>
    <col min="9223" max="9223" width="14.453125" style="260" customWidth="1"/>
    <col min="9224" max="9225" width="11.08984375" style="260" customWidth="1"/>
    <col min="9226" max="9226" width="19.90625" style="260" customWidth="1"/>
    <col min="9227" max="9227" width="9.08984375" style="260"/>
    <col min="9228" max="9228" width="11" style="260" bestFit="1" customWidth="1"/>
    <col min="9229" max="9472" width="9.08984375" style="260"/>
    <col min="9473" max="9473" width="5.90625" style="260" customWidth="1"/>
    <col min="9474" max="9474" width="15.90625" style="260" customWidth="1"/>
    <col min="9475" max="9475" width="30.453125" style="260" customWidth="1"/>
    <col min="9476" max="9476" width="22.453125" style="260" customWidth="1"/>
    <col min="9477" max="9477" width="11.453125" style="260" customWidth="1"/>
    <col min="9478" max="9478" width="8.453125" style="260" customWidth="1"/>
    <col min="9479" max="9479" width="14.453125" style="260" customWidth="1"/>
    <col min="9480" max="9481" width="11.08984375" style="260" customWidth="1"/>
    <col min="9482" max="9482" width="19.90625" style="260" customWidth="1"/>
    <col min="9483" max="9483" width="9.08984375" style="260"/>
    <col min="9484" max="9484" width="11" style="260" bestFit="1" customWidth="1"/>
    <col min="9485" max="9728" width="9.08984375" style="260"/>
    <col min="9729" max="9729" width="5.90625" style="260" customWidth="1"/>
    <col min="9730" max="9730" width="15.90625" style="260" customWidth="1"/>
    <col min="9731" max="9731" width="30.453125" style="260" customWidth="1"/>
    <col min="9732" max="9732" width="22.453125" style="260" customWidth="1"/>
    <col min="9733" max="9733" width="11.453125" style="260" customWidth="1"/>
    <col min="9734" max="9734" width="8.453125" style="260" customWidth="1"/>
    <col min="9735" max="9735" width="14.453125" style="260" customWidth="1"/>
    <col min="9736" max="9737" width="11.08984375" style="260" customWidth="1"/>
    <col min="9738" max="9738" width="19.90625" style="260" customWidth="1"/>
    <col min="9739" max="9739" width="9.08984375" style="260"/>
    <col min="9740" max="9740" width="11" style="260" bestFit="1" customWidth="1"/>
    <col min="9741" max="9984" width="9.08984375" style="260"/>
    <col min="9985" max="9985" width="5.90625" style="260" customWidth="1"/>
    <col min="9986" max="9986" width="15.90625" style="260" customWidth="1"/>
    <col min="9987" max="9987" width="30.453125" style="260" customWidth="1"/>
    <col min="9988" max="9988" width="22.453125" style="260" customWidth="1"/>
    <col min="9989" max="9989" width="11.453125" style="260" customWidth="1"/>
    <col min="9990" max="9990" width="8.453125" style="260" customWidth="1"/>
    <col min="9991" max="9991" width="14.453125" style="260" customWidth="1"/>
    <col min="9992" max="9993" width="11.08984375" style="260" customWidth="1"/>
    <col min="9994" max="9994" width="19.90625" style="260" customWidth="1"/>
    <col min="9995" max="9995" width="9.08984375" style="260"/>
    <col min="9996" max="9996" width="11" style="260" bestFit="1" customWidth="1"/>
    <col min="9997" max="10240" width="9.08984375" style="260"/>
    <col min="10241" max="10241" width="5.90625" style="260" customWidth="1"/>
    <col min="10242" max="10242" width="15.90625" style="260" customWidth="1"/>
    <col min="10243" max="10243" width="30.453125" style="260" customWidth="1"/>
    <col min="10244" max="10244" width="22.453125" style="260" customWidth="1"/>
    <col min="10245" max="10245" width="11.453125" style="260" customWidth="1"/>
    <col min="10246" max="10246" width="8.453125" style="260" customWidth="1"/>
    <col min="10247" max="10247" width="14.453125" style="260" customWidth="1"/>
    <col min="10248" max="10249" width="11.08984375" style="260" customWidth="1"/>
    <col min="10250" max="10250" width="19.90625" style="260" customWidth="1"/>
    <col min="10251" max="10251" width="9.08984375" style="260"/>
    <col min="10252" max="10252" width="11" style="260" bestFit="1" customWidth="1"/>
    <col min="10253" max="10496" width="9.08984375" style="260"/>
    <col min="10497" max="10497" width="5.90625" style="260" customWidth="1"/>
    <col min="10498" max="10498" width="15.90625" style="260" customWidth="1"/>
    <col min="10499" max="10499" width="30.453125" style="260" customWidth="1"/>
    <col min="10500" max="10500" width="22.453125" style="260" customWidth="1"/>
    <col min="10501" max="10501" width="11.453125" style="260" customWidth="1"/>
    <col min="10502" max="10502" width="8.453125" style="260" customWidth="1"/>
    <col min="10503" max="10503" width="14.453125" style="260" customWidth="1"/>
    <col min="10504" max="10505" width="11.08984375" style="260" customWidth="1"/>
    <col min="10506" max="10506" width="19.90625" style="260" customWidth="1"/>
    <col min="10507" max="10507" width="9.08984375" style="260"/>
    <col min="10508" max="10508" width="11" style="260" bestFit="1" customWidth="1"/>
    <col min="10509" max="10752" width="9.08984375" style="260"/>
    <col min="10753" max="10753" width="5.90625" style="260" customWidth="1"/>
    <col min="10754" max="10754" width="15.90625" style="260" customWidth="1"/>
    <col min="10755" max="10755" width="30.453125" style="260" customWidth="1"/>
    <col min="10756" max="10756" width="22.453125" style="260" customWidth="1"/>
    <col min="10757" max="10757" width="11.453125" style="260" customWidth="1"/>
    <col min="10758" max="10758" width="8.453125" style="260" customWidth="1"/>
    <col min="10759" max="10759" width="14.453125" style="260" customWidth="1"/>
    <col min="10760" max="10761" width="11.08984375" style="260" customWidth="1"/>
    <col min="10762" max="10762" width="19.90625" style="260" customWidth="1"/>
    <col min="10763" max="10763" width="9.08984375" style="260"/>
    <col min="10764" max="10764" width="11" style="260" bestFit="1" customWidth="1"/>
    <col min="10765" max="11008" width="9.08984375" style="260"/>
    <col min="11009" max="11009" width="5.90625" style="260" customWidth="1"/>
    <col min="11010" max="11010" width="15.90625" style="260" customWidth="1"/>
    <col min="11011" max="11011" width="30.453125" style="260" customWidth="1"/>
    <col min="11012" max="11012" width="22.453125" style="260" customWidth="1"/>
    <col min="11013" max="11013" width="11.453125" style="260" customWidth="1"/>
    <col min="11014" max="11014" width="8.453125" style="260" customWidth="1"/>
    <col min="11015" max="11015" width="14.453125" style="260" customWidth="1"/>
    <col min="11016" max="11017" width="11.08984375" style="260" customWidth="1"/>
    <col min="11018" max="11018" width="19.90625" style="260" customWidth="1"/>
    <col min="11019" max="11019" width="9.08984375" style="260"/>
    <col min="11020" max="11020" width="11" style="260" bestFit="1" customWidth="1"/>
    <col min="11021" max="11264" width="9.08984375" style="260"/>
    <col min="11265" max="11265" width="5.90625" style="260" customWidth="1"/>
    <col min="11266" max="11266" width="15.90625" style="260" customWidth="1"/>
    <col min="11267" max="11267" width="30.453125" style="260" customWidth="1"/>
    <col min="11268" max="11268" width="22.453125" style="260" customWidth="1"/>
    <col min="11269" max="11269" width="11.453125" style="260" customWidth="1"/>
    <col min="11270" max="11270" width="8.453125" style="260" customWidth="1"/>
    <col min="11271" max="11271" width="14.453125" style="260" customWidth="1"/>
    <col min="11272" max="11273" width="11.08984375" style="260" customWidth="1"/>
    <col min="11274" max="11274" width="19.90625" style="260" customWidth="1"/>
    <col min="11275" max="11275" width="9.08984375" style="260"/>
    <col min="11276" max="11276" width="11" style="260" bestFit="1" customWidth="1"/>
    <col min="11277" max="11520" width="9.08984375" style="260"/>
    <col min="11521" max="11521" width="5.90625" style="260" customWidth="1"/>
    <col min="11522" max="11522" width="15.90625" style="260" customWidth="1"/>
    <col min="11523" max="11523" width="30.453125" style="260" customWidth="1"/>
    <col min="11524" max="11524" width="22.453125" style="260" customWidth="1"/>
    <col min="11525" max="11525" width="11.453125" style="260" customWidth="1"/>
    <col min="11526" max="11526" width="8.453125" style="260" customWidth="1"/>
    <col min="11527" max="11527" width="14.453125" style="260" customWidth="1"/>
    <col min="11528" max="11529" width="11.08984375" style="260" customWidth="1"/>
    <col min="11530" max="11530" width="19.90625" style="260" customWidth="1"/>
    <col min="11531" max="11531" width="9.08984375" style="260"/>
    <col min="11532" max="11532" width="11" style="260" bestFit="1" customWidth="1"/>
    <col min="11533" max="11776" width="9.08984375" style="260"/>
    <col min="11777" max="11777" width="5.90625" style="260" customWidth="1"/>
    <col min="11778" max="11778" width="15.90625" style="260" customWidth="1"/>
    <col min="11779" max="11779" width="30.453125" style="260" customWidth="1"/>
    <col min="11780" max="11780" width="22.453125" style="260" customWidth="1"/>
    <col min="11781" max="11781" width="11.453125" style="260" customWidth="1"/>
    <col min="11782" max="11782" width="8.453125" style="260" customWidth="1"/>
    <col min="11783" max="11783" width="14.453125" style="260" customWidth="1"/>
    <col min="11784" max="11785" width="11.08984375" style="260" customWidth="1"/>
    <col min="11786" max="11786" width="19.90625" style="260" customWidth="1"/>
    <col min="11787" max="11787" width="9.08984375" style="260"/>
    <col min="11788" max="11788" width="11" style="260" bestFit="1" customWidth="1"/>
    <col min="11789" max="12032" width="9.08984375" style="260"/>
    <col min="12033" max="12033" width="5.90625" style="260" customWidth="1"/>
    <col min="12034" max="12034" width="15.90625" style="260" customWidth="1"/>
    <col min="12035" max="12035" width="30.453125" style="260" customWidth="1"/>
    <col min="12036" max="12036" width="22.453125" style="260" customWidth="1"/>
    <col min="12037" max="12037" width="11.453125" style="260" customWidth="1"/>
    <col min="12038" max="12038" width="8.453125" style="260" customWidth="1"/>
    <col min="12039" max="12039" width="14.453125" style="260" customWidth="1"/>
    <col min="12040" max="12041" width="11.08984375" style="260" customWidth="1"/>
    <col min="12042" max="12042" width="19.90625" style="260" customWidth="1"/>
    <col min="12043" max="12043" width="9.08984375" style="260"/>
    <col min="12044" max="12044" width="11" style="260" bestFit="1" customWidth="1"/>
    <col min="12045" max="12288" width="9.08984375" style="260"/>
    <col min="12289" max="12289" width="5.90625" style="260" customWidth="1"/>
    <col min="12290" max="12290" width="15.90625" style="260" customWidth="1"/>
    <col min="12291" max="12291" width="30.453125" style="260" customWidth="1"/>
    <col min="12292" max="12292" width="22.453125" style="260" customWidth="1"/>
    <col min="12293" max="12293" width="11.453125" style="260" customWidth="1"/>
    <col min="12294" max="12294" width="8.453125" style="260" customWidth="1"/>
    <col min="12295" max="12295" width="14.453125" style="260" customWidth="1"/>
    <col min="12296" max="12297" width="11.08984375" style="260" customWidth="1"/>
    <col min="12298" max="12298" width="19.90625" style="260" customWidth="1"/>
    <col min="12299" max="12299" width="9.08984375" style="260"/>
    <col min="12300" max="12300" width="11" style="260" bestFit="1" customWidth="1"/>
    <col min="12301" max="12544" width="9.08984375" style="260"/>
    <col min="12545" max="12545" width="5.90625" style="260" customWidth="1"/>
    <col min="12546" max="12546" width="15.90625" style="260" customWidth="1"/>
    <col min="12547" max="12547" width="30.453125" style="260" customWidth="1"/>
    <col min="12548" max="12548" width="22.453125" style="260" customWidth="1"/>
    <col min="12549" max="12549" width="11.453125" style="260" customWidth="1"/>
    <col min="12550" max="12550" width="8.453125" style="260" customWidth="1"/>
    <col min="12551" max="12551" width="14.453125" style="260" customWidth="1"/>
    <col min="12552" max="12553" width="11.08984375" style="260" customWidth="1"/>
    <col min="12554" max="12554" width="19.90625" style="260" customWidth="1"/>
    <col min="12555" max="12555" width="9.08984375" style="260"/>
    <col min="12556" max="12556" width="11" style="260" bestFit="1" customWidth="1"/>
    <col min="12557" max="12800" width="9.08984375" style="260"/>
    <col min="12801" max="12801" width="5.90625" style="260" customWidth="1"/>
    <col min="12802" max="12802" width="15.90625" style="260" customWidth="1"/>
    <col min="12803" max="12803" width="30.453125" style="260" customWidth="1"/>
    <col min="12804" max="12804" width="22.453125" style="260" customWidth="1"/>
    <col min="12805" max="12805" width="11.453125" style="260" customWidth="1"/>
    <col min="12806" max="12806" width="8.453125" style="260" customWidth="1"/>
    <col min="12807" max="12807" width="14.453125" style="260" customWidth="1"/>
    <col min="12808" max="12809" width="11.08984375" style="260" customWidth="1"/>
    <col min="12810" max="12810" width="19.90625" style="260" customWidth="1"/>
    <col min="12811" max="12811" width="9.08984375" style="260"/>
    <col min="12812" max="12812" width="11" style="260" bestFit="1" customWidth="1"/>
    <col min="12813" max="13056" width="9.08984375" style="260"/>
    <col min="13057" max="13057" width="5.90625" style="260" customWidth="1"/>
    <col min="13058" max="13058" width="15.90625" style="260" customWidth="1"/>
    <col min="13059" max="13059" width="30.453125" style="260" customWidth="1"/>
    <col min="13060" max="13060" width="22.453125" style="260" customWidth="1"/>
    <col min="13061" max="13061" width="11.453125" style="260" customWidth="1"/>
    <col min="13062" max="13062" width="8.453125" style="260" customWidth="1"/>
    <col min="13063" max="13063" width="14.453125" style="260" customWidth="1"/>
    <col min="13064" max="13065" width="11.08984375" style="260" customWidth="1"/>
    <col min="13066" max="13066" width="19.90625" style="260" customWidth="1"/>
    <col min="13067" max="13067" width="9.08984375" style="260"/>
    <col min="13068" max="13068" width="11" style="260" bestFit="1" customWidth="1"/>
    <col min="13069" max="13312" width="9.08984375" style="260"/>
    <col min="13313" max="13313" width="5.90625" style="260" customWidth="1"/>
    <col min="13314" max="13314" width="15.90625" style="260" customWidth="1"/>
    <col min="13315" max="13315" width="30.453125" style="260" customWidth="1"/>
    <col min="13316" max="13316" width="22.453125" style="260" customWidth="1"/>
    <col min="13317" max="13317" width="11.453125" style="260" customWidth="1"/>
    <col min="13318" max="13318" width="8.453125" style="260" customWidth="1"/>
    <col min="13319" max="13319" width="14.453125" style="260" customWidth="1"/>
    <col min="13320" max="13321" width="11.08984375" style="260" customWidth="1"/>
    <col min="13322" max="13322" width="19.90625" style="260" customWidth="1"/>
    <col min="13323" max="13323" width="9.08984375" style="260"/>
    <col min="13324" max="13324" width="11" style="260" bestFit="1" customWidth="1"/>
    <col min="13325" max="13568" width="9.08984375" style="260"/>
    <col min="13569" max="13569" width="5.90625" style="260" customWidth="1"/>
    <col min="13570" max="13570" width="15.90625" style="260" customWidth="1"/>
    <col min="13571" max="13571" width="30.453125" style="260" customWidth="1"/>
    <col min="13572" max="13572" width="22.453125" style="260" customWidth="1"/>
    <col min="13573" max="13573" width="11.453125" style="260" customWidth="1"/>
    <col min="13574" max="13574" width="8.453125" style="260" customWidth="1"/>
    <col min="13575" max="13575" width="14.453125" style="260" customWidth="1"/>
    <col min="13576" max="13577" width="11.08984375" style="260" customWidth="1"/>
    <col min="13578" max="13578" width="19.90625" style="260" customWidth="1"/>
    <col min="13579" max="13579" width="9.08984375" style="260"/>
    <col min="13580" max="13580" width="11" style="260" bestFit="1" customWidth="1"/>
    <col min="13581" max="13824" width="9.08984375" style="260"/>
    <col min="13825" max="13825" width="5.90625" style="260" customWidth="1"/>
    <col min="13826" max="13826" width="15.90625" style="260" customWidth="1"/>
    <col min="13827" max="13827" width="30.453125" style="260" customWidth="1"/>
    <col min="13828" max="13828" width="22.453125" style="260" customWidth="1"/>
    <col min="13829" max="13829" width="11.453125" style="260" customWidth="1"/>
    <col min="13830" max="13830" width="8.453125" style="260" customWidth="1"/>
    <col min="13831" max="13831" width="14.453125" style="260" customWidth="1"/>
    <col min="13832" max="13833" width="11.08984375" style="260" customWidth="1"/>
    <col min="13834" max="13834" width="19.90625" style="260" customWidth="1"/>
    <col min="13835" max="13835" width="9.08984375" style="260"/>
    <col min="13836" max="13836" width="11" style="260" bestFit="1" customWidth="1"/>
    <col min="13837" max="14080" width="9.08984375" style="260"/>
    <col min="14081" max="14081" width="5.90625" style="260" customWidth="1"/>
    <col min="14082" max="14082" width="15.90625" style="260" customWidth="1"/>
    <col min="14083" max="14083" width="30.453125" style="260" customWidth="1"/>
    <col min="14084" max="14084" width="22.453125" style="260" customWidth="1"/>
    <col min="14085" max="14085" width="11.453125" style="260" customWidth="1"/>
    <col min="14086" max="14086" width="8.453125" style="260" customWidth="1"/>
    <col min="14087" max="14087" width="14.453125" style="260" customWidth="1"/>
    <col min="14088" max="14089" width="11.08984375" style="260" customWidth="1"/>
    <col min="14090" max="14090" width="19.90625" style="260" customWidth="1"/>
    <col min="14091" max="14091" width="9.08984375" style="260"/>
    <col min="14092" max="14092" width="11" style="260" bestFit="1" customWidth="1"/>
    <col min="14093" max="14336" width="9.08984375" style="260"/>
    <col min="14337" max="14337" width="5.90625" style="260" customWidth="1"/>
    <col min="14338" max="14338" width="15.90625" style="260" customWidth="1"/>
    <col min="14339" max="14339" width="30.453125" style="260" customWidth="1"/>
    <col min="14340" max="14340" width="22.453125" style="260" customWidth="1"/>
    <col min="14341" max="14341" width="11.453125" style="260" customWidth="1"/>
    <col min="14342" max="14342" width="8.453125" style="260" customWidth="1"/>
    <col min="14343" max="14343" width="14.453125" style="260" customWidth="1"/>
    <col min="14344" max="14345" width="11.08984375" style="260" customWidth="1"/>
    <col min="14346" max="14346" width="19.90625" style="260" customWidth="1"/>
    <col min="14347" max="14347" width="9.08984375" style="260"/>
    <col min="14348" max="14348" width="11" style="260" bestFit="1" customWidth="1"/>
    <col min="14349" max="14592" width="9.08984375" style="260"/>
    <col min="14593" max="14593" width="5.90625" style="260" customWidth="1"/>
    <col min="14594" max="14594" width="15.90625" style="260" customWidth="1"/>
    <col min="14595" max="14595" width="30.453125" style="260" customWidth="1"/>
    <col min="14596" max="14596" width="22.453125" style="260" customWidth="1"/>
    <col min="14597" max="14597" width="11.453125" style="260" customWidth="1"/>
    <col min="14598" max="14598" width="8.453125" style="260" customWidth="1"/>
    <col min="14599" max="14599" width="14.453125" style="260" customWidth="1"/>
    <col min="14600" max="14601" width="11.08984375" style="260" customWidth="1"/>
    <col min="14602" max="14602" width="19.90625" style="260" customWidth="1"/>
    <col min="14603" max="14603" width="9.08984375" style="260"/>
    <col min="14604" max="14604" width="11" style="260" bestFit="1" customWidth="1"/>
    <col min="14605" max="14848" width="9.08984375" style="260"/>
    <col min="14849" max="14849" width="5.90625" style="260" customWidth="1"/>
    <col min="14850" max="14850" width="15.90625" style="260" customWidth="1"/>
    <col min="14851" max="14851" width="30.453125" style="260" customWidth="1"/>
    <col min="14852" max="14852" width="22.453125" style="260" customWidth="1"/>
    <col min="14853" max="14853" width="11.453125" style="260" customWidth="1"/>
    <col min="14854" max="14854" width="8.453125" style="260" customWidth="1"/>
    <col min="14855" max="14855" width="14.453125" style="260" customWidth="1"/>
    <col min="14856" max="14857" width="11.08984375" style="260" customWidth="1"/>
    <col min="14858" max="14858" width="19.90625" style="260" customWidth="1"/>
    <col min="14859" max="14859" width="9.08984375" style="260"/>
    <col min="14860" max="14860" width="11" style="260" bestFit="1" customWidth="1"/>
    <col min="14861" max="15104" width="9.08984375" style="260"/>
    <col min="15105" max="15105" width="5.90625" style="260" customWidth="1"/>
    <col min="15106" max="15106" width="15.90625" style="260" customWidth="1"/>
    <col min="15107" max="15107" width="30.453125" style="260" customWidth="1"/>
    <col min="15108" max="15108" width="22.453125" style="260" customWidth="1"/>
    <col min="15109" max="15109" width="11.453125" style="260" customWidth="1"/>
    <col min="15110" max="15110" width="8.453125" style="260" customWidth="1"/>
    <col min="15111" max="15111" width="14.453125" style="260" customWidth="1"/>
    <col min="15112" max="15113" width="11.08984375" style="260" customWidth="1"/>
    <col min="15114" max="15114" width="19.90625" style="260" customWidth="1"/>
    <col min="15115" max="15115" width="9.08984375" style="260"/>
    <col min="15116" max="15116" width="11" style="260" bestFit="1" customWidth="1"/>
    <col min="15117" max="15360" width="9.08984375" style="260"/>
    <col min="15361" max="15361" width="5.90625" style="260" customWidth="1"/>
    <col min="15362" max="15362" width="15.90625" style="260" customWidth="1"/>
    <col min="15363" max="15363" width="30.453125" style="260" customWidth="1"/>
    <col min="15364" max="15364" width="22.453125" style="260" customWidth="1"/>
    <col min="15365" max="15365" width="11.453125" style="260" customWidth="1"/>
    <col min="15366" max="15366" width="8.453125" style="260" customWidth="1"/>
    <col min="15367" max="15367" width="14.453125" style="260" customWidth="1"/>
    <col min="15368" max="15369" width="11.08984375" style="260" customWidth="1"/>
    <col min="15370" max="15370" width="19.90625" style="260" customWidth="1"/>
    <col min="15371" max="15371" width="9.08984375" style="260"/>
    <col min="15372" max="15372" width="11" style="260" bestFit="1" customWidth="1"/>
    <col min="15373" max="15616" width="9.08984375" style="260"/>
    <col min="15617" max="15617" width="5.90625" style="260" customWidth="1"/>
    <col min="15618" max="15618" width="15.90625" style="260" customWidth="1"/>
    <col min="15619" max="15619" width="30.453125" style="260" customWidth="1"/>
    <col min="15620" max="15620" width="22.453125" style="260" customWidth="1"/>
    <col min="15621" max="15621" width="11.453125" style="260" customWidth="1"/>
    <col min="15622" max="15622" width="8.453125" style="260" customWidth="1"/>
    <col min="15623" max="15623" width="14.453125" style="260" customWidth="1"/>
    <col min="15624" max="15625" width="11.08984375" style="260" customWidth="1"/>
    <col min="15626" max="15626" width="19.90625" style="260" customWidth="1"/>
    <col min="15627" max="15627" width="9.08984375" style="260"/>
    <col min="15628" max="15628" width="11" style="260" bestFit="1" customWidth="1"/>
    <col min="15629" max="15872" width="9.08984375" style="260"/>
    <col min="15873" max="15873" width="5.90625" style="260" customWidth="1"/>
    <col min="15874" max="15874" width="15.90625" style="260" customWidth="1"/>
    <col min="15875" max="15875" width="30.453125" style="260" customWidth="1"/>
    <col min="15876" max="15876" width="22.453125" style="260" customWidth="1"/>
    <col min="15877" max="15877" width="11.453125" style="260" customWidth="1"/>
    <col min="15878" max="15878" width="8.453125" style="260" customWidth="1"/>
    <col min="15879" max="15879" width="14.453125" style="260" customWidth="1"/>
    <col min="15880" max="15881" width="11.08984375" style="260" customWidth="1"/>
    <col min="15882" max="15882" width="19.90625" style="260" customWidth="1"/>
    <col min="15883" max="15883" width="9.08984375" style="260"/>
    <col min="15884" max="15884" width="11" style="260" bestFit="1" customWidth="1"/>
    <col min="15885" max="16128" width="9.08984375" style="260"/>
    <col min="16129" max="16129" width="5.90625" style="260" customWidth="1"/>
    <col min="16130" max="16130" width="15.90625" style="260" customWidth="1"/>
    <col min="16131" max="16131" width="30.453125" style="260" customWidth="1"/>
    <col min="16132" max="16132" width="22.453125" style="260" customWidth="1"/>
    <col min="16133" max="16133" width="11.453125" style="260" customWidth="1"/>
    <col min="16134" max="16134" width="8.453125" style="260" customWidth="1"/>
    <col min="16135" max="16135" width="14.453125" style="260" customWidth="1"/>
    <col min="16136" max="16137" width="11.08984375" style="260" customWidth="1"/>
    <col min="16138" max="16138" width="19.90625" style="260" customWidth="1"/>
    <col min="16139" max="16139" width="9.08984375" style="260"/>
    <col min="16140" max="16140" width="11" style="260" bestFit="1" customWidth="1"/>
    <col min="16141" max="16384" width="9.08984375" style="260"/>
  </cols>
  <sheetData>
    <row r="1" spans="1:10" ht="23.25" customHeight="1">
      <c r="A1" s="687" t="s">
        <v>50</v>
      </c>
      <c r="B1" s="687"/>
      <c r="C1" s="687"/>
      <c r="D1" s="687"/>
      <c r="E1" s="687"/>
      <c r="F1" s="687"/>
      <c r="G1" s="687"/>
      <c r="H1" s="687"/>
      <c r="I1" s="259"/>
    </row>
    <row r="2" spans="1:10" s="266" customFormat="1" ht="33.75" hidden="1" customHeight="1">
      <c r="A2" s="261" t="s">
        <v>51</v>
      </c>
      <c r="B2" s="262" t="s">
        <v>52</v>
      </c>
      <c r="C2" s="262" t="s">
        <v>53</v>
      </c>
      <c r="D2" s="262" t="s">
        <v>54</v>
      </c>
      <c r="E2" s="261" t="s">
        <v>2244</v>
      </c>
      <c r="F2" s="261" t="s">
        <v>56</v>
      </c>
      <c r="G2" s="263" t="s">
        <v>57</v>
      </c>
      <c r="H2" s="264" t="s">
        <v>58</v>
      </c>
      <c r="I2" s="265"/>
    </row>
    <row r="3" spans="1:10" s="273" customFormat="1" ht="25" hidden="1" customHeight="1">
      <c r="A3" s="267"/>
      <c r="B3" s="268"/>
      <c r="C3" s="269" t="s">
        <v>59</v>
      </c>
      <c r="D3" s="268"/>
      <c r="E3" s="270"/>
      <c r="F3" s="268"/>
      <c r="G3" s="271"/>
      <c r="H3" s="272"/>
      <c r="I3" s="271"/>
    </row>
    <row r="4" spans="1:10" ht="32.25" hidden="1" customHeight="1">
      <c r="A4" s="274"/>
      <c r="B4" s="275"/>
      <c r="C4" s="276" t="s">
        <v>60</v>
      </c>
      <c r="D4" s="277"/>
      <c r="E4" s="278" t="s">
        <v>61</v>
      </c>
      <c r="F4" s="277"/>
      <c r="G4" s="279"/>
      <c r="H4" s="280"/>
      <c r="I4" s="279"/>
    </row>
    <row r="5" spans="1:10" ht="25" hidden="1" customHeight="1">
      <c r="A5" s="281"/>
      <c r="B5" s="282" t="s">
        <v>62</v>
      </c>
      <c r="C5" s="283" t="s">
        <v>60</v>
      </c>
      <c r="D5" s="284" t="s">
        <v>63</v>
      </c>
      <c r="E5" s="285"/>
      <c r="F5" s="285" t="s">
        <v>31</v>
      </c>
      <c r="G5" s="286">
        <v>70000</v>
      </c>
      <c r="H5" s="287">
        <v>1</v>
      </c>
      <c r="I5" s="288">
        <f>+G5</f>
        <v>70000</v>
      </c>
      <c r="J5" s="260" t="s">
        <v>64</v>
      </c>
    </row>
    <row r="6" spans="1:10" ht="25" hidden="1" customHeight="1">
      <c r="A6" s="289"/>
      <c r="B6" s="290" t="s">
        <v>65</v>
      </c>
      <c r="C6" s="291" t="s">
        <v>60</v>
      </c>
      <c r="D6" s="292" t="s">
        <v>66</v>
      </c>
      <c r="E6" s="293">
        <v>10</v>
      </c>
      <c r="F6" s="293" t="s">
        <v>39</v>
      </c>
      <c r="G6" s="294">
        <v>200000</v>
      </c>
      <c r="H6" s="287">
        <v>1</v>
      </c>
      <c r="I6" s="295">
        <f>+G6/E6</f>
        <v>20000</v>
      </c>
      <c r="J6" s="260" t="s">
        <v>64</v>
      </c>
    </row>
    <row r="7" spans="1:10" ht="25" hidden="1" customHeight="1">
      <c r="A7" s="289"/>
      <c r="B7" s="290" t="s">
        <v>67</v>
      </c>
      <c r="C7" s="291" t="s">
        <v>60</v>
      </c>
      <c r="D7" s="292" t="s">
        <v>68</v>
      </c>
      <c r="E7" s="293">
        <v>10</v>
      </c>
      <c r="F7" s="293" t="s">
        <v>39</v>
      </c>
      <c r="G7" s="294">
        <v>500000</v>
      </c>
      <c r="H7" s="287">
        <v>1</v>
      </c>
      <c r="I7" s="295">
        <f>+G7/E7</f>
        <v>50000</v>
      </c>
      <c r="J7" s="260" t="s">
        <v>64</v>
      </c>
    </row>
    <row r="8" spans="1:10" ht="25" hidden="1" customHeight="1">
      <c r="A8" s="289"/>
      <c r="B8" s="290" t="s">
        <v>69</v>
      </c>
      <c r="C8" s="291" t="s">
        <v>60</v>
      </c>
      <c r="D8" s="292" t="s">
        <v>70</v>
      </c>
      <c r="E8" s="293">
        <v>10</v>
      </c>
      <c r="F8" s="293" t="s">
        <v>39</v>
      </c>
      <c r="G8" s="294">
        <v>600000</v>
      </c>
      <c r="H8" s="287">
        <v>1</v>
      </c>
      <c r="I8" s="295">
        <f>+G8/E8</f>
        <v>60000</v>
      </c>
      <c r="J8" s="260" t="s">
        <v>64</v>
      </c>
    </row>
    <row r="9" spans="1:10" ht="25" hidden="1" customHeight="1">
      <c r="A9" s="289"/>
      <c r="B9" s="290" t="s">
        <v>71</v>
      </c>
      <c r="C9" s="291" t="s">
        <v>60</v>
      </c>
      <c r="D9" s="292" t="s">
        <v>72</v>
      </c>
      <c r="E9" s="293">
        <v>10</v>
      </c>
      <c r="F9" s="293" t="s">
        <v>39</v>
      </c>
      <c r="G9" s="294">
        <v>800000</v>
      </c>
      <c r="H9" s="287">
        <v>1</v>
      </c>
      <c r="I9" s="295">
        <f>+G9/E9</f>
        <v>80000</v>
      </c>
      <c r="J9" s="260" t="s">
        <v>64</v>
      </c>
    </row>
    <row r="10" spans="1:10" ht="25" hidden="1" customHeight="1">
      <c r="A10" s="296"/>
      <c r="B10" s="297" t="s">
        <v>73</v>
      </c>
      <c r="C10" s="298" t="s">
        <v>60</v>
      </c>
      <c r="D10" s="299" t="s">
        <v>74</v>
      </c>
      <c r="E10" s="293">
        <v>10</v>
      </c>
      <c r="F10" s="300" t="s">
        <v>39</v>
      </c>
      <c r="G10" s="301">
        <v>1000000</v>
      </c>
      <c r="H10" s="287">
        <v>1</v>
      </c>
      <c r="I10" s="302">
        <f>+G10/E10</f>
        <v>100000</v>
      </c>
      <c r="J10" s="260" t="s">
        <v>64</v>
      </c>
    </row>
    <row r="11" spans="1:10" s="307" customFormat="1" ht="25" hidden="1" customHeight="1">
      <c r="A11" s="303"/>
      <c r="B11" s="304" t="s">
        <v>75</v>
      </c>
      <c r="C11" s="283" t="s">
        <v>76</v>
      </c>
      <c r="D11" s="284" t="s">
        <v>63</v>
      </c>
      <c r="E11" s="285"/>
      <c r="F11" s="305" t="s">
        <v>31</v>
      </c>
      <c r="G11" s="286">
        <v>70000</v>
      </c>
      <c r="H11" s="306">
        <v>0.5</v>
      </c>
      <c r="I11" s="288">
        <f>+G11</f>
        <v>70000</v>
      </c>
      <c r="J11" s="260" t="s">
        <v>64</v>
      </c>
    </row>
    <row r="12" spans="1:10" s="307" customFormat="1" ht="25" hidden="1" customHeight="1">
      <c r="A12" s="308"/>
      <c r="B12" s="309" t="s">
        <v>77</v>
      </c>
      <c r="C12" s="291" t="s">
        <v>76</v>
      </c>
      <c r="D12" s="292" t="s">
        <v>66</v>
      </c>
      <c r="E12" s="293">
        <v>10</v>
      </c>
      <c r="F12" s="310" t="s">
        <v>39</v>
      </c>
      <c r="G12" s="294">
        <v>200000</v>
      </c>
      <c r="H12" s="306">
        <v>0.5</v>
      </c>
      <c r="I12" s="311">
        <f t="shared" ref="I12:I19" si="0">+G12/E12</f>
        <v>20000</v>
      </c>
      <c r="J12" s="260" t="s">
        <v>64</v>
      </c>
    </row>
    <row r="13" spans="1:10" s="307" customFormat="1" ht="25" hidden="1" customHeight="1">
      <c r="A13" s="308"/>
      <c r="B13" s="309" t="s">
        <v>78</v>
      </c>
      <c r="C13" s="291" t="s">
        <v>76</v>
      </c>
      <c r="D13" s="292" t="s">
        <v>68</v>
      </c>
      <c r="E13" s="293">
        <v>10</v>
      </c>
      <c r="F13" s="310" t="s">
        <v>39</v>
      </c>
      <c r="G13" s="294">
        <v>500000</v>
      </c>
      <c r="H13" s="306">
        <v>0.5</v>
      </c>
      <c r="I13" s="311">
        <f t="shared" si="0"/>
        <v>50000</v>
      </c>
      <c r="J13" s="260" t="s">
        <v>64</v>
      </c>
    </row>
    <row r="14" spans="1:10" ht="25" hidden="1" customHeight="1">
      <c r="A14" s="289"/>
      <c r="B14" s="290" t="s">
        <v>79</v>
      </c>
      <c r="C14" s="291" t="s">
        <v>76</v>
      </c>
      <c r="D14" s="292" t="s">
        <v>70</v>
      </c>
      <c r="E14" s="293">
        <v>10</v>
      </c>
      <c r="F14" s="293" t="s">
        <v>39</v>
      </c>
      <c r="G14" s="294">
        <v>600000</v>
      </c>
      <c r="H14" s="306">
        <v>0.5</v>
      </c>
      <c r="I14" s="295">
        <f t="shared" si="0"/>
        <v>60000</v>
      </c>
      <c r="J14" s="260" t="s">
        <v>64</v>
      </c>
    </row>
    <row r="15" spans="1:10" s="307" customFormat="1" ht="25" hidden="1" customHeight="1">
      <c r="A15" s="308"/>
      <c r="B15" s="309" t="s">
        <v>80</v>
      </c>
      <c r="C15" s="291" t="s">
        <v>76</v>
      </c>
      <c r="D15" s="292" t="s">
        <v>72</v>
      </c>
      <c r="E15" s="293">
        <v>10</v>
      </c>
      <c r="F15" s="310" t="s">
        <v>39</v>
      </c>
      <c r="G15" s="294">
        <v>800000</v>
      </c>
      <c r="H15" s="306">
        <v>0.5</v>
      </c>
      <c r="I15" s="311">
        <f t="shared" si="0"/>
        <v>80000</v>
      </c>
      <c r="J15" s="260" t="s">
        <v>64</v>
      </c>
    </row>
    <row r="16" spans="1:10" s="316" customFormat="1" ht="25" hidden="1" customHeight="1">
      <c r="A16" s="312"/>
      <c r="B16" s="313" t="s">
        <v>81</v>
      </c>
      <c r="C16" s="298" t="s">
        <v>76</v>
      </c>
      <c r="D16" s="299" t="s">
        <v>74</v>
      </c>
      <c r="E16" s="293">
        <v>10</v>
      </c>
      <c r="F16" s="314" t="s">
        <v>39</v>
      </c>
      <c r="G16" s="301">
        <v>1000000</v>
      </c>
      <c r="H16" s="306">
        <v>0.5</v>
      </c>
      <c r="I16" s="315">
        <f t="shared" si="0"/>
        <v>100000</v>
      </c>
      <c r="J16" s="260" t="s">
        <v>64</v>
      </c>
    </row>
    <row r="17" spans="1:10" s="307" customFormat="1" ht="25" hidden="1" customHeight="1">
      <c r="A17" s="308"/>
      <c r="B17" s="309" t="s">
        <v>82</v>
      </c>
      <c r="C17" s="291" t="s">
        <v>83</v>
      </c>
      <c r="D17" s="292" t="s">
        <v>66</v>
      </c>
      <c r="E17" s="293">
        <v>10</v>
      </c>
      <c r="F17" s="310" t="s">
        <v>39</v>
      </c>
      <c r="G17" s="317">
        <v>200000</v>
      </c>
      <c r="H17" s="318">
        <v>0.3</v>
      </c>
      <c r="I17" s="311">
        <f t="shared" si="0"/>
        <v>20000</v>
      </c>
      <c r="J17" s="260" t="s">
        <v>64</v>
      </c>
    </row>
    <row r="18" spans="1:10" s="307" customFormat="1" ht="25" hidden="1" customHeight="1">
      <c r="A18" s="308"/>
      <c r="B18" s="309" t="s">
        <v>84</v>
      </c>
      <c r="C18" s="291" t="s">
        <v>83</v>
      </c>
      <c r="D18" s="292" t="s">
        <v>68</v>
      </c>
      <c r="E18" s="293">
        <v>10</v>
      </c>
      <c r="F18" s="310" t="s">
        <v>39</v>
      </c>
      <c r="G18" s="317">
        <v>500000</v>
      </c>
      <c r="H18" s="318">
        <v>0.3</v>
      </c>
      <c r="I18" s="311">
        <f t="shared" si="0"/>
        <v>50000</v>
      </c>
      <c r="J18" s="260" t="s">
        <v>64</v>
      </c>
    </row>
    <row r="19" spans="1:10" s="307" customFormat="1" ht="25" hidden="1" customHeight="1">
      <c r="A19" s="308"/>
      <c r="B19" s="309" t="s">
        <v>85</v>
      </c>
      <c r="C19" s="291" t="s">
        <v>83</v>
      </c>
      <c r="D19" s="292" t="s">
        <v>74</v>
      </c>
      <c r="E19" s="293">
        <v>10</v>
      </c>
      <c r="F19" s="310" t="s">
        <v>39</v>
      </c>
      <c r="G19" s="317">
        <v>1000000</v>
      </c>
      <c r="H19" s="318">
        <v>0.3</v>
      </c>
      <c r="I19" s="311">
        <f t="shared" si="0"/>
        <v>100000</v>
      </c>
      <c r="J19" s="260" t="s">
        <v>64</v>
      </c>
    </row>
    <row r="20" spans="1:10" s="323" customFormat="1" ht="25" hidden="1" customHeight="1">
      <c r="A20" s="274">
        <v>12</v>
      </c>
      <c r="B20" s="319"/>
      <c r="C20" s="320" t="s">
        <v>86</v>
      </c>
      <c r="D20" s="321"/>
      <c r="E20" s="277" t="s">
        <v>87</v>
      </c>
      <c r="F20" s="277"/>
      <c r="G20" s="322"/>
      <c r="H20" s="280"/>
      <c r="I20" s="279"/>
      <c r="J20" s="260"/>
    </row>
    <row r="21" spans="1:10" ht="25" hidden="1" customHeight="1">
      <c r="A21" s="281"/>
      <c r="B21" s="282" t="s">
        <v>88</v>
      </c>
      <c r="C21" s="283" t="s">
        <v>86</v>
      </c>
      <c r="D21" s="284" t="s">
        <v>63</v>
      </c>
      <c r="E21" s="285"/>
      <c r="F21" s="285" t="s">
        <v>31</v>
      </c>
      <c r="G21" s="286">
        <v>110000</v>
      </c>
      <c r="H21" s="287">
        <v>1</v>
      </c>
      <c r="I21" s="288">
        <f>+G21</f>
        <v>110000</v>
      </c>
      <c r="J21" s="260" t="s">
        <v>89</v>
      </c>
    </row>
    <row r="22" spans="1:10" ht="25" hidden="1" customHeight="1">
      <c r="A22" s="289"/>
      <c r="B22" s="290" t="s">
        <v>90</v>
      </c>
      <c r="C22" s="291" t="s">
        <v>86</v>
      </c>
      <c r="D22" s="292" t="s">
        <v>66</v>
      </c>
      <c r="E22" s="293">
        <v>20</v>
      </c>
      <c r="F22" s="293" t="s">
        <v>39</v>
      </c>
      <c r="G22" s="294">
        <v>330000</v>
      </c>
      <c r="H22" s="287">
        <v>1</v>
      </c>
      <c r="I22" s="295">
        <f>+G22/E22</f>
        <v>16500</v>
      </c>
      <c r="J22" s="260" t="s">
        <v>89</v>
      </c>
    </row>
    <row r="23" spans="1:10" ht="25" hidden="1" customHeight="1">
      <c r="A23" s="289"/>
      <c r="B23" s="290" t="s">
        <v>91</v>
      </c>
      <c r="C23" s="291" t="s">
        <v>86</v>
      </c>
      <c r="D23" s="292" t="s">
        <v>68</v>
      </c>
      <c r="E23" s="293">
        <v>20</v>
      </c>
      <c r="F23" s="293" t="s">
        <v>39</v>
      </c>
      <c r="G23" s="294">
        <v>1380000</v>
      </c>
      <c r="H23" s="287">
        <v>1</v>
      </c>
      <c r="I23" s="295">
        <f>+G23/E23</f>
        <v>69000</v>
      </c>
      <c r="J23" s="260" t="s">
        <v>89</v>
      </c>
    </row>
    <row r="24" spans="1:10" ht="25" hidden="1" customHeight="1">
      <c r="A24" s="289"/>
      <c r="B24" s="290" t="s">
        <v>92</v>
      </c>
      <c r="C24" s="291" t="s">
        <v>86</v>
      </c>
      <c r="D24" s="292" t="s">
        <v>70</v>
      </c>
      <c r="E24" s="293">
        <v>20</v>
      </c>
      <c r="F24" s="293" t="s">
        <v>39</v>
      </c>
      <c r="G24" s="294">
        <v>1920000</v>
      </c>
      <c r="H24" s="287">
        <v>1</v>
      </c>
      <c r="I24" s="295">
        <f>+G24/E24</f>
        <v>96000</v>
      </c>
      <c r="J24" s="260" t="s">
        <v>89</v>
      </c>
    </row>
    <row r="25" spans="1:10" ht="25" hidden="1" customHeight="1">
      <c r="A25" s="296"/>
      <c r="B25" s="324" t="s">
        <v>93</v>
      </c>
      <c r="C25" s="298" t="s">
        <v>86</v>
      </c>
      <c r="D25" s="299" t="s">
        <v>94</v>
      </c>
      <c r="E25" s="293">
        <v>20</v>
      </c>
      <c r="F25" s="300" t="s">
        <v>39</v>
      </c>
      <c r="G25" s="301">
        <v>2200000</v>
      </c>
      <c r="H25" s="287">
        <v>1</v>
      </c>
      <c r="I25" s="302">
        <f>+G25/E25</f>
        <v>110000</v>
      </c>
      <c r="J25" s="260" t="s">
        <v>89</v>
      </c>
    </row>
    <row r="26" spans="1:10" ht="25" hidden="1" customHeight="1">
      <c r="A26" s="289"/>
      <c r="B26" s="290" t="s">
        <v>95</v>
      </c>
      <c r="C26" s="291" t="s">
        <v>96</v>
      </c>
      <c r="D26" s="292" t="s">
        <v>63</v>
      </c>
      <c r="E26" s="293">
        <v>20</v>
      </c>
      <c r="F26" s="293" t="s">
        <v>31</v>
      </c>
      <c r="G26" s="286">
        <v>110000</v>
      </c>
      <c r="H26" s="325">
        <v>0.3</v>
      </c>
      <c r="I26" s="295"/>
      <c r="J26" s="260" t="s">
        <v>89</v>
      </c>
    </row>
    <row r="27" spans="1:10" ht="25" hidden="1" customHeight="1">
      <c r="A27" s="289"/>
      <c r="B27" s="290" t="s">
        <v>97</v>
      </c>
      <c r="C27" s="291" t="s">
        <v>96</v>
      </c>
      <c r="D27" s="292" t="s">
        <v>66</v>
      </c>
      <c r="E27" s="293">
        <v>20</v>
      </c>
      <c r="F27" s="293" t="s">
        <v>39</v>
      </c>
      <c r="G27" s="294">
        <v>330000</v>
      </c>
      <c r="H27" s="325">
        <v>0.3</v>
      </c>
      <c r="I27" s="295"/>
      <c r="J27" s="260" t="s">
        <v>89</v>
      </c>
    </row>
    <row r="28" spans="1:10" ht="25" hidden="1" customHeight="1">
      <c r="A28" s="289"/>
      <c r="B28" s="290" t="s">
        <v>98</v>
      </c>
      <c r="C28" s="291" t="s">
        <v>96</v>
      </c>
      <c r="D28" s="292" t="s">
        <v>68</v>
      </c>
      <c r="E28" s="293">
        <v>20</v>
      </c>
      <c r="F28" s="293" t="s">
        <v>39</v>
      </c>
      <c r="G28" s="294">
        <v>1380000</v>
      </c>
      <c r="H28" s="325">
        <v>0.3</v>
      </c>
      <c r="I28" s="295"/>
      <c r="J28" s="260" t="s">
        <v>89</v>
      </c>
    </row>
    <row r="29" spans="1:10" ht="25" hidden="1" customHeight="1">
      <c r="A29" s="289"/>
      <c r="B29" s="290" t="s">
        <v>99</v>
      </c>
      <c r="C29" s="291" t="s">
        <v>96</v>
      </c>
      <c r="D29" s="292" t="s">
        <v>70</v>
      </c>
      <c r="E29" s="293">
        <v>20</v>
      </c>
      <c r="F29" s="293" t="s">
        <v>39</v>
      </c>
      <c r="G29" s="294">
        <v>1920000</v>
      </c>
      <c r="H29" s="325">
        <v>0.3</v>
      </c>
      <c r="I29" s="295"/>
      <c r="J29" s="260" t="s">
        <v>89</v>
      </c>
    </row>
    <row r="30" spans="1:10" ht="25" hidden="1" customHeight="1">
      <c r="A30" s="289"/>
      <c r="B30" s="290" t="s">
        <v>100</v>
      </c>
      <c r="C30" s="291" t="s">
        <v>96</v>
      </c>
      <c r="D30" s="292" t="s">
        <v>94</v>
      </c>
      <c r="E30" s="293">
        <v>20</v>
      </c>
      <c r="F30" s="293" t="s">
        <v>39</v>
      </c>
      <c r="G30" s="301">
        <v>2200000</v>
      </c>
      <c r="H30" s="325">
        <v>0.3</v>
      </c>
      <c r="I30" s="295"/>
      <c r="J30" s="260" t="s">
        <v>89</v>
      </c>
    </row>
    <row r="31" spans="1:10" ht="25" hidden="1" customHeight="1">
      <c r="A31" s="281"/>
      <c r="B31" s="282" t="s">
        <v>101</v>
      </c>
      <c r="C31" s="283" t="s">
        <v>102</v>
      </c>
      <c r="D31" s="284" t="s">
        <v>63</v>
      </c>
      <c r="E31" s="293">
        <v>20</v>
      </c>
      <c r="F31" s="285" t="s">
        <v>31</v>
      </c>
      <c r="G31" s="286">
        <f>+G21</f>
        <v>110000</v>
      </c>
      <c r="H31" s="287">
        <v>0.5</v>
      </c>
      <c r="I31" s="288">
        <f>+G31</f>
        <v>110000</v>
      </c>
      <c r="J31" s="260" t="s">
        <v>89</v>
      </c>
    </row>
    <row r="32" spans="1:10" ht="25" hidden="1" customHeight="1">
      <c r="A32" s="281"/>
      <c r="B32" s="282" t="s">
        <v>103</v>
      </c>
      <c r="C32" s="283" t="s">
        <v>102</v>
      </c>
      <c r="D32" s="284" t="s">
        <v>66</v>
      </c>
      <c r="E32" s="293">
        <v>20</v>
      </c>
      <c r="F32" s="285" t="s">
        <v>39</v>
      </c>
      <c r="G32" s="286">
        <v>330000</v>
      </c>
      <c r="H32" s="287">
        <v>0.5</v>
      </c>
      <c r="I32" s="288">
        <f>+G32/E32</f>
        <v>16500</v>
      </c>
      <c r="J32" s="260" t="s">
        <v>89</v>
      </c>
    </row>
    <row r="33" spans="1:10" ht="25" hidden="1" customHeight="1">
      <c r="A33" s="289"/>
      <c r="B33" s="290" t="s">
        <v>104</v>
      </c>
      <c r="C33" s="291" t="s">
        <v>102</v>
      </c>
      <c r="D33" s="292" t="s">
        <v>68</v>
      </c>
      <c r="E33" s="293">
        <v>20</v>
      </c>
      <c r="F33" s="293" t="s">
        <v>39</v>
      </c>
      <c r="G33" s="294">
        <v>1380000</v>
      </c>
      <c r="H33" s="287">
        <v>0.5</v>
      </c>
      <c r="I33" s="295">
        <f>+G33/E33</f>
        <v>69000</v>
      </c>
      <c r="J33" s="260" t="s">
        <v>89</v>
      </c>
    </row>
    <row r="34" spans="1:10" ht="25" hidden="1" customHeight="1">
      <c r="A34" s="289"/>
      <c r="B34" s="290" t="s">
        <v>105</v>
      </c>
      <c r="C34" s="291" t="s">
        <v>102</v>
      </c>
      <c r="D34" s="292" t="s">
        <v>70</v>
      </c>
      <c r="E34" s="293">
        <v>20</v>
      </c>
      <c r="F34" s="293" t="s">
        <v>39</v>
      </c>
      <c r="G34" s="294">
        <v>1920000</v>
      </c>
      <c r="H34" s="287">
        <v>0.5</v>
      </c>
      <c r="I34" s="295">
        <f>+G34/E34</f>
        <v>96000</v>
      </c>
      <c r="J34" s="260" t="s">
        <v>89</v>
      </c>
    </row>
    <row r="35" spans="1:10" ht="25" hidden="1" customHeight="1">
      <c r="A35" s="296"/>
      <c r="B35" s="297" t="s">
        <v>106</v>
      </c>
      <c r="C35" s="298" t="s">
        <v>102</v>
      </c>
      <c r="D35" s="299" t="s">
        <v>94</v>
      </c>
      <c r="E35" s="293">
        <v>20</v>
      </c>
      <c r="F35" s="300" t="s">
        <v>39</v>
      </c>
      <c r="G35" s="301">
        <v>2200000</v>
      </c>
      <c r="H35" s="287">
        <v>0.5</v>
      </c>
      <c r="I35" s="302">
        <f>+G35/E35</f>
        <v>110000</v>
      </c>
      <c r="J35" s="260" t="s">
        <v>89</v>
      </c>
    </row>
    <row r="36" spans="1:10" ht="25" hidden="1" customHeight="1">
      <c r="A36" s="281"/>
      <c r="B36" s="282" t="s">
        <v>107</v>
      </c>
      <c r="C36" s="283" t="s">
        <v>108</v>
      </c>
      <c r="D36" s="284" t="s">
        <v>66</v>
      </c>
      <c r="E36" s="293">
        <v>20</v>
      </c>
      <c r="F36" s="285" t="s">
        <v>39</v>
      </c>
      <c r="G36" s="286">
        <v>330000</v>
      </c>
      <c r="H36" s="287">
        <v>0.3</v>
      </c>
      <c r="I36" s="288">
        <f>+G36/E36*H36</f>
        <v>4950</v>
      </c>
      <c r="J36" s="260" t="s">
        <v>89</v>
      </c>
    </row>
    <row r="37" spans="1:10" ht="25" hidden="1" customHeight="1">
      <c r="A37" s="289"/>
      <c r="B37" s="290" t="s">
        <v>109</v>
      </c>
      <c r="C37" s="291" t="s">
        <v>108</v>
      </c>
      <c r="D37" s="292" t="s">
        <v>68</v>
      </c>
      <c r="E37" s="293">
        <v>20</v>
      </c>
      <c r="F37" s="293" t="s">
        <v>39</v>
      </c>
      <c r="G37" s="294">
        <v>1380000</v>
      </c>
      <c r="H37" s="325">
        <v>0.3</v>
      </c>
      <c r="I37" s="288">
        <f>+G37/E37*H37</f>
        <v>20700</v>
      </c>
      <c r="J37" s="260" t="s">
        <v>89</v>
      </c>
    </row>
    <row r="38" spans="1:10" ht="25" hidden="1" customHeight="1">
      <c r="A38" s="289"/>
      <c r="B38" s="290" t="s">
        <v>110</v>
      </c>
      <c r="C38" s="291" t="s">
        <v>108</v>
      </c>
      <c r="D38" s="292" t="s">
        <v>70</v>
      </c>
      <c r="E38" s="293">
        <v>20</v>
      </c>
      <c r="F38" s="293" t="s">
        <v>39</v>
      </c>
      <c r="G38" s="294">
        <v>1920000</v>
      </c>
      <c r="H38" s="325">
        <v>0.3</v>
      </c>
      <c r="I38" s="288">
        <f>+G38/E38*H38</f>
        <v>28800</v>
      </c>
      <c r="J38" s="260" t="s">
        <v>89</v>
      </c>
    </row>
    <row r="39" spans="1:10" ht="25" hidden="1" customHeight="1">
      <c r="A39" s="296"/>
      <c r="B39" s="297" t="s">
        <v>111</v>
      </c>
      <c r="C39" s="298" t="s">
        <v>108</v>
      </c>
      <c r="D39" s="299" t="s">
        <v>94</v>
      </c>
      <c r="E39" s="293">
        <v>20</v>
      </c>
      <c r="F39" s="300" t="s">
        <v>39</v>
      </c>
      <c r="G39" s="301">
        <v>2200000</v>
      </c>
      <c r="H39" s="326">
        <v>0.3</v>
      </c>
      <c r="I39" s="288">
        <f>+G39/E39*H39</f>
        <v>33000</v>
      </c>
      <c r="J39" s="260" t="s">
        <v>89</v>
      </c>
    </row>
    <row r="40" spans="1:10" ht="25" hidden="1" customHeight="1">
      <c r="A40" s="281"/>
      <c r="B40" s="282" t="s">
        <v>112</v>
      </c>
      <c r="C40" s="283" t="s">
        <v>113</v>
      </c>
      <c r="D40" s="284" t="s">
        <v>66</v>
      </c>
      <c r="E40" s="293">
        <v>20</v>
      </c>
      <c r="F40" s="285" t="s">
        <v>39</v>
      </c>
      <c r="G40" s="286">
        <v>330000</v>
      </c>
      <c r="H40" s="287">
        <v>0.15</v>
      </c>
      <c r="I40" s="288"/>
      <c r="J40" s="260" t="s">
        <v>89</v>
      </c>
    </row>
    <row r="41" spans="1:10" ht="25" hidden="1" customHeight="1">
      <c r="A41" s="289"/>
      <c r="B41" s="290" t="s">
        <v>114</v>
      </c>
      <c r="C41" s="291" t="s">
        <v>113</v>
      </c>
      <c r="D41" s="292" t="s">
        <v>68</v>
      </c>
      <c r="E41" s="293">
        <v>20</v>
      </c>
      <c r="F41" s="293" t="s">
        <v>39</v>
      </c>
      <c r="G41" s="294">
        <v>1380000</v>
      </c>
      <c r="H41" s="325">
        <v>0.15</v>
      </c>
      <c r="I41" s="295"/>
      <c r="J41" s="260" t="s">
        <v>89</v>
      </c>
    </row>
    <row r="42" spans="1:10" ht="25" hidden="1" customHeight="1">
      <c r="A42" s="289"/>
      <c r="B42" s="290" t="s">
        <v>115</v>
      </c>
      <c r="C42" s="291" t="s">
        <v>113</v>
      </c>
      <c r="D42" s="292" t="s">
        <v>70</v>
      </c>
      <c r="E42" s="293">
        <v>20</v>
      </c>
      <c r="F42" s="293" t="s">
        <v>39</v>
      </c>
      <c r="G42" s="294">
        <v>1920000</v>
      </c>
      <c r="H42" s="325">
        <v>0.15</v>
      </c>
      <c r="I42" s="295"/>
      <c r="J42" s="260" t="s">
        <v>89</v>
      </c>
    </row>
    <row r="43" spans="1:10" ht="25" hidden="1" customHeight="1">
      <c r="A43" s="296"/>
      <c r="B43" s="297" t="s">
        <v>116</v>
      </c>
      <c r="C43" s="298" t="s">
        <v>113</v>
      </c>
      <c r="D43" s="299" t="s">
        <v>94</v>
      </c>
      <c r="E43" s="293">
        <v>20</v>
      </c>
      <c r="F43" s="300" t="s">
        <v>39</v>
      </c>
      <c r="G43" s="301">
        <v>2200000</v>
      </c>
      <c r="H43" s="326">
        <v>0.15</v>
      </c>
      <c r="I43" s="302"/>
      <c r="J43" s="260" t="s">
        <v>89</v>
      </c>
    </row>
    <row r="44" spans="1:10" ht="25" hidden="1" customHeight="1">
      <c r="A44" s="289"/>
      <c r="B44" s="290" t="s">
        <v>117</v>
      </c>
      <c r="C44" s="291" t="s">
        <v>118</v>
      </c>
      <c r="D44" s="292" t="s">
        <v>66</v>
      </c>
      <c r="E44" s="293">
        <v>20</v>
      </c>
      <c r="F44" s="293" t="s">
        <v>39</v>
      </c>
      <c r="G44" s="327">
        <v>59000</v>
      </c>
      <c r="H44" s="325">
        <v>1</v>
      </c>
      <c r="I44" s="295">
        <f t="shared" ref="I44:I59" si="1">+G44/E44</f>
        <v>2950</v>
      </c>
      <c r="J44" s="260" t="s">
        <v>119</v>
      </c>
    </row>
    <row r="45" spans="1:10" ht="25" hidden="1" customHeight="1">
      <c r="A45" s="289"/>
      <c r="B45" s="290" t="s">
        <v>120</v>
      </c>
      <c r="C45" s="291" t="s">
        <v>118</v>
      </c>
      <c r="D45" s="292" t="s">
        <v>68</v>
      </c>
      <c r="E45" s="293">
        <v>20</v>
      </c>
      <c r="F45" s="293" t="s">
        <v>39</v>
      </c>
      <c r="G45" s="327">
        <v>272000</v>
      </c>
      <c r="H45" s="325">
        <v>1</v>
      </c>
      <c r="I45" s="295">
        <f t="shared" si="1"/>
        <v>13600</v>
      </c>
      <c r="J45" s="260" t="s">
        <v>119</v>
      </c>
    </row>
    <row r="46" spans="1:10" ht="25" hidden="1" customHeight="1">
      <c r="A46" s="289"/>
      <c r="B46" s="290" t="s">
        <v>121</v>
      </c>
      <c r="C46" s="291" t="s">
        <v>118</v>
      </c>
      <c r="D46" s="292" t="s">
        <v>70</v>
      </c>
      <c r="E46" s="293">
        <v>20</v>
      </c>
      <c r="F46" s="293" t="s">
        <v>39</v>
      </c>
      <c r="G46" s="328">
        <v>408000</v>
      </c>
      <c r="H46" s="325">
        <v>1</v>
      </c>
      <c r="I46" s="295">
        <f t="shared" si="1"/>
        <v>20400</v>
      </c>
      <c r="J46" s="260" t="s">
        <v>119</v>
      </c>
    </row>
    <row r="47" spans="1:10" ht="25" hidden="1" customHeight="1">
      <c r="A47" s="289"/>
      <c r="B47" s="290" t="s">
        <v>122</v>
      </c>
      <c r="C47" s="291" t="s">
        <v>118</v>
      </c>
      <c r="D47" s="299" t="s">
        <v>94</v>
      </c>
      <c r="E47" s="293">
        <v>20</v>
      </c>
      <c r="F47" s="293" t="s">
        <v>39</v>
      </c>
      <c r="G47" s="329"/>
      <c r="H47" s="325">
        <v>1</v>
      </c>
      <c r="I47" s="295">
        <f t="shared" si="1"/>
        <v>0</v>
      </c>
      <c r="J47" s="260" t="s">
        <v>119</v>
      </c>
    </row>
    <row r="48" spans="1:10" ht="25" hidden="1" customHeight="1">
      <c r="A48" s="289"/>
      <c r="B48" s="290" t="s">
        <v>123</v>
      </c>
      <c r="C48" s="291" t="s">
        <v>124</v>
      </c>
      <c r="D48" s="292" t="s">
        <v>66</v>
      </c>
      <c r="E48" s="293">
        <v>20</v>
      </c>
      <c r="F48" s="293" t="s">
        <v>39</v>
      </c>
      <c r="G48" s="327">
        <v>59000</v>
      </c>
      <c r="H48" s="325">
        <v>0.5</v>
      </c>
      <c r="I48" s="295">
        <f t="shared" si="1"/>
        <v>2950</v>
      </c>
      <c r="J48" s="260" t="s">
        <v>119</v>
      </c>
    </row>
    <row r="49" spans="1:10" ht="25" hidden="1" customHeight="1">
      <c r="A49" s="289"/>
      <c r="B49" s="290" t="s">
        <v>125</v>
      </c>
      <c r="C49" s="291" t="s">
        <v>124</v>
      </c>
      <c r="D49" s="292" t="s">
        <v>68</v>
      </c>
      <c r="E49" s="293">
        <v>20</v>
      </c>
      <c r="F49" s="293" t="s">
        <v>39</v>
      </c>
      <c r="G49" s="327">
        <v>272000</v>
      </c>
      <c r="H49" s="325">
        <v>0.5</v>
      </c>
      <c r="I49" s="295">
        <f t="shared" si="1"/>
        <v>13600</v>
      </c>
      <c r="J49" s="260" t="s">
        <v>119</v>
      </c>
    </row>
    <row r="50" spans="1:10" ht="25" hidden="1" customHeight="1">
      <c r="A50" s="289"/>
      <c r="B50" s="290" t="s">
        <v>126</v>
      </c>
      <c r="C50" s="291" t="s">
        <v>124</v>
      </c>
      <c r="D50" s="292" t="s">
        <v>70</v>
      </c>
      <c r="E50" s="293">
        <v>20</v>
      </c>
      <c r="F50" s="293" t="s">
        <v>39</v>
      </c>
      <c r="G50" s="328">
        <v>408000</v>
      </c>
      <c r="H50" s="325">
        <v>0.5</v>
      </c>
      <c r="I50" s="295">
        <f t="shared" si="1"/>
        <v>20400</v>
      </c>
      <c r="J50" s="260" t="s">
        <v>119</v>
      </c>
    </row>
    <row r="51" spans="1:10" ht="25" hidden="1" customHeight="1">
      <c r="A51" s="289"/>
      <c r="B51" s="290" t="s">
        <v>127</v>
      </c>
      <c r="C51" s="291" t="s">
        <v>118</v>
      </c>
      <c r="D51" s="299" t="s">
        <v>94</v>
      </c>
      <c r="E51" s="293">
        <v>20</v>
      </c>
      <c r="F51" s="293" t="s">
        <v>39</v>
      </c>
      <c r="G51" s="329"/>
      <c r="H51" s="325">
        <v>0.5</v>
      </c>
      <c r="I51" s="295">
        <f t="shared" si="1"/>
        <v>0</v>
      </c>
      <c r="J51" s="260" t="s">
        <v>119</v>
      </c>
    </row>
    <row r="52" spans="1:10" ht="25" hidden="1" customHeight="1">
      <c r="A52" s="289"/>
      <c r="B52" s="290" t="s">
        <v>128</v>
      </c>
      <c r="C52" s="291" t="s">
        <v>129</v>
      </c>
      <c r="D52" s="292" t="s">
        <v>66</v>
      </c>
      <c r="E52" s="293">
        <v>20</v>
      </c>
      <c r="F52" s="293" t="s">
        <v>39</v>
      </c>
      <c r="G52" s="294">
        <v>330000</v>
      </c>
      <c r="H52" s="325">
        <v>0.5</v>
      </c>
      <c r="I52" s="295">
        <f t="shared" si="1"/>
        <v>16500</v>
      </c>
      <c r="J52" s="260" t="s">
        <v>89</v>
      </c>
    </row>
    <row r="53" spans="1:10" ht="25" hidden="1" customHeight="1">
      <c r="A53" s="289"/>
      <c r="B53" s="290" t="s">
        <v>130</v>
      </c>
      <c r="C53" s="291" t="s">
        <v>129</v>
      </c>
      <c r="D53" s="292" t="s">
        <v>68</v>
      </c>
      <c r="E53" s="293">
        <v>20</v>
      </c>
      <c r="F53" s="293" t="s">
        <v>39</v>
      </c>
      <c r="G53" s="294">
        <v>1380000</v>
      </c>
      <c r="H53" s="325">
        <v>0.5</v>
      </c>
      <c r="I53" s="295">
        <f t="shared" si="1"/>
        <v>69000</v>
      </c>
      <c r="J53" s="260" t="s">
        <v>89</v>
      </c>
    </row>
    <row r="54" spans="1:10" ht="25" hidden="1" customHeight="1">
      <c r="A54" s="289"/>
      <c r="B54" s="290" t="s">
        <v>131</v>
      </c>
      <c r="C54" s="291" t="s">
        <v>129</v>
      </c>
      <c r="D54" s="292" t="s">
        <v>70</v>
      </c>
      <c r="E54" s="293">
        <v>20</v>
      </c>
      <c r="F54" s="293" t="s">
        <v>39</v>
      </c>
      <c r="G54" s="294">
        <v>1920000</v>
      </c>
      <c r="H54" s="325">
        <v>0.5</v>
      </c>
      <c r="I54" s="295">
        <f t="shared" si="1"/>
        <v>96000</v>
      </c>
      <c r="J54" s="260" t="s">
        <v>89</v>
      </c>
    </row>
    <row r="55" spans="1:10" ht="25" hidden="1" customHeight="1">
      <c r="A55" s="289"/>
      <c r="B55" s="290" t="s">
        <v>132</v>
      </c>
      <c r="C55" s="291" t="s">
        <v>129</v>
      </c>
      <c r="D55" s="299" t="s">
        <v>94</v>
      </c>
      <c r="E55" s="293">
        <v>20</v>
      </c>
      <c r="F55" s="293" t="s">
        <v>39</v>
      </c>
      <c r="G55" s="301">
        <v>2200000</v>
      </c>
      <c r="H55" s="325">
        <v>0.5</v>
      </c>
      <c r="I55" s="295">
        <f t="shared" si="1"/>
        <v>110000</v>
      </c>
      <c r="J55" s="260" t="s">
        <v>89</v>
      </c>
    </row>
    <row r="56" spans="1:10" ht="25" hidden="1" customHeight="1">
      <c r="A56" s="289"/>
      <c r="B56" s="290" t="s">
        <v>133</v>
      </c>
      <c r="C56" s="291" t="s">
        <v>129</v>
      </c>
      <c r="D56" s="292" t="s">
        <v>68</v>
      </c>
      <c r="E56" s="293">
        <v>20</v>
      </c>
      <c r="F56" s="293" t="s">
        <v>39</v>
      </c>
      <c r="G56" s="294">
        <v>1380000</v>
      </c>
      <c r="H56" s="325">
        <v>0.25</v>
      </c>
      <c r="I56" s="295">
        <f t="shared" si="1"/>
        <v>69000</v>
      </c>
      <c r="J56" s="260" t="s">
        <v>89</v>
      </c>
    </row>
    <row r="57" spans="1:10" ht="25" hidden="1" customHeight="1">
      <c r="A57" s="289"/>
      <c r="B57" s="290" t="s">
        <v>134</v>
      </c>
      <c r="C57" s="291" t="s">
        <v>135</v>
      </c>
      <c r="D57" s="292" t="s">
        <v>66</v>
      </c>
      <c r="E57" s="293">
        <v>20</v>
      </c>
      <c r="F57" s="293" t="s">
        <v>39</v>
      </c>
      <c r="G57" s="294">
        <v>330000</v>
      </c>
      <c r="H57" s="325">
        <v>0.25</v>
      </c>
      <c r="I57" s="295">
        <f t="shared" si="1"/>
        <v>16500</v>
      </c>
      <c r="J57" s="260" t="s">
        <v>89</v>
      </c>
    </row>
    <row r="58" spans="1:10" ht="25" hidden="1" customHeight="1">
      <c r="A58" s="289"/>
      <c r="B58" s="290" t="s">
        <v>136</v>
      </c>
      <c r="C58" s="291" t="s">
        <v>135</v>
      </c>
      <c r="D58" s="292" t="s">
        <v>70</v>
      </c>
      <c r="E58" s="293">
        <v>20</v>
      </c>
      <c r="F58" s="293" t="s">
        <v>39</v>
      </c>
      <c r="G58" s="294">
        <v>1920000</v>
      </c>
      <c r="H58" s="325">
        <v>0.25</v>
      </c>
      <c r="I58" s="295">
        <f t="shared" si="1"/>
        <v>96000</v>
      </c>
      <c r="J58" s="260" t="s">
        <v>89</v>
      </c>
    </row>
    <row r="59" spans="1:10" ht="25" hidden="1" customHeight="1">
      <c r="A59" s="289"/>
      <c r="B59" s="290" t="s">
        <v>137</v>
      </c>
      <c r="C59" s="291" t="s">
        <v>135</v>
      </c>
      <c r="D59" s="299" t="s">
        <v>94</v>
      </c>
      <c r="E59" s="293">
        <v>20</v>
      </c>
      <c r="F59" s="293" t="s">
        <v>39</v>
      </c>
      <c r="G59" s="301">
        <v>2200000</v>
      </c>
      <c r="H59" s="325">
        <v>0.25</v>
      </c>
      <c r="I59" s="295">
        <f t="shared" si="1"/>
        <v>110000</v>
      </c>
      <c r="J59" s="260" t="s">
        <v>89</v>
      </c>
    </row>
    <row r="60" spans="1:10" s="323" customFormat="1" ht="25" hidden="1" customHeight="1">
      <c r="A60" s="330">
        <v>13</v>
      </c>
      <c r="B60" s="331"/>
      <c r="C60" s="332" t="s">
        <v>138</v>
      </c>
      <c r="D60" s="333"/>
      <c r="E60" s="334"/>
      <c r="F60" s="334"/>
      <c r="G60" s="335"/>
      <c r="H60" s="336"/>
      <c r="I60" s="337"/>
      <c r="J60" s="260"/>
    </row>
    <row r="61" spans="1:10" ht="25" hidden="1" customHeight="1">
      <c r="A61" s="281"/>
      <c r="B61" s="282" t="s">
        <v>139</v>
      </c>
      <c r="C61" s="283" t="s">
        <v>138</v>
      </c>
      <c r="D61" s="284" t="s">
        <v>63</v>
      </c>
      <c r="E61" s="285"/>
      <c r="F61" s="285" t="s">
        <v>31</v>
      </c>
      <c r="G61" s="286">
        <v>70000</v>
      </c>
      <c r="H61" s="287">
        <v>1</v>
      </c>
      <c r="I61" s="288">
        <f>+G61</f>
        <v>70000</v>
      </c>
      <c r="J61" s="260" t="s">
        <v>89</v>
      </c>
    </row>
    <row r="62" spans="1:10" ht="25" hidden="1" customHeight="1">
      <c r="A62" s="289"/>
      <c r="B62" s="290" t="s">
        <v>140</v>
      </c>
      <c r="C62" s="291" t="s">
        <v>138</v>
      </c>
      <c r="D62" s="292" t="s">
        <v>66</v>
      </c>
      <c r="E62" s="293">
        <f>360/72</f>
        <v>5</v>
      </c>
      <c r="F62" s="293" t="s">
        <v>39</v>
      </c>
      <c r="G62" s="294">
        <v>220000</v>
      </c>
      <c r="H62" s="287">
        <v>1</v>
      </c>
      <c r="I62" s="295">
        <f>+G62/E62</f>
        <v>44000</v>
      </c>
      <c r="J62" s="260" t="s">
        <v>89</v>
      </c>
    </row>
    <row r="63" spans="1:10" ht="25" hidden="1" customHeight="1">
      <c r="A63" s="289"/>
      <c r="B63" s="290" t="s">
        <v>141</v>
      </c>
      <c r="C63" s="291" t="s">
        <v>138</v>
      </c>
      <c r="D63" s="292" t="s">
        <v>68</v>
      </c>
      <c r="E63" s="293">
        <f>360/54</f>
        <v>6.666666666666667</v>
      </c>
      <c r="F63" s="293" t="s">
        <v>39</v>
      </c>
      <c r="G63" s="294">
        <v>550000</v>
      </c>
      <c r="H63" s="287">
        <v>1</v>
      </c>
      <c r="I63" s="295">
        <f>+G63/E63</f>
        <v>82500</v>
      </c>
      <c r="J63" s="260" t="s">
        <v>89</v>
      </c>
    </row>
    <row r="64" spans="1:10" ht="25" hidden="1" customHeight="1">
      <c r="A64" s="289"/>
      <c r="B64" s="290" t="s">
        <v>142</v>
      </c>
      <c r="C64" s="291" t="s">
        <v>138</v>
      </c>
      <c r="D64" s="292" t="s">
        <v>70</v>
      </c>
      <c r="E64" s="293">
        <f>360/43</f>
        <v>8.3720930232558146</v>
      </c>
      <c r="F64" s="293" t="s">
        <v>39</v>
      </c>
      <c r="G64" s="294">
        <v>770000</v>
      </c>
      <c r="H64" s="287">
        <v>1</v>
      </c>
      <c r="I64" s="295">
        <f>+G64/E64</f>
        <v>91972.222222222219</v>
      </c>
      <c r="J64" s="260" t="s">
        <v>89</v>
      </c>
    </row>
    <row r="65" spans="1:10" ht="25" hidden="1" customHeight="1">
      <c r="A65" s="296"/>
      <c r="B65" s="297" t="s">
        <v>143</v>
      </c>
      <c r="C65" s="298" t="s">
        <v>138</v>
      </c>
      <c r="D65" s="299" t="s">
        <v>94</v>
      </c>
      <c r="E65" s="300">
        <f>360/43</f>
        <v>8.3720930232558146</v>
      </c>
      <c r="F65" s="300" t="s">
        <v>39</v>
      </c>
      <c r="G65" s="301">
        <v>1100000</v>
      </c>
      <c r="H65" s="287">
        <v>1</v>
      </c>
      <c r="I65" s="302">
        <f>+G65/E65</f>
        <v>131388.88888888888</v>
      </c>
      <c r="J65" s="260" t="s">
        <v>89</v>
      </c>
    </row>
    <row r="66" spans="1:10" ht="25" hidden="1" customHeight="1">
      <c r="A66" s="281"/>
      <c r="B66" s="282" t="s">
        <v>144</v>
      </c>
      <c r="C66" s="283" t="s">
        <v>145</v>
      </c>
      <c r="D66" s="284" t="s">
        <v>63</v>
      </c>
      <c r="E66" s="285"/>
      <c r="F66" s="285" t="s">
        <v>31</v>
      </c>
      <c r="G66" s="286">
        <v>70000</v>
      </c>
      <c r="H66" s="287">
        <v>0.5</v>
      </c>
      <c r="I66" s="288">
        <f>+G66</f>
        <v>70000</v>
      </c>
      <c r="J66" s="260" t="s">
        <v>89</v>
      </c>
    </row>
    <row r="67" spans="1:10" ht="25" hidden="1" customHeight="1">
      <c r="A67" s="289"/>
      <c r="B67" s="290" t="s">
        <v>146</v>
      </c>
      <c r="C67" s="291" t="s">
        <v>145</v>
      </c>
      <c r="D67" s="292" t="s">
        <v>66</v>
      </c>
      <c r="E67" s="293">
        <f>360/72</f>
        <v>5</v>
      </c>
      <c r="F67" s="293" t="s">
        <v>39</v>
      </c>
      <c r="G67" s="294">
        <v>220000</v>
      </c>
      <c r="H67" s="287">
        <v>0.5</v>
      </c>
      <c r="I67" s="295">
        <f>+G67/E67</f>
        <v>44000</v>
      </c>
      <c r="J67" s="260" t="s">
        <v>89</v>
      </c>
    </row>
    <row r="68" spans="1:10" ht="25" hidden="1" customHeight="1">
      <c r="A68" s="289"/>
      <c r="B68" s="290" t="s">
        <v>147</v>
      </c>
      <c r="C68" s="291" t="s">
        <v>145</v>
      </c>
      <c r="D68" s="292" t="s">
        <v>68</v>
      </c>
      <c r="E68" s="293">
        <f>360/54</f>
        <v>6.666666666666667</v>
      </c>
      <c r="F68" s="293" t="s">
        <v>39</v>
      </c>
      <c r="G68" s="294">
        <v>550000</v>
      </c>
      <c r="H68" s="287">
        <v>0.5</v>
      </c>
      <c r="I68" s="295">
        <f>+G68/E68</f>
        <v>82500</v>
      </c>
      <c r="J68" s="260" t="s">
        <v>89</v>
      </c>
    </row>
    <row r="69" spans="1:10" ht="25" hidden="1" customHeight="1">
      <c r="A69" s="289"/>
      <c r="B69" s="290" t="s">
        <v>148</v>
      </c>
      <c r="C69" s="291" t="s">
        <v>145</v>
      </c>
      <c r="D69" s="292" t="s">
        <v>70</v>
      </c>
      <c r="E69" s="293">
        <f>360/43</f>
        <v>8.3720930232558146</v>
      </c>
      <c r="F69" s="293" t="s">
        <v>39</v>
      </c>
      <c r="G69" s="294">
        <v>770000</v>
      </c>
      <c r="H69" s="287">
        <v>0.5</v>
      </c>
      <c r="I69" s="295">
        <f>+G69/E69</f>
        <v>91972.222222222219</v>
      </c>
      <c r="J69" s="260" t="s">
        <v>89</v>
      </c>
    </row>
    <row r="70" spans="1:10" ht="25" hidden="1" customHeight="1">
      <c r="A70" s="296"/>
      <c r="B70" s="297" t="s">
        <v>149</v>
      </c>
      <c r="C70" s="298" t="s">
        <v>145</v>
      </c>
      <c r="D70" s="299" t="s">
        <v>94</v>
      </c>
      <c r="E70" s="300">
        <f>360/43</f>
        <v>8.3720930232558146</v>
      </c>
      <c r="F70" s="300" t="s">
        <v>39</v>
      </c>
      <c r="G70" s="301">
        <v>1100000</v>
      </c>
      <c r="H70" s="287">
        <v>0.5</v>
      </c>
      <c r="I70" s="302">
        <f>+G70/E70</f>
        <v>131388.88888888888</v>
      </c>
      <c r="J70" s="260" t="s">
        <v>89</v>
      </c>
    </row>
    <row r="71" spans="1:10" s="323" customFormat="1" ht="25" hidden="1" customHeight="1">
      <c r="A71" s="274">
        <v>8</v>
      </c>
      <c r="B71" s="319"/>
      <c r="C71" s="320" t="s">
        <v>150</v>
      </c>
      <c r="D71" s="321"/>
      <c r="E71" s="278" t="s">
        <v>151</v>
      </c>
      <c r="F71" s="277">
        <f>10000/620</f>
        <v>16.129032258064516</v>
      </c>
      <c r="G71" s="322"/>
      <c r="H71" s="280"/>
      <c r="I71" s="279"/>
      <c r="J71" s="260"/>
    </row>
    <row r="72" spans="1:10" ht="25" hidden="1" customHeight="1">
      <c r="A72" s="281"/>
      <c r="B72" s="282" t="s">
        <v>152</v>
      </c>
      <c r="C72" s="338" t="s">
        <v>150</v>
      </c>
      <c r="D72" s="284" t="s">
        <v>63</v>
      </c>
      <c r="E72" s="285"/>
      <c r="F72" s="285" t="s">
        <v>31</v>
      </c>
      <c r="G72" s="286">
        <v>100000</v>
      </c>
      <c r="H72" s="287">
        <v>1</v>
      </c>
      <c r="I72" s="288">
        <f>+G72</f>
        <v>100000</v>
      </c>
      <c r="J72" s="260" t="s">
        <v>89</v>
      </c>
    </row>
    <row r="73" spans="1:10" ht="25" hidden="1" customHeight="1">
      <c r="A73" s="289"/>
      <c r="B73" s="290" t="s">
        <v>153</v>
      </c>
      <c r="C73" s="339" t="s">
        <v>150</v>
      </c>
      <c r="D73" s="292" t="s">
        <v>66</v>
      </c>
      <c r="E73" s="293">
        <v>16.129000000000001</v>
      </c>
      <c r="F73" s="293" t="s">
        <v>39</v>
      </c>
      <c r="G73" s="294">
        <v>300000</v>
      </c>
      <c r="H73" s="287">
        <v>1</v>
      </c>
      <c r="I73" s="295">
        <f t="shared" ref="I73:I80" si="2">+G73/E73</f>
        <v>18600.037200074399</v>
      </c>
      <c r="J73" s="260" t="s">
        <v>89</v>
      </c>
    </row>
    <row r="74" spans="1:10" ht="25" hidden="1" customHeight="1">
      <c r="A74" s="289"/>
      <c r="B74" s="290" t="s">
        <v>154</v>
      </c>
      <c r="C74" s="339" t="s">
        <v>150</v>
      </c>
      <c r="D74" s="292" t="s">
        <v>68</v>
      </c>
      <c r="E74" s="293">
        <v>16.129000000000001</v>
      </c>
      <c r="F74" s="293" t="s">
        <v>39</v>
      </c>
      <c r="G74" s="294">
        <v>1500000</v>
      </c>
      <c r="H74" s="287">
        <v>1</v>
      </c>
      <c r="I74" s="295">
        <f t="shared" si="2"/>
        <v>93000.186000371992</v>
      </c>
      <c r="J74" s="260" t="s">
        <v>89</v>
      </c>
    </row>
    <row r="75" spans="1:10" ht="25" hidden="1" customHeight="1">
      <c r="A75" s="289"/>
      <c r="B75" s="290" t="s">
        <v>155</v>
      </c>
      <c r="C75" s="339" t="s">
        <v>150</v>
      </c>
      <c r="D75" s="292" t="s">
        <v>70</v>
      </c>
      <c r="E75" s="293">
        <v>16.129000000000001</v>
      </c>
      <c r="F75" s="293" t="s">
        <v>39</v>
      </c>
      <c r="G75" s="294">
        <v>2000000</v>
      </c>
      <c r="H75" s="287">
        <v>1</v>
      </c>
      <c r="I75" s="295">
        <f t="shared" si="2"/>
        <v>124000.24800049599</v>
      </c>
      <c r="J75" s="260" t="s">
        <v>89</v>
      </c>
    </row>
    <row r="76" spans="1:10" ht="25" hidden="1" customHeight="1">
      <c r="A76" s="296"/>
      <c r="B76" s="297" t="s">
        <v>156</v>
      </c>
      <c r="C76" s="340" t="s">
        <v>150</v>
      </c>
      <c r="D76" s="299" t="s">
        <v>94</v>
      </c>
      <c r="E76" s="293">
        <v>16.129000000000001</v>
      </c>
      <c r="F76" s="300" t="s">
        <v>39</v>
      </c>
      <c r="G76" s="301">
        <v>2500000</v>
      </c>
      <c r="H76" s="287">
        <v>1</v>
      </c>
      <c r="I76" s="302">
        <f t="shared" si="2"/>
        <v>155000.31000062</v>
      </c>
      <c r="J76" s="260" t="s">
        <v>89</v>
      </c>
    </row>
    <row r="77" spans="1:10" ht="25" hidden="1" customHeight="1">
      <c r="A77" s="289"/>
      <c r="B77" s="290" t="s">
        <v>157</v>
      </c>
      <c r="C77" s="339" t="s">
        <v>158</v>
      </c>
      <c r="D77" s="292" t="s">
        <v>66</v>
      </c>
      <c r="E77" s="293">
        <v>16.129000000000001</v>
      </c>
      <c r="F77" s="293" t="s">
        <v>39</v>
      </c>
      <c r="G77" s="294">
        <v>300000</v>
      </c>
      <c r="H77" s="325">
        <v>0.5</v>
      </c>
      <c r="I77" s="295">
        <f t="shared" si="2"/>
        <v>18600.037200074399</v>
      </c>
      <c r="J77" s="260" t="s">
        <v>89</v>
      </c>
    </row>
    <row r="78" spans="1:10" ht="25" hidden="1" customHeight="1">
      <c r="A78" s="289"/>
      <c r="B78" s="290" t="s">
        <v>159</v>
      </c>
      <c r="C78" s="339" t="s">
        <v>158</v>
      </c>
      <c r="D78" s="292" t="s">
        <v>68</v>
      </c>
      <c r="E78" s="293">
        <v>16.129000000000001</v>
      </c>
      <c r="F78" s="293" t="s">
        <v>39</v>
      </c>
      <c r="G78" s="294">
        <v>1500000</v>
      </c>
      <c r="H78" s="325">
        <v>0.5</v>
      </c>
      <c r="I78" s="295">
        <f t="shared" si="2"/>
        <v>93000.186000371992</v>
      </c>
      <c r="J78" s="260" t="s">
        <v>89</v>
      </c>
    </row>
    <row r="79" spans="1:10" ht="25" hidden="1" customHeight="1">
      <c r="A79" s="289"/>
      <c r="B79" s="290" t="s">
        <v>160</v>
      </c>
      <c r="C79" s="339" t="s">
        <v>158</v>
      </c>
      <c r="D79" s="292" t="s">
        <v>70</v>
      </c>
      <c r="E79" s="293">
        <v>16.129000000000001</v>
      </c>
      <c r="F79" s="293" t="s">
        <v>39</v>
      </c>
      <c r="G79" s="294">
        <v>2000000</v>
      </c>
      <c r="H79" s="325">
        <v>0.5</v>
      </c>
      <c r="I79" s="295">
        <f t="shared" si="2"/>
        <v>124000.24800049599</v>
      </c>
      <c r="J79" s="260" t="s">
        <v>89</v>
      </c>
    </row>
    <row r="80" spans="1:10" ht="25" hidden="1" customHeight="1">
      <c r="A80" s="296"/>
      <c r="B80" s="297" t="s">
        <v>161</v>
      </c>
      <c r="C80" s="340" t="s">
        <v>158</v>
      </c>
      <c r="D80" s="299" t="s">
        <v>94</v>
      </c>
      <c r="E80" s="293">
        <v>16.129000000000001</v>
      </c>
      <c r="F80" s="300" t="s">
        <v>39</v>
      </c>
      <c r="G80" s="301">
        <v>2500000</v>
      </c>
      <c r="H80" s="325">
        <v>0.5</v>
      </c>
      <c r="I80" s="302">
        <f t="shared" si="2"/>
        <v>155000.31000062</v>
      </c>
      <c r="J80" s="260" t="s">
        <v>89</v>
      </c>
    </row>
    <row r="81" spans="1:10" ht="25" hidden="1" customHeight="1">
      <c r="A81" s="289"/>
      <c r="B81" s="290" t="s">
        <v>162</v>
      </c>
      <c r="C81" s="339" t="s">
        <v>163</v>
      </c>
      <c r="D81" s="292" t="s">
        <v>66</v>
      </c>
      <c r="E81" s="293">
        <v>16.129000000000001</v>
      </c>
      <c r="F81" s="293" t="s">
        <v>39</v>
      </c>
      <c r="G81" s="294">
        <v>300000</v>
      </c>
      <c r="H81" s="325">
        <v>0.3</v>
      </c>
      <c r="I81" s="295">
        <f>+G81/E81*H81</f>
        <v>5580.0111600223199</v>
      </c>
      <c r="J81" s="260" t="s">
        <v>89</v>
      </c>
    </row>
    <row r="82" spans="1:10" ht="25" hidden="1" customHeight="1">
      <c r="A82" s="289"/>
      <c r="B82" s="290" t="s">
        <v>164</v>
      </c>
      <c r="C82" s="339" t="s">
        <v>163</v>
      </c>
      <c r="D82" s="292" t="s">
        <v>68</v>
      </c>
      <c r="E82" s="293">
        <v>16.129000000000001</v>
      </c>
      <c r="F82" s="293" t="s">
        <v>39</v>
      </c>
      <c r="G82" s="294">
        <v>1500000</v>
      </c>
      <c r="H82" s="325">
        <v>0.3</v>
      </c>
      <c r="I82" s="295">
        <f>+G82/E82*H82</f>
        <v>27900.055800111597</v>
      </c>
      <c r="J82" s="260" t="s">
        <v>89</v>
      </c>
    </row>
    <row r="83" spans="1:10" ht="25" hidden="1" customHeight="1">
      <c r="A83" s="289"/>
      <c r="B83" s="290" t="s">
        <v>165</v>
      </c>
      <c r="C83" s="339" t="s">
        <v>163</v>
      </c>
      <c r="D83" s="292" t="s">
        <v>70</v>
      </c>
      <c r="E83" s="293">
        <v>16.129000000000001</v>
      </c>
      <c r="F83" s="293" t="s">
        <v>39</v>
      </c>
      <c r="G83" s="294">
        <v>2000000</v>
      </c>
      <c r="H83" s="325">
        <v>0.3</v>
      </c>
      <c r="I83" s="295">
        <f>+G83/E83*H83</f>
        <v>37200.074400148798</v>
      </c>
      <c r="J83" s="260" t="s">
        <v>89</v>
      </c>
    </row>
    <row r="84" spans="1:10" ht="25" hidden="1" customHeight="1">
      <c r="A84" s="296"/>
      <c r="B84" s="297" t="s">
        <v>166</v>
      </c>
      <c r="C84" s="340" t="s">
        <v>163</v>
      </c>
      <c r="D84" s="299" t="s">
        <v>94</v>
      </c>
      <c r="E84" s="293">
        <v>16.129000000000001</v>
      </c>
      <c r="F84" s="300" t="s">
        <v>39</v>
      </c>
      <c r="G84" s="301">
        <v>2500000</v>
      </c>
      <c r="H84" s="326">
        <v>0.3</v>
      </c>
      <c r="I84" s="295">
        <f>+G84/E84*H84</f>
        <v>46500.093000185996</v>
      </c>
      <c r="J84" s="260" t="s">
        <v>89</v>
      </c>
    </row>
    <row r="85" spans="1:10" ht="25" hidden="1" customHeight="1">
      <c r="A85" s="289"/>
      <c r="B85" s="290" t="s">
        <v>167</v>
      </c>
      <c r="C85" s="339" t="s">
        <v>168</v>
      </c>
      <c r="D85" s="292" t="s">
        <v>66</v>
      </c>
      <c r="E85" s="293">
        <v>16.129000000000001</v>
      </c>
      <c r="F85" s="293" t="s">
        <v>39</v>
      </c>
      <c r="G85" s="294">
        <v>300000</v>
      </c>
      <c r="H85" s="325">
        <v>0.15</v>
      </c>
      <c r="I85" s="295"/>
      <c r="J85" s="260" t="s">
        <v>89</v>
      </c>
    </row>
    <row r="86" spans="1:10" ht="25" hidden="1" customHeight="1">
      <c r="A86" s="289"/>
      <c r="B86" s="290" t="s">
        <v>169</v>
      </c>
      <c r="C86" s="339" t="s">
        <v>168</v>
      </c>
      <c r="D86" s="292" t="s">
        <v>68</v>
      </c>
      <c r="E86" s="293">
        <v>16.129000000000001</v>
      </c>
      <c r="F86" s="293" t="s">
        <v>39</v>
      </c>
      <c r="G86" s="294">
        <v>1500000</v>
      </c>
      <c r="H86" s="325">
        <v>0.15</v>
      </c>
      <c r="I86" s="295"/>
      <c r="J86" s="260" t="s">
        <v>89</v>
      </c>
    </row>
    <row r="87" spans="1:10" ht="25" hidden="1" customHeight="1">
      <c r="A87" s="289"/>
      <c r="B87" s="290" t="s">
        <v>170</v>
      </c>
      <c r="C87" s="339" t="s">
        <v>168</v>
      </c>
      <c r="D87" s="292" t="s">
        <v>70</v>
      </c>
      <c r="E87" s="293">
        <v>16.129000000000001</v>
      </c>
      <c r="F87" s="293" t="s">
        <v>39</v>
      </c>
      <c r="G87" s="294">
        <v>2000000</v>
      </c>
      <c r="H87" s="325">
        <v>0.15</v>
      </c>
      <c r="I87" s="295"/>
      <c r="J87" s="260" t="s">
        <v>89</v>
      </c>
    </row>
    <row r="88" spans="1:10" ht="25" hidden="1" customHeight="1">
      <c r="A88" s="296"/>
      <c r="B88" s="297" t="s">
        <v>171</v>
      </c>
      <c r="C88" s="340" t="s">
        <v>168</v>
      </c>
      <c r="D88" s="299" t="s">
        <v>94</v>
      </c>
      <c r="E88" s="293">
        <v>16.129000000000001</v>
      </c>
      <c r="F88" s="300" t="s">
        <v>39</v>
      </c>
      <c r="G88" s="301">
        <v>2500000</v>
      </c>
      <c r="H88" s="326">
        <v>0.15</v>
      </c>
      <c r="I88" s="302"/>
      <c r="J88" s="260" t="s">
        <v>89</v>
      </c>
    </row>
    <row r="89" spans="1:10" ht="25" hidden="1" customHeight="1">
      <c r="A89" s="281"/>
      <c r="B89" s="282" t="s">
        <v>172</v>
      </c>
      <c r="C89" s="338" t="s">
        <v>173</v>
      </c>
      <c r="D89" s="284" t="s">
        <v>66</v>
      </c>
      <c r="E89" s="293">
        <v>16.129000000000001</v>
      </c>
      <c r="F89" s="285" t="s">
        <v>39</v>
      </c>
      <c r="G89" s="341">
        <v>63000</v>
      </c>
      <c r="H89" s="287">
        <v>1</v>
      </c>
      <c r="I89" s="288">
        <f t="shared" ref="I89:I100" si="3">+G89/E89</f>
        <v>3906.0078120156236</v>
      </c>
      <c r="J89" s="260" t="s">
        <v>119</v>
      </c>
    </row>
    <row r="90" spans="1:10" ht="25" hidden="1" customHeight="1">
      <c r="A90" s="289"/>
      <c r="B90" s="290" t="s">
        <v>174</v>
      </c>
      <c r="C90" s="339" t="s">
        <v>173</v>
      </c>
      <c r="D90" s="292" t="s">
        <v>68</v>
      </c>
      <c r="E90" s="293">
        <v>16.129000000000001</v>
      </c>
      <c r="F90" s="293" t="s">
        <v>39</v>
      </c>
      <c r="G90" s="342">
        <v>288000</v>
      </c>
      <c r="H90" s="325">
        <v>1</v>
      </c>
      <c r="I90" s="295">
        <f t="shared" si="3"/>
        <v>17856.035712071422</v>
      </c>
      <c r="J90" s="260" t="s">
        <v>119</v>
      </c>
    </row>
    <row r="91" spans="1:10" ht="25" hidden="1" customHeight="1">
      <c r="A91" s="343"/>
      <c r="B91" s="344" t="s">
        <v>175</v>
      </c>
      <c r="C91" s="345" t="s">
        <v>173</v>
      </c>
      <c r="D91" s="346" t="s">
        <v>70</v>
      </c>
      <c r="E91" s="293">
        <v>16.129000000000001</v>
      </c>
      <c r="F91" s="347" t="s">
        <v>39</v>
      </c>
      <c r="G91" s="348">
        <v>378000</v>
      </c>
      <c r="H91" s="349">
        <v>1</v>
      </c>
      <c r="I91" s="350">
        <f t="shared" si="3"/>
        <v>23436.046872093742</v>
      </c>
      <c r="J91" s="260" t="s">
        <v>119</v>
      </c>
    </row>
    <row r="92" spans="1:10" ht="25" hidden="1" customHeight="1">
      <c r="A92" s="289"/>
      <c r="B92" s="290" t="s">
        <v>176</v>
      </c>
      <c r="C92" s="339" t="s">
        <v>177</v>
      </c>
      <c r="D92" s="292" t="s">
        <v>66</v>
      </c>
      <c r="E92" s="293">
        <v>16.129000000000001</v>
      </c>
      <c r="F92" s="293" t="s">
        <v>39</v>
      </c>
      <c r="G92" s="342">
        <v>63000</v>
      </c>
      <c r="H92" s="325">
        <v>0.5</v>
      </c>
      <c r="I92" s="295">
        <f t="shared" si="3"/>
        <v>3906.0078120156236</v>
      </c>
      <c r="J92" s="260" t="s">
        <v>119</v>
      </c>
    </row>
    <row r="93" spans="1:10" ht="25" hidden="1" customHeight="1">
      <c r="A93" s="289"/>
      <c r="B93" s="290" t="s">
        <v>178</v>
      </c>
      <c r="C93" s="339" t="s">
        <v>177</v>
      </c>
      <c r="D93" s="292" t="s">
        <v>68</v>
      </c>
      <c r="E93" s="293">
        <v>16.129000000000001</v>
      </c>
      <c r="F93" s="293" t="s">
        <v>39</v>
      </c>
      <c r="G93" s="342">
        <v>288000</v>
      </c>
      <c r="H93" s="325">
        <v>0.5</v>
      </c>
      <c r="I93" s="295">
        <f t="shared" si="3"/>
        <v>17856.035712071422</v>
      </c>
      <c r="J93" s="260" t="s">
        <v>119</v>
      </c>
    </row>
    <row r="94" spans="1:10" ht="25" hidden="1" customHeight="1">
      <c r="A94" s="296"/>
      <c r="B94" s="297" t="s">
        <v>179</v>
      </c>
      <c r="C94" s="340" t="s">
        <v>177</v>
      </c>
      <c r="D94" s="299" t="s">
        <v>70</v>
      </c>
      <c r="E94" s="293">
        <v>16.129000000000001</v>
      </c>
      <c r="F94" s="300" t="s">
        <v>39</v>
      </c>
      <c r="G94" s="348">
        <v>378000</v>
      </c>
      <c r="H94" s="326">
        <v>0.5</v>
      </c>
      <c r="I94" s="302">
        <f t="shared" si="3"/>
        <v>23436.046872093742</v>
      </c>
      <c r="J94" s="260" t="s">
        <v>119</v>
      </c>
    </row>
    <row r="95" spans="1:10" ht="25" hidden="1" customHeight="1">
      <c r="A95" s="281"/>
      <c r="B95" s="282" t="s">
        <v>180</v>
      </c>
      <c r="C95" s="351" t="s">
        <v>181</v>
      </c>
      <c r="D95" s="284" t="s">
        <v>66</v>
      </c>
      <c r="E95" s="293">
        <v>16.129000000000001</v>
      </c>
      <c r="F95" s="285" t="s">
        <v>39</v>
      </c>
      <c r="G95" s="294">
        <v>300000</v>
      </c>
      <c r="H95" s="287">
        <v>0.4</v>
      </c>
      <c r="I95" s="288">
        <f t="shared" si="3"/>
        <v>18600.037200074399</v>
      </c>
      <c r="J95" s="260" t="s">
        <v>89</v>
      </c>
    </row>
    <row r="96" spans="1:10" ht="25" hidden="1" customHeight="1">
      <c r="A96" s="289"/>
      <c r="B96" s="290" t="s">
        <v>182</v>
      </c>
      <c r="C96" s="351" t="s">
        <v>181</v>
      </c>
      <c r="D96" s="292" t="s">
        <v>68</v>
      </c>
      <c r="E96" s="293">
        <v>16.129000000000001</v>
      </c>
      <c r="F96" s="293" t="s">
        <v>39</v>
      </c>
      <c r="G96" s="294">
        <v>1500000</v>
      </c>
      <c r="H96" s="287">
        <v>0.4</v>
      </c>
      <c r="I96" s="295">
        <f t="shared" si="3"/>
        <v>93000.186000371992</v>
      </c>
      <c r="J96" s="260" t="s">
        <v>89</v>
      </c>
    </row>
    <row r="97" spans="1:10" ht="25" hidden="1" customHeight="1">
      <c r="A97" s="343"/>
      <c r="B97" s="344" t="s">
        <v>183</v>
      </c>
      <c r="C97" s="351" t="s">
        <v>181</v>
      </c>
      <c r="D97" s="346" t="s">
        <v>70</v>
      </c>
      <c r="E97" s="293">
        <v>16.129000000000001</v>
      </c>
      <c r="F97" s="347" t="s">
        <v>39</v>
      </c>
      <c r="G97" s="294">
        <v>2000000</v>
      </c>
      <c r="H97" s="287">
        <v>0.4</v>
      </c>
      <c r="I97" s="350">
        <f t="shared" si="3"/>
        <v>124000.24800049599</v>
      </c>
      <c r="J97" s="260" t="s">
        <v>89</v>
      </c>
    </row>
    <row r="98" spans="1:10" ht="25" hidden="1" customHeight="1">
      <c r="A98" s="281"/>
      <c r="B98" s="282" t="s">
        <v>184</v>
      </c>
      <c r="C98" s="351" t="s">
        <v>185</v>
      </c>
      <c r="D98" s="284" t="s">
        <v>66</v>
      </c>
      <c r="E98" s="293">
        <v>16.129000000000001</v>
      </c>
      <c r="F98" s="285" t="s">
        <v>39</v>
      </c>
      <c r="G98" s="294">
        <v>300000</v>
      </c>
      <c r="H98" s="287">
        <v>0.2</v>
      </c>
      <c r="I98" s="288">
        <f t="shared" si="3"/>
        <v>18600.037200074399</v>
      </c>
      <c r="J98" s="260" t="s">
        <v>89</v>
      </c>
    </row>
    <row r="99" spans="1:10" ht="25" hidden="1" customHeight="1">
      <c r="A99" s="289"/>
      <c r="B99" s="290" t="s">
        <v>186</v>
      </c>
      <c r="C99" s="351" t="s">
        <v>185</v>
      </c>
      <c r="D99" s="292" t="s">
        <v>68</v>
      </c>
      <c r="E99" s="293">
        <v>16.129000000000001</v>
      </c>
      <c r="F99" s="293" t="s">
        <v>39</v>
      </c>
      <c r="G99" s="294">
        <v>1500000</v>
      </c>
      <c r="H99" s="287">
        <v>0.2</v>
      </c>
      <c r="I99" s="295">
        <f t="shared" si="3"/>
        <v>93000.186000371992</v>
      </c>
      <c r="J99" s="260" t="s">
        <v>89</v>
      </c>
    </row>
    <row r="100" spans="1:10" ht="25" hidden="1" customHeight="1">
      <c r="A100" s="343"/>
      <c r="B100" s="344" t="s">
        <v>187</v>
      </c>
      <c r="C100" s="351" t="s">
        <v>185</v>
      </c>
      <c r="D100" s="346" t="s">
        <v>70</v>
      </c>
      <c r="E100" s="293">
        <v>16.129000000000001</v>
      </c>
      <c r="F100" s="347" t="s">
        <v>39</v>
      </c>
      <c r="G100" s="294">
        <v>2000000</v>
      </c>
      <c r="H100" s="287">
        <v>0.2</v>
      </c>
      <c r="I100" s="350">
        <f t="shared" si="3"/>
        <v>124000.24800049599</v>
      </c>
      <c r="J100" s="260" t="s">
        <v>89</v>
      </c>
    </row>
    <row r="101" spans="1:10" s="323" customFormat="1" ht="25" hidden="1" customHeight="1">
      <c r="A101" s="274">
        <v>14</v>
      </c>
      <c r="B101" s="319"/>
      <c r="C101" s="320" t="s">
        <v>188</v>
      </c>
      <c r="D101" s="321"/>
      <c r="E101" s="277"/>
      <c r="F101" s="277"/>
      <c r="G101" s="322"/>
      <c r="H101" s="280"/>
      <c r="I101" s="279"/>
      <c r="J101" s="260"/>
    </row>
    <row r="102" spans="1:10" ht="25" hidden="1" customHeight="1">
      <c r="A102" s="281"/>
      <c r="B102" s="282" t="s">
        <v>189</v>
      </c>
      <c r="C102" s="338" t="s">
        <v>190</v>
      </c>
      <c r="D102" s="284" t="s">
        <v>63</v>
      </c>
      <c r="E102" s="285"/>
      <c r="F102" s="285" t="s">
        <v>31</v>
      </c>
      <c r="G102" s="286">
        <v>70000</v>
      </c>
      <c r="H102" s="287">
        <v>1</v>
      </c>
      <c r="I102" s="288">
        <f>+G102</f>
        <v>70000</v>
      </c>
      <c r="J102" s="260" t="s">
        <v>89</v>
      </c>
    </row>
    <row r="103" spans="1:10" ht="25" hidden="1" customHeight="1">
      <c r="A103" s="289"/>
      <c r="B103" s="290" t="s">
        <v>191</v>
      </c>
      <c r="C103" s="339" t="s">
        <v>190</v>
      </c>
      <c r="D103" s="292" t="s">
        <v>66</v>
      </c>
      <c r="E103" s="293">
        <f>360/72</f>
        <v>5</v>
      </c>
      <c r="F103" s="293" t="s">
        <v>39</v>
      </c>
      <c r="G103" s="294">
        <v>200000</v>
      </c>
      <c r="H103" s="287">
        <v>1</v>
      </c>
      <c r="I103" s="295">
        <f>+G103/E103</f>
        <v>40000</v>
      </c>
      <c r="J103" s="260" t="s">
        <v>89</v>
      </c>
    </row>
    <row r="104" spans="1:10" ht="25" hidden="1" customHeight="1">
      <c r="A104" s="289"/>
      <c r="B104" s="290" t="s">
        <v>192</v>
      </c>
      <c r="C104" s="339" t="s">
        <v>190</v>
      </c>
      <c r="D104" s="292" t="s">
        <v>68</v>
      </c>
      <c r="E104" s="293">
        <f>360/54</f>
        <v>6.666666666666667</v>
      </c>
      <c r="F104" s="293" t="s">
        <v>39</v>
      </c>
      <c r="G104" s="294">
        <v>500000</v>
      </c>
      <c r="H104" s="287">
        <v>1</v>
      </c>
      <c r="I104" s="295">
        <f>+G104/E104</f>
        <v>75000</v>
      </c>
      <c r="J104" s="260" t="s">
        <v>89</v>
      </c>
    </row>
    <row r="105" spans="1:10" ht="25" hidden="1" customHeight="1">
      <c r="A105" s="289"/>
      <c r="B105" s="290" t="s">
        <v>193</v>
      </c>
      <c r="C105" s="339" t="s">
        <v>190</v>
      </c>
      <c r="D105" s="292" t="s">
        <v>70</v>
      </c>
      <c r="E105" s="293">
        <f>360/43</f>
        <v>8.3720930232558146</v>
      </c>
      <c r="F105" s="293" t="s">
        <v>39</v>
      </c>
      <c r="G105" s="294">
        <v>700000</v>
      </c>
      <c r="H105" s="287">
        <v>1</v>
      </c>
      <c r="I105" s="295">
        <f>+G105/E105</f>
        <v>83611.111111111109</v>
      </c>
      <c r="J105" s="260" t="s">
        <v>89</v>
      </c>
    </row>
    <row r="106" spans="1:10" ht="25" hidden="1" customHeight="1">
      <c r="A106" s="296"/>
      <c r="B106" s="297" t="s">
        <v>194</v>
      </c>
      <c r="C106" s="340" t="s">
        <v>190</v>
      </c>
      <c r="D106" s="299" t="s">
        <v>94</v>
      </c>
      <c r="E106" s="300">
        <f>360/43</f>
        <v>8.3720930232558146</v>
      </c>
      <c r="F106" s="300" t="s">
        <v>39</v>
      </c>
      <c r="G106" s="301">
        <v>1000000</v>
      </c>
      <c r="H106" s="287">
        <v>1</v>
      </c>
      <c r="I106" s="302">
        <f>+G106/E106</f>
        <v>119444.44444444444</v>
      </c>
      <c r="J106" s="260" t="s">
        <v>89</v>
      </c>
    </row>
    <row r="107" spans="1:10" ht="25" hidden="1" customHeight="1">
      <c r="A107" s="281"/>
      <c r="B107" s="282" t="s">
        <v>195</v>
      </c>
      <c r="C107" s="338" t="s">
        <v>196</v>
      </c>
      <c r="D107" s="284" t="s">
        <v>63</v>
      </c>
      <c r="E107" s="285"/>
      <c r="F107" s="285" t="s">
        <v>31</v>
      </c>
      <c r="G107" s="286">
        <v>70000</v>
      </c>
      <c r="H107" s="287">
        <v>0.5</v>
      </c>
      <c r="I107" s="288">
        <f>+G107</f>
        <v>70000</v>
      </c>
      <c r="J107" s="260" t="s">
        <v>89</v>
      </c>
    </row>
    <row r="108" spans="1:10" ht="25" hidden="1" customHeight="1">
      <c r="A108" s="289"/>
      <c r="B108" s="290" t="s">
        <v>197</v>
      </c>
      <c r="C108" s="339" t="s">
        <v>196</v>
      </c>
      <c r="D108" s="292" t="s">
        <v>66</v>
      </c>
      <c r="E108" s="293">
        <f>360/72</f>
        <v>5</v>
      </c>
      <c r="F108" s="293" t="s">
        <v>39</v>
      </c>
      <c r="G108" s="294">
        <v>200000</v>
      </c>
      <c r="H108" s="287">
        <v>0.5</v>
      </c>
      <c r="I108" s="295">
        <f>+G108/E108</f>
        <v>40000</v>
      </c>
      <c r="J108" s="260" t="s">
        <v>89</v>
      </c>
    </row>
    <row r="109" spans="1:10" ht="25" hidden="1" customHeight="1">
      <c r="A109" s="289"/>
      <c r="B109" s="290" t="s">
        <v>198</v>
      </c>
      <c r="C109" s="339" t="s">
        <v>196</v>
      </c>
      <c r="D109" s="292" t="s">
        <v>68</v>
      </c>
      <c r="E109" s="293">
        <f>360/54</f>
        <v>6.666666666666667</v>
      </c>
      <c r="F109" s="293" t="s">
        <v>39</v>
      </c>
      <c r="G109" s="294">
        <v>500000</v>
      </c>
      <c r="H109" s="287">
        <v>0.5</v>
      </c>
      <c r="I109" s="295">
        <f>+G109/E109</f>
        <v>75000</v>
      </c>
      <c r="J109" s="260" t="s">
        <v>89</v>
      </c>
    </row>
    <row r="110" spans="1:10" ht="25" hidden="1" customHeight="1">
      <c r="A110" s="289"/>
      <c r="B110" s="290" t="s">
        <v>199</v>
      </c>
      <c r="C110" s="339" t="s">
        <v>196</v>
      </c>
      <c r="D110" s="292" t="s">
        <v>70</v>
      </c>
      <c r="E110" s="293">
        <f>360/43</f>
        <v>8.3720930232558146</v>
      </c>
      <c r="F110" s="293" t="s">
        <v>39</v>
      </c>
      <c r="G110" s="294">
        <v>700000</v>
      </c>
      <c r="H110" s="287">
        <v>0.5</v>
      </c>
      <c r="I110" s="295">
        <f>+G110/E110</f>
        <v>83611.111111111109</v>
      </c>
      <c r="J110" s="260" t="s">
        <v>89</v>
      </c>
    </row>
    <row r="111" spans="1:10" ht="25" hidden="1" customHeight="1">
      <c r="A111" s="296"/>
      <c r="B111" s="297" t="s">
        <v>200</v>
      </c>
      <c r="C111" s="340" t="s">
        <v>196</v>
      </c>
      <c r="D111" s="299" t="s">
        <v>94</v>
      </c>
      <c r="E111" s="300">
        <f>360/43</f>
        <v>8.3720930232558146</v>
      </c>
      <c r="F111" s="300" t="s">
        <v>39</v>
      </c>
      <c r="G111" s="301">
        <v>1000000</v>
      </c>
      <c r="H111" s="287">
        <v>0.5</v>
      </c>
      <c r="I111" s="302">
        <f>+G111/E111</f>
        <v>119444.44444444444</v>
      </c>
      <c r="J111" s="260" t="s">
        <v>89</v>
      </c>
    </row>
    <row r="112" spans="1:10" s="323" customFormat="1" ht="25" hidden="1" customHeight="1">
      <c r="A112" s="274">
        <v>14</v>
      </c>
      <c r="B112" s="319"/>
      <c r="C112" s="320" t="s">
        <v>201</v>
      </c>
      <c r="D112" s="321"/>
      <c r="E112" s="278" t="s">
        <v>202</v>
      </c>
      <c r="F112" s="277"/>
      <c r="G112" s="322"/>
      <c r="H112" s="280"/>
      <c r="I112" s="279"/>
      <c r="J112" s="260"/>
    </row>
    <row r="113" spans="1:10" ht="25" hidden="1" customHeight="1">
      <c r="A113" s="281"/>
      <c r="B113" s="282" t="s">
        <v>203</v>
      </c>
      <c r="C113" s="338" t="s">
        <v>204</v>
      </c>
      <c r="D113" s="284" t="s">
        <v>63</v>
      </c>
      <c r="E113" s="285"/>
      <c r="F113" s="285" t="s">
        <v>31</v>
      </c>
      <c r="G113" s="286">
        <v>70000</v>
      </c>
      <c r="H113" s="287">
        <v>1</v>
      </c>
      <c r="I113" s="288">
        <f>+G113</f>
        <v>70000</v>
      </c>
      <c r="J113" s="260" t="s">
        <v>89</v>
      </c>
    </row>
    <row r="114" spans="1:10" ht="25" hidden="1" customHeight="1">
      <c r="A114" s="289"/>
      <c r="B114" s="290" t="s">
        <v>205</v>
      </c>
      <c r="C114" s="339" t="s">
        <v>204</v>
      </c>
      <c r="D114" s="292" t="s">
        <v>66</v>
      </c>
      <c r="E114" s="293">
        <v>6.25</v>
      </c>
      <c r="F114" s="293" t="s">
        <v>39</v>
      </c>
      <c r="G114" s="294">
        <v>200000</v>
      </c>
      <c r="H114" s="287">
        <v>1</v>
      </c>
      <c r="I114" s="295">
        <f>+G114/E114</f>
        <v>32000</v>
      </c>
      <c r="J114" s="260" t="s">
        <v>89</v>
      </c>
    </row>
    <row r="115" spans="1:10" ht="25" hidden="1" customHeight="1">
      <c r="A115" s="289"/>
      <c r="B115" s="290" t="s">
        <v>206</v>
      </c>
      <c r="C115" s="339" t="s">
        <v>204</v>
      </c>
      <c r="D115" s="292" t="s">
        <v>68</v>
      </c>
      <c r="E115" s="293">
        <v>6.25</v>
      </c>
      <c r="F115" s="293" t="s">
        <v>39</v>
      </c>
      <c r="G115" s="294">
        <v>500000</v>
      </c>
      <c r="H115" s="287">
        <v>1</v>
      </c>
      <c r="I115" s="295">
        <f>+G115/E115</f>
        <v>80000</v>
      </c>
      <c r="J115" s="260" t="s">
        <v>89</v>
      </c>
    </row>
    <row r="116" spans="1:10" ht="25" hidden="1" customHeight="1">
      <c r="A116" s="289"/>
      <c r="B116" s="290" t="s">
        <v>207</v>
      </c>
      <c r="C116" s="339" t="s">
        <v>204</v>
      </c>
      <c r="D116" s="292" t="s">
        <v>70</v>
      </c>
      <c r="E116" s="293">
        <v>6.25</v>
      </c>
      <c r="F116" s="293" t="s">
        <v>39</v>
      </c>
      <c r="G116" s="294">
        <v>700000</v>
      </c>
      <c r="H116" s="287">
        <v>1</v>
      </c>
      <c r="I116" s="295">
        <f>+G116/E116</f>
        <v>112000</v>
      </c>
      <c r="J116" s="260" t="s">
        <v>89</v>
      </c>
    </row>
    <row r="117" spans="1:10" ht="25" hidden="1" customHeight="1">
      <c r="A117" s="296"/>
      <c r="B117" s="297" t="s">
        <v>208</v>
      </c>
      <c r="C117" s="340" t="s">
        <v>204</v>
      </c>
      <c r="D117" s="299" t="s">
        <v>94</v>
      </c>
      <c r="E117" s="293">
        <v>6.25</v>
      </c>
      <c r="F117" s="300" t="s">
        <v>39</v>
      </c>
      <c r="G117" s="301">
        <v>1000000</v>
      </c>
      <c r="H117" s="287">
        <v>1</v>
      </c>
      <c r="I117" s="302">
        <f>+G117/E117</f>
        <v>160000</v>
      </c>
      <c r="J117" s="260" t="s">
        <v>89</v>
      </c>
    </row>
    <row r="118" spans="1:10" ht="25" hidden="1" customHeight="1">
      <c r="A118" s="281"/>
      <c r="B118" s="282" t="s">
        <v>209</v>
      </c>
      <c r="C118" s="338" t="s">
        <v>210</v>
      </c>
      <c r="D118" s="284" t="s">
        <v>63</v>
      </c>
      <c r="E118" s="293">
        <v>6.25</v>
      </c>
      <c r="F118" s="285" t="s">
        <v>31</v>
      </c>
      <c r="G118" s="286">
        <v>70000</v>
      </c>
      <c r="H118" s="287">
        <v>0.5</v>
      </c>
      <c r="I118" s="288">
        <f>+G118</f>
        <v>70000</v>
      </c>
      <c r="J118" s="260" t="s">
        <v>89</v>
      </c>
    </row>
    <row r="119" spans="1:10" ht="25" hidden="1" customHeight="1">
      <c r="A119" s="289"/>
      <c r="B119" s="290" t="s">
        <v>211</v>
      </c>
      <c r="C119" s="339" t="s">
        <v>210</v>
      </c>
      <c r="D119" s="292" t="s">
        <v>66</v>
      </c>
      <c r="E119" s="293">
        <v>6.25</v>
      </c>
      <c r="F119" s="293" t="s">
        <v>39</v>
      </c>
      <c r="G119" s="294">
        <v>200000</v>
      </c>
      <c r="H119" s="287">
        <v>0.5</v>
      </c>
      <c r="I119" s="295">
        <f>+G119/E119</f>
        <v>32000</v>
      </c>
      <c r="J119" s="260" t="s">
        <v>89</v>
      </c>
    </row>
    <row r="120" spans="1:10" ht="25" hidden="1" customHeight="1">
      <c r="A120" s="289"/>
      <c r="B120" s="290" t="s">
        <v>212</v>
      </c>
      <c r="C120" s="339" t="s">
        <v>210</v>
      </c>
      <c r="D120" s="292" t="s">
        <v>68</v>
      </c>
      <c r="E120" s="293">
        <v>6.25</v>
      </c>
      <c r="F120" s="293" t="s">
        <v>39</v>
      </c>
      <c r="G120" s="294">
        <v>500000</v>
      </c>
      <c r="H120" s="287">
        <v>0.5</v>
      </c>
      <c r="I120" s="295">
        <f>+G120/E120</f>
        <v>80000</v>
      </c>
      <c r="J120" s="260" t="s">
        <v>89</v>
      </c>
    </row>
    <row r="121" spans="1:10" ht="25" hidden="1" customHeight="1">
      <c r="A121" s="289"/>
      <c r="B121" s="290" t="s">
        <v>213</v>
      </c>
      <c r="C121" s="339" t="s">
        <v>210</v>
      </c>
      <c r="D121" s="292" t="s">
        <v>70</v>
      </c>
      <c r="E121" s="293">
        <v>6.25</v>
      </c>
      <c r="F121" s="293" t="s">
        <v>39</v>
      </c>
      <c r="G121" s="294">
        <v>700000</v>
      </c>
      <c r="H121" s="287">
        <v>0.5</v>
      </c>
      <c r="I121" s="295">
        <f>+G121/E121</f>
        <v>112000</v>
      </c>
      <c r="J121" s="260" t="s">
        <v>89</v>
      </c>
    </row>
    <row r="122" spans="1:10" ht="25" hidden="1" customHeight="1">
      <c r="A122" s="296"/>
      <c r="B122" s="297" t="s">
        <v>214</v>
      </c>
      <c r="C122" s="340" t="s">
        <v>210</v>
      </c>
      <c r="D122" s="299" t="s">
        <v>94</v>
      </c>
      <c r="E122" s="293">
        <v>6.25</v>
      </c>
      <c r="F122" s="300" t="s">
        <v>39</v>
      </c>
      <c r="G122" s="301">
        <v>1000000</v>
      </c>
      <c r="H122" s="287">
        <v>0.5</v>
      </c>
      <c r="I122" s="302">
        <f>+G122/E122</f>
        <v>160000</v>
      </c>
      <c r="J122" s="260" t="s">
        <v>89</v>
      </c>
    </row>
    <row r="123" spans="1:10" ht="25" hidden="1" customHeight="1">
      <c r="A123" s="281"/>
      <c r="B123" s="282" t="s">
        <v>215</v>
      </c>
      <c r="C123" s="338" t="s">
        <v>216</v>
      </c>
      <c r="D123" s="284" t="s">
        <v>63</v>
      </c>
      <c r="E123" s="285"/>
      <c r="F123" s="285" t="s">
        <v>31</v>
      </c>
      <c r="G123" s="286">
        <v>70000</v>
      </c>
      <c r="H123" s="287">
        <v>0.2</v>
      </c>
      <c r="I123" s="288">
        <f>+G123</f>
        <v>70000</v>
      </c>
      <c r="J123" s="260" t="s">
        <v>119</v>
      </c>
    </row>
    <row r="124" spans="1:10" ht="25" hidden="1" customHeight="1">
      <c r="A124" s="289"/>
      <c r="B124" s="290" t="s">
        <v>217</v>
      </c>
      <c r="C124" s="338" t="s">
        <v>216</v>
      </c>
      <c r="D124" s="292" t="s">
        <v>66</v>
      </c>
      <c r="E124" s="293">
        <f>360/72</f>
        <v>5</v>
      </c>
      <c r="F124" s="293" t="s">
        <v>39</v>
      </c>
      <c r="G124" s="294">
        <v>200000</v>
      </c>
      <c r="H124" s="325">
        <v>0.2</v>
      </c>
      <c r="I124" s="295">
        <f>+G124/E124</f>
        <v>40000</v>
      </c>
      <c r="J124" s="260" t="s">
        <v>119</v>
      </c>
    </row>
    <row r="125" spans="1:10" ht="25" hidden="1" customHeight="1">
      <c r="A125" s="289"/>
      <c r="B125" s="290" t="s">
        <v>218</v>
      </c>
      <c r="C125" s="338" t="s">
        <v>216</v>
      </c>
      <c r="D125" s="292" t="s">
        <v>68</v>
      </c>
      <c r="E125" s="293">
        <f>360/54</f>
        <v>6.666666666666667</v>
      </c>
      <c r="F125" s="293" t="s">
        <v>39</v>
      </c>
      <c r="G125" s="294">
        <v>500000</v>
      </c>
      <c r="H125" s="325">
        <v>0.2</v>
      </c>
      <c r="I125" s="295">
        <f>+G125/E125</f>
        <v>75000</v>
      </c>
      <c r="J125" s="260" t="s">
        <v>119</v>
      </c>
    </row>
    <row r="126" spans="1:10" ht="25" hidden="1" customHeight="1">
      <c r="A126" s="289"/>
      <c r="B126" s="290" t="s">
        <v>219</v>
      </c>
      <c r="C126" s="338" t="s">
        <v>216</v>
      </c>
      <c r="D126" s="292" t="s">
        <v>70</v>
      </c>
      <c r="E126" s="293">
        <f>360/43</f>
        <v>8.3720930232558146</v>
      </c>
      <c r="F126" s="293" t="s">
        <v>39</v>
      </c>
      <c r="G126" s="294">
        <v>700000</v>
      </c>
      <c r="H126" s="325">
        <v>0.2</v>
      </c>
      <c r="I126" s="295">
        <f>+G126/E126</f>
        <v>83611.111111111109</v>
      </c>
      <c r="J126" s="260" t="s">
        <v>119</v>
      </c>
    </row>
    <row r="127" spans="1:10" ht="25" hidden="1" customHeight="1">
      <c r="A127" s="296"/>
      <c r="B127" s="297" t="s">
        <v>220</v>
      </c>
      <c r="C127" s="338" t="s">
        <v>216</v>
      </c>
      <c r="D127" s="299" t="s">
        <v>94</v>
      </c>
      <c r="E127" s="300">
        <f>360/43</f>
        <v>8.3720930232558146</v>
      </c>
      <c r="F127" s="300" t="s">
        <v>39</v>
      </c>
      <c r="G127" s="301">
        <v>1000000</v>
      </c>
      <c r="H127" s="326">
        <v>0.2</v>
      </c>
      <c r="I127" s="302">
        <f>+G127/E127</f>
        <v>119444.44444444444</v>
      </c>
      <c r="J127" s="260" t="s">
        <v>119</v>
      </c>
    </row>
    <row r="128" spans="1:10" s="323" customFormat="1" ht="25" hidden="1" customHeight="1">
      <c r="A128" s="274">
        <v>14</v>
      </c>
      <c r="B128" s="319"/>
      <c r="C128" s="320" t="s">
        <v>221</v>
      </c>
      <c r="D128" s="321"/>
      <c r="E128" s="277" t="s">
        <v>222</v>
      </c>
      <c r="F128" s="277"/>
      <c r="G128" s="322"/>
      <c r="H128" s="280"/>
      <c r="I128" s="279"/>
      <c r="J128" s="260"/>
    </row>
    <row r="129" spans="1:10" ht="25" hidden="1" customHeight="1">
      <c r="A129" s="281"/>
      <c r="B129" s="282" t="s">
        <v>223</v>
      </c>
      <c r="C129" s="338" t="s">
        <v>224</v>
      </c>
      <c r="D129" s="284" t="s">
        <v>63</v>
      </c>
      <c r="E129" s="285"/>
      <c r="F129" s="285" t="s">
        <v>31</v>
      </c>
      <c r="G129" s="286">
        <v>70000</v>
      </c>
      <c r="H129" s="287">
        <v>1</v>
      </c>
      <c r="I129" s="288">
        <f>+G129</f>
        <v>70000</v>
      </c>
      <c r="J129" s="260" t="s">
        <v>89</v>
      </c>
    </row>
    <row r="130" spans="1:10" ht="25" hidden="1" customHeight="1">
      <c r="A130" s="289"/>
      <c r="B130" s="290" t="s">
        <v>225</v>
      </c>
      <c r="C130" s="339" t="s">
        <v>224</v>
      </c>
      <c r="D130" s="292" t="s">
        <v>66</v>
      </c>
      <c r="E130" s="293">
        <v>3.84</v>
      </c>
      <c r="F130" s="293" t="s">
        <v>39</v>
      </c>
      <c r="G130" s="294">
        <v>200000</v>
      </c>
      <c r="H130" s="287">
        <v>1</v>
      </c>
      <c r="I130" s="295">
        <f>+G130/E130</f>
        <v>52083.333333333336</v>
      </c>
      <c r="J130" s="260" t="s">
        <v>89</v>
      </c>
    </row>
    <row r="131" spans="1:10" ht="25" hidden="1" customHeight="1">
      <c r="A131" s="289"/>
      <c r="B131" s="290" t="s">
        <v>226</v>
      </c>
      <c r="C131" s="339" t="s">
        <v>224</v>
      </c>
      <c r="D131" s="292" t="s">
        <v>68</v>
      </c>
      <c r="E131" s="293">
        <v>3.84</v>
      </c>
      <c r="F131" s="293" t="s">
        <v>39</v>
      </c>
      <c r="G131" s="294">
        <v>500000</v>
      </c>
      <c r="H131" s="287">
        <v>1</v>
      </c>
      <c r="I131" s="295">
        <f>+G131/E131</f>
        <v>130208.33333333334</v>
      </c>
      <c r="J131" s="260" t="s">
        <v>89</v>
      </c>
    </row>
    <row r="132" spans="1:10" ht="25" hidden="1" customHeight="1">
      <c r="A132" s="289"/>
      <c r="B132" s="290" t="s">
        <v>227</v>
      </c>
      <c r="C132" s="339" t="s">
        <v>224</v>
      </c>
      <c r="D132" s="292" t="s">
        <v>70</v>
      </c>
      <c r="E132" s="293">
        <v>3.84</v>
      </c>
      <c r="F132" s="293" t="s">
        <v>39</v>
      </c>
      <c r="G132" s="294">
        <v>700000</v>
      </c>
      <c r="H132" s="287">
        <v>1</v>
      </c>
      <c r="I132" s="295">
        <f>+G132/E132</f>
        <v>182291.66666666669</v>
      </c>
      <c r="J132" s="260" t="s">
        <v>89</v>
      </c>
    </row>
    <row r="133" spans="1:10" ht="25" hidden="1" customHeight="1">
      <c r="A133" s="296"/>
      <c r="B133" s="297" t="s">
        <v>228</v>
      </c>
      <c r="C133" s="340" t="s">
        <v>224</v>
      </c>
      <c r="D133" s="299" t="s">
        <v>94</v>
      </c>
      <c r="E133" s="293">
        <v>3.84</v>
      </c>
      <c r="F133" s="300" t="s">
        <v>39</v>
      </c>
      <c r="G133" s="301">
        <v>1000000</v>
      </c>
      <c r="H133" s="287">
        <v>1</v>
      </c>
      <c r="I133" s="302">
        <f>+G133/E133</f>
        <v>260416.66666666669</v>
      </c>
      <c r="J133" s="260" t="s">
        <v>89</v>
      </c>
    </row>
    <row r="134" spans="1:10" ht="25" hidden="1" customHeight="1">
      <c r="A134" s="352"/>
      <c r="B134" s="353" t="s">
        <v>229</v>
      </c>
      <c r="C134" s="340" t="s">
        <v>230</v>
      </c>
      <c r="D134" s="292" t="s">
        <v>66</v>
      </c>
      <c r="E134" s="293">
        <v>3.84</v>
      </c>
      <c r="F134" s="354" t="s">
        <v>39</v>
      </c>
      <c r="G134" s="355">
        <v>40000</v>
      </c>
      <c r="H134" s="326">
        <v>1</v>
      </c>
      <c r="I134" s="356"/>
      <c r="J134" s="260" t="s">
        <v>119</v>
      </c>
    </row>
    <row r="135" spans="1:10" ht="25" hidden="1" customHeight="1">
      <c r="A135" s="281"/>
      <c r="B135" s="282" t="s">
        <v>231</v>
      </c>
      <c r="C135" s="338" t="s">
        <v>232</v>
      </c>
      <c r="D135" s="284" t="s">
        <v>63</v>
      </c>
      <c r="E135" s="293">
        <v>3.84</v>
      </c>
      <c r="F135" s="285" t="s">
        <v>31</v>
      </c>
      <c r="G135" s="286">
        <v>70000</v>
      </c>
      <c r="H135" s="287">
        <v>0.5</v>
      </c>
      <c r="I135" s="288">
        <f>+G135</f>
        <v>70000</v>
      </c>
      <c r="J135" s="260" t="s">
        <v>89</v>
      </c>
    </row>
    <row r="136" spans="1:10" ht="25" hidden="1" customHeight="1">
      <c r="A136" s="289"/>
      <c r="B136" s="290" t="s">
        <v>233</v>
      </c>
      <c r="C136" s="339" t="s">
        <v>232</v>
      </c>
      <c r="D136" s="292" t="s">
        <v>66</v>
      </c>
      <c r="E136" s="293">
        <v>3.84</v>
      </c>
      <c r="F136" s="293" t="s">
        <v>39</v>
      </c>
      <c r="G136" s="294">
        <v>200000</v>
      </c>
      <c r="H136" s="287">
        <v>0.5</v>
      </c>
      <c r="I136" s="295">
        <f>+G136/E136</f>
        <v>52083.333333333336</v>
      </c>
      <c r="J136" s="260" t="s">
        <v>89</v>
      </c>
    </row>
    <row r="137" spans="1:10" ht="25" hidden="1" customHeight="1">
      <c r="A137" s="289"/>
      <c r="B137" s="290" t="s">
        <v>234</v>
      </c>
      <c r="C137" s="339" t="s">
        <v>232</v>
      </c>
      <c r="D137" s="292" t="s">
        <v>68</v>
      </c>
      <c r="E137" s="293">
        <v>3.84</v>
      </c>
      <c r="F137" s="293" t="s">
        <v>39</v>
      </c>
      <c r="G137" s="294">
        <v>500000</v>
      </c>
      <c r="H137" s="287">
        <v>0.5</v>
      </c>
      <c r="I137" s="295">
        <f>+G137/E137</f>
        <v>130208.33333333334</v>
      </c>
      <c r="J137" s="260" t="s">
        <v>89</v>
      </c>
    </row>
    <row r="138" spans="1:10" ht="25" hidden="1" customHeight="1">
      <c r="A138" s="289"/>
      <c r="B138" s="290" t="s">
        <v>235</v>
      </c>
      <c r="C138" s="339" t="s">
        <v>232</v>
      </c>
      <c r="D138" s="292" t="s">
        <v>70</v>
      </c>
      <c r="E138" s="293">
        <v>3.84</v>
      </c>
      <c r="F138" s="293" t="s">
        <v>39</v>
      </c>
      <c r="G138" s="294">
        <v>700000</v>
      </c>
      <c r="H138" s="287">
        <v>0.5</v>
      </c>
      <c r="I138" s="295">
        <f>+G138/E138</f>
        <v>182291.66666666669</v>
      </c>
      <c r="J138" s="260" t="s">
        <v>89</v>
      </c>
    </row>
    <row r="139" spans="1:10" ht="25" hidden="1" customHeight="1">
      <c r="A139" s="296"/>
      <c r="B139" s="297" t="s">
        <v>236</v>
      </c>
      <c r="C139" s="340" t="s">
        <v>232</v>
      </c>
      <c r="D139" s="299" t="s">
        <v>94</v>
      </c>
      <c r="E139" s="293">
        <v>3.84</v>
      </c>
      <c r="F139" s="300" t="s">
        <v>39</v>
      </c>
      <c r="G139" s="301">
        <v>1000000</v>
      </c>
      <c r="H139" s="287">
        <v>0.5</v>
      </c>
      <c r="I139" s="302">
        <f>+G139/E139</f>
        <v>260416.66666666669</v>
      </c>
      <c r="J139" s="260" t="s">
        <v>89</v>
      </c>
    </row>
    <row r="140" spans="1:10" ht="25" hidden="1" customHeight="1">
      <c r="A140" s="274">
        <v>15</v>
      </c>
      <c r="B140" s="275"/>
      <c r="C140" s="276" t="s">
        <v>49</v>
      </c>
      <c r="D140" s="277"/>
      <c r="E140" s="278">
        <f>10000/2200</f>
        <v>4.5454545454545459</v>
      </c>
      <c r="F140" s="277"/>
      <c r="G140" s="279"/>
      <c r="H140" s="280"/>
      <c r="I140" s="279"/>
    </row>
    <row r="141" spans="1:10" ht="25" hidden="1" customHeight="1">
      <c r="A141" s="281"/>
      <c r="B141" s="282" t="s">
        <v>237</v>
      </c>
      <c r="C141" s="338" t="s">
        <v>238</v>
      </c>
      <c r="D141" s="284" t="s">
        <v>239</v>
      </c>
      <c r="E141" s="285">
        <v>4.54</v>
      </c>
      <c r="F141" s="285" t="s">
        <v>39</v>
      </c>
      <c r="G141" s="286">
        <v>15000</v>
      </c>
      <c r="H141" s="287">
        <v>0.5</v>
      </c>
      <c r="I141" s="288">
        <f>+G141</f>
        <v>15000</v>
      </c>
      <c r="J141" s="260" t="s">
        <v>89</v>
      </c>
    </row>
    <row r="142" spans="1:10" ht="25" hidden="1" customHeight="1">
      <c r="A142" s="289"/>
      <c r="B142" s="290" t="s">
        <v>240</v>
      </c>
      <c r="C142" s="339" t="s">
        <v>238</v>
      </c>
      <c r="D142" s="292" t="s">
        <v>2245</v>
      </c>
      <c r="E142" s="285">
        <v>4.54</v>
      </c>
      <c r="F142" s="293" t="s">
        <v>39</v>
      </c>
      <c r="G142" s="294">
        <v>30000</v>
      </c>
      <c r="H142" s="287">
        <v>0.5</v>
      </c>
      <c r="I142" s="295">
        <f t="shared" ref="I142:I147" si="4">+G142/E142</f>
        <v>6607.929515418502</v>
      </c>
      <c r="J142" s="260" t="s">
        <v>89</v>
      </c>
    </row>
    <row r="143" spans="1:10" ht="25" hidden="1" customHeight="1">
      <c r="A143" s="289"/>
      <c r="B143" s="290" t="s">
        <v>242</v>
      </c>
      <c r="C143" s="339" t="s">
        <v>238</v>
      </c>
      <c r="D143" s="292" t="s">
        <v>2246</v>
      </c>
      <c r="E143" s="285">
        <v>4.54</v>
      </c>
      <c r="F143" s="293" t="s">
        <v>39</v>
      </c>
      <c r="G143" s="294">
        <v>60000</v>
      </c>
      <c r="H143" s="287">
        <v>0.5</v>
      </c>
      <c r="I143" s="295">
        <f t="shared" si="4"/>
        <v>13215.859030837004</v>
      </c>
      <c r="J143" s="260" t="s">
        <v>89</v>
      </c>
    </row>
    <row r="144" spans="1:10" ht="25" hidden="1" customHeight="1">
      <c r="A144" s="296"/>
      <c r="B144" s="297" t="s">
        <v>244</v>
      </c>
      <c r="C144" s="340" t="s">
        <v>245</v>
      </c>
      <c r="D144" s="299" t="s">
        <v>63</v>
      </c>
      <c r="E144" s="285">
        <v>4.54</v>
      </c>
      <c r="F144" s="300" t="s">
        <v>31</v>
      </c>
      <c r="G144" s="301">
        <v>50000</v>
      </c>
      <c r="H144" s="326">
        <v>1</v>
      </c>
      <c r="I144" s="295">
        <f t="shared" si="4"/>
        <v>11013.215859030837</v>
      </c>
      <c r="J144" s="260" t="s">
        <v>89</v>
      </c>
    </row>
    <row r="145" spans="1:10" ht="29.25" hidden="1" customHeight="1">
      <c r="A145" s="289"/>
      <c r="B145" s="290" t="s">
        <v>246</v>
      </c>
      <c r="C145" s="339" t="s">
        <v>245</v>
      </c>
      <c r="D145" s="292" t="s">
        <v>239</v>
      </c>
      <c r="E145" s="285">
        <v>4.54</v>
      </c>
      <c r="F145" s="293" t="s">
        <v>39</v>
      </c>
      <c r="G145" s="294">
        <v>15000</v>
      </c>
      <c r="H145" s="326">
        <v>1</v>
      </c>
      <c r="I145" s="295">
        <f t="shared" si="4"/>
        <v>3303.964757709251</v>
      </c>
      <c r="J145" s="260" t="s">
        <v>89</v>
      </c>
    </row>
    <row r="146" spans="1:10" ht="25" hidden="1" customHeight="1">
      <c r="A146" s="289"/>
      <c r="B146" s="290" t="s">
        <v>247</v>
      </c>
      <c r="C146" s="339" t="s">
        <v>245</v>
      </c>
      <c r="D146" s="292" t="s">
        <v>2245</v>
      </c>
      <c r="E146" s="285">
        <v>4.54</v>
      </c>
      <c r="F146" s="293" t="s">
        <v>39</v>
      </c>
      <c r="G146" s="294">
        <v>30000</v>
      </c>
      <c r="H146" s="326">
        <v>1</v>
      </c>
      <c r="I146" s="295">
        <f t="shared" si="4"/>
        <v>6607.929515418502</v>
      </c>
      <c r="J146" s="260" t="s">
        <v>89</v>
      </c>
    </row>
    <row r="147" spans="1:10" ht="25" hidden="1" customHeight="1">
      <c r="A147" s="296"/>
      <c r="B147" s="297" t="s">
        <v>248</v>
      </c>
      <c r="C147" s="340" t="s">
        <v>245</v>
      </c>
      <c r="D147" s="299" t="s">
        <v>2246</v>
      </c>
      <c r="E147" s="285">
        <v>4.54</v>
      </c>
      <c r="F147" s="300" t="s">
        <v>39</v>
      </c>
      <c r="G147" s="301">
        <v>60000</v>
      </c>
      <c r="H147" s="326">
        <v>1</v>
      </c>
      <c r="I147" s="302">
        <f t="shared" si="4"/>
        <v>13215.859030837004</v>
      </c>
      <c r="J147" s="260" t="s">
        <v>89</v>
      </c>
    </row>
    <row r="148" spans="1:10" s="323" customFormat="1" ht="25" hidden="1" customHeight="1">
      <c r="A148" s="274">
        <v>1</v>
      </c>
      <c r="B148" s="319"/>
      <c r="C148" s="320" t="s">
        <v>41</v>
      </c>
      <c r="D148" s="321"/>
      <c r="E148" s="277">
        <f t="shared" ref="E148:E154" si="5">10000/2500</f>
        <v>4</v>
      </c>
      <c r="F148" s="277"/>
      <c r="G148" s="322"/>
      <c r="H148" s="280"/>
      <c r="I148" s="279"/>
      <c r="J148" s="260"/>
    </row>
    <row r="149" spans="1:10" ht="25" hidden="1" customHeight="1">
      <c r="A149" s="281"/>
      <c r="B149" s="282" t="s">
        <v>249</v>
      </c>
      <c r="C149" s="338" t="s">
        <v>41</v>
      </c>
      <c r="D149" s="284" t="s">
        <v>250</v>
      </c>
      <c r="E149" s="277">
        <f t="shared" si="5"/>
        <v>4</v>
      </c>
      <c r="F149" s="285" t="s">
        <v>39</v>
      </c>
      <c r="G149" s="286">
        <v>30000</v>
      </c>
      <c r="H149" s="287">
        <v>1</v>
      </c>
      <c r="I149" s="288">
        <f t="shared" ref="I149:I154" si="6">+G149/E149</f>
        <v>7500</v>
      </c>
      <c r="J149" s="260" t="s">
        <v>89</v>
      </c>
    </row>
    <row r="150" spans="1:10" ht="25" hidden="1" customHeight="1">
      <c r="A150" s="296"/>
      <c r="B150" s="282" t="s">
        <v>251</v>
      </c>
      <c r="C150" s="340" t="s">
        <v>41</v>
      </c>
      <c r="D150" s="299" t="s">
        <v>2247</v>
      </c>
      <c r="E150" s="277">
        <f t="shared" si="5"/>
        <v>4</v>
      </c>
      <c r="F150" s="300" t="s">
        <v>39</v>
      </c>
      <c r="G150" s="301">
        <v>60000</v>
      </c>
      <c r="H150" s="287">
        <v>1</v>
      </c>
      <c r="I150" s="302">
        <f t="shared" si="6"/>
        <v>15000</v>
      </c>
      <c r="J150" s="260" t="s">
        <v>89</v>
      </c>
    </row>
    <row r="151" spans="1:10" ht="25" hidden="1" customHeight="1">
      <c r="A151" s="281"/>
      <c r="B151" s="282" t="s">
        <v>253</v>
      </c>
      <c r="C151" s="338" t="s">
        <v>254</v>
      </c>
      <c r="D151" s="284" t="s">
        <v>250</v>
      </c>
      <c r="E151" s="277">
        <f t="shared" si="5"/>
        <v>4</v>
      </c>
      <c r="F151" s="285" t="s">
        <v>39</v>
      </c>
      <c r="G151" s="286">
        <v>30000</v>
      </c>
      <c r="H151" s="287">
        <v>0.5</v>
      </c>
      <c r="I151" s="288">
        <f t="shared" si="6"/>
        <v>7500</v>
      </c>
      <c r="J151" s="260" t="s">
        <v>89</v>
      </c>
    </row>
    <row r="152" spans="1:10" ht="25" hidden="1" customHeight="1">
      <c r="A152" s="296"/>
      <c r="B152" s="297" t="s">
        <v>255</v>
      </c>
      <c r="C152" s="340" t="s">
        <v>254</v>
      </c>
      <c r="D152" s="299" t="s">
        <v>2247</v>
      </c>
      <c r="E152" s="277">
        <f t="shared" si="5"/>
        <v>4</v>
      </c>
      <c r="F152" s="300" t="s">
        <v>39</v>
      </c>
      <c r="G152" s="301">
        <v>60000</v>
      </c>
      <c r="H152" s="287">
        <v>0.5</v>
      </c>
      <c r="I152" s="302">
        <f t="shared" si="6"/>
        <v>15000</v>
      </c>
      <c r="J152" s="260" t="s">
        <v>89</v>
      </c>
    </row>
    <row r="153" spans="1:10" ht="25" hidden="1" customHeight="1">
      <c r="A153" s="281"/>
      <c r="B153" s="282" t="s">
        <v>256</v>
      </c>
      <c r="C153" s="338" t="s">
        <v>257</v>
      </c>
      <c r="D153" s="284" t="s">
        <v>250</v>
      </c>
      <c r="E153" s="277">
        <f t="shared" si="5"/>
        <v>4</v>
      </c>
      <c r="F153" s="285" t="s">
        <v>39</v>
      </c>
      <c r="G153" s="286">
        <v>30000</v>
      </c>
      <c r="H153" s="287">
        <v>0.3</v>
      </c>
      <c r="I153" s="288">
        <f t="shared" si="6"/>
        <v>7500</v>
      </c>
      <c r="J153" s="260" t="s">
        <v>89</v>
      </c>
    </row>
    <row r="154" spans="1:10" ht="25" hidden="1" customHeight="1">
      <c r="A154" s="296"/>
      <c r="B154" s="297" t="s">
        <v>258</v>
      </c>
      <c r="C154" s="340" t="s">
        <v>257</v>
      </c>
      <c r="D154" s="299" t="s">
        <v>2247</v>
      </c>
      <c r="E154" s="277">
        <f t="shared" si="5"/>
        <v>4</v>
      </c>
      <c r="F154" s="300" t="s">
        <v>39</v>
      </c>
      <c r="G154" s="301">
        <v>60000</v>
      </c>
      <c r="H154" s="326">
        <v>0.3</v>
      </c>
      <c r="I154" s="302">
        <f t="shared" si="6"/>
        <v>15000</v>
      </c>
      <c r="J154" s="260" t="s">
        <v>89</v>
      </c>
    </row>
    <row r="155" spans="1:10" s="323" customFormat="1" ht="25" hidden="1" customHeight="1">
      <c r="A155" s="274">
        <v>2</v>
      </c>
      <c r="B155" s="319"/>
      <c r="C155" s="320" t="s">
        <v>259</v>
      </c>
      <c r="D155" s="321"/>
      <c r="E155" s="277">
        <f t="shared" ref="E155:E215" si="7">10000/400</f>
        <v>25</v>
      </c>
      <c r="F155" s="277"/>
      <c r="G155" s="322"/>
      <c r="H155" s="280"/>
      <c r="I155" s="279"/>
      <c r="J155" s="260"/>
    </row>
    <row r="156" spans="1:10" ht="25" hidden="1" customHeight="1">
      <c r="A156" s="281"/>
      <c r="B156" s="282" t="s">
        <v>260</v>
      </c>
      <c r="C156" s="338" t="s">
        <v>261</v>
      </c>
      <c r="D156" s="284" t="s">
        <v>63</v>
      </c>
      <c r="E156" s="277">
        <f t="shared" si="7"/>
        <v>25</v>
      </c>
      <c r="F156" s="285" t="s">
        <v>31</v>
      </c>
      <c r="G156" s="286">
        <v>180000</v>
      </c>
      <c r="H156" s="287">
        <v>1</v>
      </c>
      <c r="I156" s="288">
        <f>+G156</f>
        <v>180000</v>
      </c>
      <c r="J156" s="260" t="s">
        <v>89</v>
      </c>
    </row>
    <row r="157" spans="1:10" ht="25" hidden="1" customHeight="1">
      <c r="A157" s="289"/>
      <c r="B157" s="290" t="s">
        <v>262</v>
      </c>
      <c r="C157" s="339" t="s">
        <v>261</v>
      </c>
      <c r="D157" s="292" t="s">
        <v>263</v>
      </c>
      <c r="E157" s="277">
        <f t="shared" si="7"/>
        <v>25</v>
      </c>
      <c r="F157" s="293" t="s">
        <v>39</v>
      </c>
      <c r="G157" s="294">
        <v>370000</v>
      </c>
      <c r="H157" s="287">
        <v>1</v>
      </c>
      <c r="I157" s="295">
        <f t="shared" ref="I157:I162" si="8">+G157/E157</f>
        <v>14800</v>
      </c>
      <c r="J157" s="260" t="s">
        <v>89</v>
      </c>
    </row>
    <row r="158" spans="1:10" ht="25" hidden="1" customHeight="1">
      <c r="A158" s="289"/>
      <c r="B158" s="290" t="s">
        <v>264</v>
      </c>
      <c r="C158" s="339" t="s">
        <v>261</v>
      </c>
      <c r="D158" s="292" t="s">
        <v>40</v>
      </c>
      <c r="E158" s="277">
        <f t="shared" si="7"/>
        <v>25</v>
      </c>
      <c r="F158" s="293" t="s">
        <v>39</v>
      </c>
      <c r="G158" s="294">
        <v>1125000</v>
      </c>
      <c r="H158" s="287">
        <v>1</v>
      </c>
      <c r="I158" s="295">
        <f t="shared" si="8"/>
        <v>45000</v>
      </c>
      <c r="J158" s="260" t="s">
        <v>89</v>
      </c>
    </row>
    <row r="159" spans="1:10" ht="25" hidden="1" customHeight="1">
      <c r="A159" s="289"/>
      <c r="B159" s="290" t="s">
        <v>265</v>
      </c>
      <c r="C159" s="339" t="s">
        <v>261</v>
      </c>
      <c r="D159" s="292" t="s">
        <v>68</v>
      </c>
      <c r="E159" s="277">
        <f t="shared" si="7"/>
        <v>25</v>
      </c>
      <c r="F159" s="293" t="s">
        <v>39</v>
      </c>
      <c r="G159" s="294">
        <v>2700000</v>
      </c>
      <c r="H159" s="287">
        <v>1</v>
      </c>
      <c r="I159" s="295">
        <f t="shared" si="8"/>
        <v>108000</v>
      </c>
      <c r="J159" s="260" t="s">
        <v>89</v>
      </c>
    </row>
    <row r="160" spans="1:10" ht="25" hidden="1" customHeight="1">
      <c r="A160" s="289"/>
      <c r="B160" s="290" t="s">
        <v>266</v>
      </c>
      <c r="C160" s="339" t="s">
        <v>261</v>
      </c>
      <c r="D160" s="292" t="s">
        <v>70</v>
      </c>
      <c r="E160" s="277">
        <f t="shared" si="7"/>
        <v>25</v>
      </c>
      <c r="F160" s="293" t="s">
        <v>39</v>
      </c>
      <c r="G160" s="294">
        <v>3750000</v>
      </c>
      <c r="H160" s="287">
        <v>1</v>
      </c>
      <c r="I160" s="295">
        <f t="shared" si="8"/>
        <v>150000</v>
      </c>
      <c r="J160" s="260" t="s">
        <v>89</v>
      </c>
    </row>
    <row r="161" spans="1:10" ht="25" hidden="1" customHeight="1">
      <c r="A161" s="289"/>
      <c r="B161" s="290" t="s">
        <v>267</v>
      </c>
      <c r="C161" s="339" t="s">
        <v>261</v>
      </c>
      <c r="D161" s="292" t="s">
        <v>72</v>
      </c>
      <c r="E161" s="277">
        <f t="shared" si="7"/>
        <v>25</v>
      </c>
      <c r="F161" s="293" t="s">
        <v>39</v>
      </c>
      <c r="G161" s="294">
        <v>3850000</v>
      </c>
      <c r="H161" s="287">
        <v>1</v>
      </c>
      <c r="I161" s="295">
        <f t="shared" si="8"/>
        <v>154000</v>
      </c>
      <c r="J161" s="260" t="s">
        <v>89</v>
      </c>
    </row>
    <row r="162" spans="1:10" ht="25" hidden="1" customHeight="1">
      <c r="A162" s="296"/>
      <c r="B162" s="297" t="s">
        <v>268</v>
      </c>
      <c r="C162" s="340" t="s">
        <v>261</v>
      </c>
      <c r="D162" s="299" t="s">
        <v>74</v>
      </c>
      <c r="E162" s="277">
        <f t="shared" si="7"/>
        <v>25</v>
      </c>
      <c r="F162" s="300" t="s">
        <v>39</v>
      </c>
      <c r="G162" s="301">
        <v>4500000</v>
      </c>
      <c r="H162" s="287">
        <v>1</v>
      </c>
      <c r="I162" s="302">
        <f t="shared" si="8"/>
        <v>180000</v>
      </c>
      <c r="J162" s="260" t="s">
        <v>89</v>
      </c>
    </row>
    <row r="163" spans="1:10" ht="25" hidden="1" customHeight="1">
      <c r="A163" s="289"/>
      <c r="B163" s="290" t="s">
        <v>269</v>
      </c>
      <c r="C163" s="339" t="s">
        <v>270</v>
      </c>
      <c r="D163" s="284" t="s">
        <v>63</v>
      </c>
      <c r="E163" s="277">
        <f t="shared" si="7"/>
        <v>25</v>
      </c>
      <c r="F163" s="293" t="s">
        <v>31</v>
      </c>
      <c r="G163" s="294">
        <f>+G156</f>
        <v>180000</v>
      </c>
      <c r="H163" s="325">
        <v>0.5</v>
      </c>
      <c r="I163" s="295">
        <f>+G163</f>
        <v>180000</v>
      </c>
      <c r="J163" s="260" t="s">
        <v>89</v>
      </c>
    </row>
    <row r="164" spans="1:10" ht="25" hidden="1" customHeight="1">
      <c r="A164" s="289"/>
      <c r="B164" s="290" t="s">
        <v>271</v>
      </c>
      <c r="C164" s="339" t="s">
        <v>270</v>
      </c>
      <c r="D164" s="292" t="s">
        <v>263</v>
      </c>
      <c r="E164" s="277">
        <f t="shared" si="7"/>
        <v>25</v>
      </c>
      <c r="F164" s="293" t="s">
        <v>39</v>
      </c>
      <c r="G164" s="294">
        <v>370000</v>
      </c>
      <c r="H164" s="325">
        <v>0.5</v>
      </c>
      <c r="I164" s="295">
        <f t="shared" ref="I164:I169" si="9">+G164/E164</f>
        <v>14800</v>
      </c>
      <c r="J164" s="260" t="s">
        <v>89</v>
      </c>
    </row>
    <row r="165" spans="1:10" ht="25" hidden="1" customHeight="1">
      <c r="A165" s="289"/>
      <c r="B165" s="290" t="s">
        <v>272</v>
      </c>
      <c r="C165" s="339" t="s">
        <v>270</v>
      </c>
      <c r="D165" s="292" t="s">
        <v>40</v>
      </c>
      <c r="E165" s="277">
        <f t="shared" si="7"/>
        <v>25</v>
      </c>
      <c r="F165" s="293" t="s">
        <v>39</v>
      </c>
      <c r="G165" s="294">
        <v>1125000</v>
      </c>
      <c r="H165" s="325">
        <v>0.5</v>
      </c>
      <c r="I165" s="295">
        <f t="shared" si="9"/>
        <v>45000</v>
      </c>
      <c r="J165" s="260" t="s">
        <v>89</v>
      </c>
    </row>
    <row r="166" spans="1:10" ht="25" hidden="1" customHeight="1">
      <c r="A166" s="289"/>
      <c r="B166" s="290" t="s">
        <v>273</v>
      </c>
      <c r="C166" s="339" t="s">
        <v>270</v>
      </c>
      <c r="D166" s="292" t="s">
        <v>68</v>
      </c>
      <c r="E166" s="277">
        <f t="shared" si="7"/>
        <v>25</v>
      </c>
      <c r="F166" s="293" t="s">
        <v>39</v>
      </c>
      <c r="G166" s="294">
        <v>2700000</v>
      </c>
      <c r="H166" s="325">
        <v>0.5</v>
      </c>
      <c r="I166" s="295">
        <f t="shared" si="9"/>
        <v>108000</v>
      </c>
      <c r="J166" s="260" t="s">
        <v>89</v>
      </c>
    </row>
    <row r="167" spans="1:10" ht="25" hidden="1" customHeight="1">
      <c r="A167" s="289"/>
      <c r="B167" s="290" t="s">
        <v>274</v>
      </c>
      <c r="C167" s="339" t="s">
        <v>270</v>
      </c>
      <c r="D167" s="292" t="s">
        <v>70</v>
      </c>
      <c r="E167" s="277">
        <f t="shared" si="7"/>
        <v>25</v>
      </c>
      <c r="F167" s="293" t="s">
        <v>39</v>
      </c>
      <c r="G167" s="294">
        <v>3750000</v>
      </c>
      <c r="H167" s="325">
        <v>0.5</v>
      </c>
      <c r="I167" s="295">
        <f t="shared" si="9"/>
        <v>150000</v>
      </c>
      <c r="J167" s="260" t="s">
        <v>89</v>
      </c>
    </row>
    <row r="168" spans="1:10" ht="25" hidden="1" customHeight="1">
      <c r="A168" s="289"/>
      <c r="B168" s="290" t="s">
        <v>275</v>
      </c>
      <c r="C168" s="339" t="s">
        <v>270</v>
      </c>
      <c r="D168" s="292" t="s">
        <v>72</v>
      </c>
      <c r="E168" s="277">
        <f t="shared" si="7"/>
        <v>25</v>
      </c>
      <c r="F168" s="293" t="s">
        <v>39</v>
      </c>
      <c r="G168" s="294">
        <v>3850000</v>
      </c>
      <c r="H168" s="325">
        <v>0.5</v>
      </c>
      <c r="I168" s="295">
        <f t="shared" si="9"/>
        <v>154000</v>
      </c>
      <c r="J168" s="260" t="s">
        <v>89</v>
      </c>
    </row>
    <row r="169" spans="1:10" ht="25" hidden="1" customHeight="1">
      <c r="A169" s="296"/>
      <c r="B169" s="297" t="s">
        <v>276</v>
      </c>
      <c r="C169" s="340" t="s">
        <v>270</v>
      </c>
      <c r="D169" s="299" t="s">
        <v>74</v>
      </c>
      <c r="E169" s="277">
        <f t="shared" si="7"/>
        <v>25</v>
      </c>
      <c r="F169" s="300" t="s">
        <v>39</v>
      </c>
      <c r="G169" s="301">
        <v>4500000</v>
      </c>
      <c r="H169" s="325">
        <v>0.5</v>
      </c>
      <c r="I169" s="302">
        <f t="shared" si="9"/>
        <v>180000</v>
      </c>
      <c r="J169" s="260" t="s">
        <v>89</v>
      </c>
    </row>
    <row r="170" spans="1:10" ht="25" hidden="1" customHeight="1">
      <c r="A170" s="289"/>
      <c r="B170" s="290" t="s">
        <v>277</v>
      </c>
      <c r="C170" s="339" t="s">
        <v>278</v>
      </c>
      <c r="D170" s="292" t="s">
        <v>263</v>
      </c>
      <c r="E170" s="277">
        <f t="shared" si="7"/>
        <v>25</v>
      </c>
      <c r="F170" s="293" t="s">
        <v>39</v>
      </c>
      <c r="G170" s="294">
        <v>370000</v>
      </c>
      <c r="H170" s="325">
        <v>0.3</v>
      </c>
      <c r="I170" s="295">
        <f>+G170/E170*H170</f>
        <v>4440</v>
      </c>
      <c r="J170" s="260" t="s">
        <v>89</v>
      </c>
    </row>
    <row r="171" spans="1:10" ht="25" hidden="1" customHeight="1">
      <c r="A171" s="289"/>
      <c r="B171" s="290" t="s">
        <v>279</v>
      </c>
      <c r="C171" s="339" t="s">
        <v>278</v>
      </c>
      <c r="D171" s="292" t="s">
        <v>40</v>
      </c>
      <c r="E171" s="277">
        <f t="shared" si="7"/>
        <v>25</v>
      </c>
      <c r="F171" s="293" t="s">
        <v>39</v>
      </c>
      <c r="G171" s="294">
        <v>1125000</v>
      </c>
      <c r="H171" s="325">
        <v>0.3</v>
      </c>
      <c r="I171" s="295">
        <f>+G171/E171*H171</f>
        <v>13500</v>
      </c>
      <c r="J171" s="260" t="s">
        <v>89</v>
      </c>
    </row>
    <row r="172" spans="1:10" ht="25" hidden="1" customHeight="1">
      <c r="A172" s="289"/>
      <c r="B172" s="290" t="s">
        <v>280</v>
      </c>
      <c r="C172" s="339" t="s">
        <v>278</v>
      </c>
      <c r="D172" s="292" t="s">
        <v>68</v>
      </c>
      <c r="E172" s="277">
        <f t="shared" si="7"/>
        <v>25</v>
      </c>
      <c r="F172" s="293" t="s">
        <v>39</v>
      </c>
      <c r="G172" s="294">
        <v>2700000</v>
      </c>
      <c r="H172" s="325">
        <v>0.3</v>
      </c>
      <c r="I172" s="295">
        <f>+G172/E172*H172</f>
        <v>32400</v>
      </c>
      <c r="J172" s="260" t="s">
        <v>89</v>
      </c>
    </row>
    <row r="173" spans="1:10" ht="25" hidden="1" customHeight="1">
      <c r="A173" s="289"/>
      <c r="B173" s="290" t="s">
        <v>281</v>
      </c>
      <c r="C173" s="339" t="s">
        <v>278</v>
      </c>
      <c r="D173" s="292" t="s">
        <v>70</v>
      </c>
      <c r="E173" s="277">
        <f t="shared" si="7"/>
        <v>25</v>
      </c>
      <c r="F173" s="293" t="s">
        <v>39</v>
      </c>
      <c r="G173" s="294">
        <v>3750000</v>
      </c>
      <c r="H173" s="325">
        <v>0.3</v>
      </c>
      <c r="I173" s="295">
        <f>+G173/E173</f>
        <v>150000</v>
      </c>
      <c r="J173" s="260" t="s">
        <v>89</v>
      </c>
    </row>
    <row r="174" spans="1:10" ht="25" hidden="1" customHeight="1">
      <c r="A174" s="289"/>
      <c r="B174" s="290" t="s">
        <v>282</v>
      </c>
      <c r="C174" s="339" t="s">
        <v>278</v>
      </c>
      <c r="D174" s="292" t="s">
        <v>72</v>
      </c>
      <c r="E174" s="277">
        <f t="shared" si="7"/>
        <v>25</v>
      </c>
      <c r="F174" s="293" t="s">
        <v>39</v>
      </c>
      <c r="G174" s="294">
        <v>3850000</v>
      </c>
      <c r="H174" s="325">
        <v>0.3</v>
      </c>
      <c r="I174" s="295">
        <f>+G174/E174</f>
        <v>154000</v>
      </c>
      <c r="J174" s="260" t="s">
        <v>89</v>
      </c>
    </row>
    <row r="175" spans="1:10" ht="25" hidden="1" customHeight="1">
      <c r="A175" s="296"/>
      <c r="B175" s="297" t="s">
        <v>283</v>
      </c>
      <c r="C175" s="340" t="s">
        <v>278</v>
      </c>
      <c r="D175" s="299" t="s">
        <v>74</v>
      </c>
      <c r="E175" s="277">
        <f t="shared" si="7"/>
        <v>25</v>
      </c>
      <c r="F175" s="300" t="s">
        <v>39</v>
      </c>
      <c r="G175" s="301">
        <v>4500000</v>
      </c>
      <c r="H175" s="326">
        <v>0.3</v>
      </c>
      <c r="I175" s="295">
        <f>+G175/E175*H175</f>
        <v>54000</v>
      </c>
      <c r="J175" s="260" t="s">
        <v>89</v>
      </c>
    </row>
    <row r="176" spans="1:10" ht="25" hidden="1" customHeight="1">
      <c r="A176" s="289"/>
      <c r="B176" s="290" t="s">
        <v>284</v>
      </c>
      <c r="C176" s="339" t="s">
        <v>285</v>
      </c>
      <c r="D176" s="292" t="s">
        <v>263</v>
      </c>
      <c r="E176" s="277">
        <f t="shared" si="7"/>
        <v>25</v>
      </c>
      <c r="F176" s="293" t="s">
        <v>39</v>
      </c>
      <c r="G176" s="294">
        <v>370000</v>
      </c>
      <c r="H176" s="325">
        <v>0.15</v>
      </c>
      <c r="I176" s="295"/>
      <c r="J176" s="260" t="s">
        <v>89</v>
      </c>
    </row>
    <row r="177" spans="1:10" ht="25" hidden="1" customHeight="1">
      <c r="A177" s="289"/>
      <c r="B177" s="290" t="s">
        <v>286</v>
      </c>
      <c r="C177" s="339" t="s">
        <v>285</v>
      </c>
      <c r="D177" s="292" t="s">
        <v>40</v>
      </c>
      <c r="E177" s="277">
        <f t="shared" si="7"/>
        <v>25</v>
      </c>
      <c r="F177" s="293" t="s">
        <v>39</v>
      </c>
      <c r="G177" s="294">
        <v>1125000</v>
      </c>
      <c r="H177" s="325">
        <v>0.15</v>
      </c>
      <c r="I177" s="295"/>
      <c r="J177" s="260" t="s">
        <v>89</v>
      </c>
    </row>
    <row r="178" spans="1:10" ht="25" hidden="1" customHeight="1">
      <c r="A178" s="289"/>
      <c r="B178" s="290" t="s">
        <v>287</v>
      </c>
      <c r="C178" s="339" t="s">
        <v>285</v>
      </c>
      <c r="D178" s="292" t="s">
        <v>68</v>
      </c>
      <c r="E178" s="277">
        <f t="shared" si="7"/>
        <v>25</v>
      </c>
      <c r="F178" s="293" t="s">
        <v>39</v>
      </c>
      <c r="G178" s="294">
        <v>2700000</v>
      </c>
      <c r="H178" s="325">
        <v>0.15</v>
      </c>
      <c r="I178" s="295"/>
      <c r="J178" s="260" t="s">
        <v>89</v>
      </c>
    </row>
    <row r="179" spans="1:10" ht="25" hidden="1" customHeight="1">
      <c r="A179" s="289"/>
      <c r="B179" s="290" t="s">
        <v>288</v>
      </c>
      <c r="C179" s="339" t="s">
        <v>285</v>
      </c>
      <c r="D179" s="292" t="s">
        <v>70</v>
      </c>
      <c r="E179" s="277">
        <f t="shared" si="7"/>
        <v>25</v>
      </c>
      <c r="F179" s="293" t="s">
        <v>39</v>
      </c>
      <c r="G179" s="294">
        <v>3750000</v>
      </c>
      <c r="H179" s="325">
        <v>0.15</v>
      </c>
      <c r="I179" s="295">
        <f>+G179/E179</f>
        <v>150000</v>
      </c>
      <c r="J179" s="260" t="s">
        <v>89</v>
      </c>
    </row>
    <row r="180" spans="1:10" ht="25" hidden="1" customHeight="1">
      <c r="A180" s="289"/>
      <c r="B180" s="290" t="s">
        <v>289</v>
      </c>
      <c r="C180" s="339" t="s">
        <v>285</v>
      </c>
      <c r="D180" s="292" t="s">
        <v>72</v>
      </c>
      <c r="E180" s="277">
        <f t="shared" si="7"/>
        <v>25</v>
      </c>
      <c r="F180" s="293" t="s">
        <v>39</v>
      </c>
      <c r="G180" s="294">
        <v>3850000</v>
      </c>
      <c r="H180" s="325">
        <v>0.15</v>
      </c>
      <c r="I180" s="295">
        <f>+G180/E180</f>
        <v>154000</v>
      </c>
      <c r="J180" s="260" t="s">
        <v>89</v>
      </c>
    </row>
    <row r="181" spans="1:10" ht="25" hidden="1" customHeight="1">
      <c r="A181" s="296"/>
      <c r="B181" s="297" t="s">
        <v>290</v>
      </c>
      <c r="C181" s="340" t="s">
        <v>285</v>
      </c>
      <c r="D181" s="299" t="s">
        <v>74</v>
      </c>
      <c r="E181" s="277">
        <f t="shared" si="7"/>
        <v>25</v>
      </c>
      <c r="F181" s="300" t="s">
        <v>39</v>
      </c>
      <c r="G181" s="301">
        <v>4500000</v>
      </c>
      <c r="H181" s="326">
        <v>0.15</v>
      </c>
      <c r="I181" s="302"/>
      <c r="J181" s="260" t="s">
        <v>89</v>
      </c>
    </row>
    <row r="182" spans="1:10" ht="25" hidden="1" customHeight="1">
      <c r="A182" s="343"/>
      <c r="B182" s="290" t="s">
        <v>291</v>
      </c>
      <c r="C182" s="339" t="s">
        <v>292</v>
      </c>
      <c r="D182" s="292" t="s">
        <v>293</v>
      </c>
      <c r="E182" s="277">
        <f t="shared" si="7"/>
        <v>25</v>
      </c>
      <c r="F182" s="293" t="s">
        <v>31</v>
      </c>
      <c r="G182" s="328">
        <v>48000</v>
      </c>
      <c r="H182" s="349">
        <v>1</v>
      </c>
      <c r="I182" s="350"/>
      <c r="J182" s="260" t="s">
        <v>119</v>
      </c>
    </row>
    <row r="183" spans="1:10" ht="25" hidden="1" customHeight="1">
      <c r="A183" s="343"/>
      <c r="B183" s="290" t="s">
        <v>294</v>
      </c>
      <c r="C183" s="339" t="s">
        <v>292</v>
      </c>
      <c r="D183" s="292" t="s">
        <v>263</v>
      </c>
      <c r="E183" s="277">
        <f t="shared" si="7"/>
        <v>25</v>
      </c>
      <c r="F183" s="293" t="s">
        <v>39</v>
      </c>
      <c r="G183" s="328">
        <v>81000</v>
      </c>
      <c r="H183" s="349">
        <v>1</v>
      </c>
      <c r="I183" s="350"/>
      <c r="J183" s="260" t="s">
        <v>119</v>
      </c>
    </row>
    <row r="184" spans="1:10" ht="25" hidden="1" customHeight="1">
      <c r="A184" s="343"/>
      <c r="B184" s="290" t="s">
        <v>295</v>
      </c>
      <c r="C184" s="339" t="s">
        <v>292</v>
      </c>
      <c r="D184" s="292" t="s">
        <v>40</v>
      </c>
      <c r="E184" s="277">
        <f t="shared" si="7"/>
        <v>25</v>
      </c>
      <c r="F184" s="293" t="s">
        <v>39</v>
      </c>
      <c r="G184" s="328">
        <v>241000</v>
      </c>
      <c r="H184" s="349">
        <v>1</v>
      </c>
      <c r="I184" s="350"/>
      <c r="J184" s="260" t="s">
        <v>119</v>
      </c>
    </row>
    <row r="185" spans="1:10" ht="25" hidden="1" customHeight="1">
      <c r="A185" s="289"/>
      <c r="B185" s="290" t="s">
        <v>296</v>
      </c>
      <c r="C185" s="339" t="s">
        <v>292</v>
      </c>
      <c r="D185" s="292" t="s">
        <v>68</v>
      </c>
      <c r="E185" s="277">
        <f t="shared" si="7"/>
        <v>25</v>
      </c>
      <c r="F185" s="293" t="s">
        <v>39</v>
      </c>
      <c r="G185" s="328">
        <v>455000</v>
      </c>
      <c r="H185" s="325">
        <v>1</v>
      </c>
      <c r="I185" s="295">
        <f>+G185/E185</f>
        <v>18200</v>
      </c>
      <c r="J185" s="260" t="s">
        <v>119</v>
      </c>
    </row>
    <row r="186" spans="1:10" ht="25" hidden="1" customHeight="1">
      <c r="A186" s="289"/>
      <c r="B186" s="290" t="s">
        <v>297</v>
      </c>
      <c r="C186" s="339" t="s">
        <v>292</v>
      </c>
      <c r="D186" s="292" t="s">
        <v>298</v>
      </c>
      <c r="E186" s="277">
        <f t="shared" si="7"/>
        <v>25</v>
      </c>
      <c r="F186" s="293" t="s">
        <v>39</v>
      </c>
      <c r="G186" s="328">
        <v>595000</v>
      </c>
      <c r="H186" s="325">
        <v>1</v>
      </c>
      <c r="I186" s="295">
        <f>+G186/E186</f>
        <v>23800</v>
      </c>
      <c r="J186" s="260" t="s">
        <v>119</v>
      </c>
    </row>
    <row r="187" spans="1:10" ht="25" hidden="1" customHeight="1">
      <c r="A187" s="289"/>
      <c r="B187" s="290" t="s">
        <v>299</v>
      </c>
      <c r="C187" s="339" t="s">
        <v>292</v>
      </c>
      <c r="D187" s="292" t="s">
        <v>74</v>
      </c>
      <c r="E187" s="277">
        <f t="shared" si="7"/>
        <v>25</v>
      </c>
      <c r="F187" s="293" t="s">
        <v>39</v>
      </c>
      <c r="G187" s="328">
        <v>952000</v>
      </c>
      <c r="H187" s="325">
        <v>1</v>
      </c>
      <c r="I187" s="295">
        <f>+G187/E187</f>
        <v>38080</v>
      </c>
      <c r="J187" s="260" t="s">
        <v>119</v>
      </c>
    </row>
    <row r="188" spans="1:10" ht="25" hidden="1" customHeight="1">
      <c r="A188" s="343"/>
      <c r="B188" s="290" t="s">
        <v>300</v>
      </c>
      <c r="C188" s="339" t="s">
        <v>301</v>
      </c>
      <c r="D188" s="292" t="s">
        <v>293</v>
      </c>
      <c r="E188" s="277">
        <f t="shared" si="7"/>
        <v>25</v>
      </c>
      <c r="F188" s="293" t="s">
        <v>31</v>
      </c>
      <c r="G188" s="328">
        <v>43000</v>
      </c>
      <c r="H188" s="349">
        <v>0.5</v>
      </c>
      <c r="I188" s="350"/>
      <c r="J188" s="260" t="s">
        <v>119</v>
      </c>
    </row>
    <row r="189" spans="1:10" ht="25" hidden="1" customHeight="1">
      <c r="A189" s="343"/>
      <c r="B189" s="290" t="s">
        <v>302</v>
      </c>
      <c r="C189" s="339" t="s">
        <v>301</v>
      </c>
      <c r="D189" s="292" t="s">
        <v>263</v>
      </c>
      <c r="E189" s="277">
        <f t="shared" si="7"/>
        <v>25</v>
      </c>
      <c r="F189" s="293" t="s">
        <v>39</v>
      </c>
      <c r="G189" s="328">
        <v>81000</v>
      </c>
      <c r="H189" s="349">
        <v>0.5</v>
      </c>
      <c r="I189" s="350"/>
      <c r="J189" s="260" t="s">
        <v>119</v>
      </c>
    </row>
    <row r="190" spans="1:10" ht="25" hidden="1" customHeight="1">
      <c r="A190" s="343"/>
      <c r="B190" s="290" t="s">
        <v>303</v>
      </c>
      <c r="C190" s="339" t="s">
        <v>301</v>
      </c>
      <c r="D190" s="292" t="s">
        <v>40</v>
      </c>
      <c r="E190" s="277">
        <f t="shared" si="7"/>
        <v>25</v>
      </c>
      <c r="F190" s="293" t="s">
        <v>39</v>
      </c>
      <c r="G190" s="328">
        <v>241000</v>
      </c>
      <c r="H190" s="349">
        <v>0.5</v>
      </c>
      <c r="I190" s="350"/>
      <c r="J190" s="260" t="s">
        <v>119</v>
      </c>
    </row>
    <row r="191" spans="1:10" ht="25" hidden="1" customHeight="1">
      <c r="A191" s="289"/>
      <c r="B191" s="290" t="s">
        <v>304</v>
      </c>
      <c r="C191" s="339" t="s">
        <v>301</v>
      </c>
      <c r="D191" s="292" t="s">
        <v>68</v>
      </c>
      <c r="E191" s="277">
        <f t="shared" si="7"/>
        <v>25</v>
      </c>
      <c r="F191" s="293" t="s">
        <v>39</v>
      </c>
      <c r="G191" s="328">
        <v>455000</v>
      </c>
      <c r="H191" s="325">
        <v>0.5</v>
      </c>
      <c r="I191" s="295">
        <f>+G191/E191</f>
        <v>18200</v>
      </c>
      <c r="J191" s="260" t="s">
        <v>119</v>
      </c>
    </row>
    <row r="192" spans="1:10" ht="25" hidden="1" customHeight="1">
      <c r="A192" s="289"/>
      <c r="B192" s="290" t="s">
        <v>305</v>
      </c>
      <c r="C192" s="339" t="s">
        <v>301</v>
      </c>
      <c r="D192" s="292" t="s">
        <v>298</v>
      </c>
      <c r="E192" s="277">
        <f t="shared" si="7"/>
        <v>25</v>
      </c>
      <c r="F192" s="293" t="s">
        <v>39</v>
      </c>
      <c r="G192" s="328">
        <v>595000</v>
      </c>
      <c r="H192" s="325">
        <v>0.5</v>
      </c>
      <c r="I192" s="295">
        <f>+G192/E192</f>
        <v>23800</v>
      </c>
      <c r="J192" s="260" t="s">
        <v>119</v>
      </c>
    </row>
    <row r="193" spans="1:10" ht="25" hidden="1" customHeight="1">
      <c r="A193" s="289"/>
      <c r="B193" s="290" t="s">
        <v>306</v>
      </c>
      <c r="C193" s="339" t="s">
        <v>301</v>
      </c>
      <c r="D193" s="299" t="s">
        <v>74</v>
      </c>
      <c r="E193" s="277">
        <f t="shared" si="7"/>
        <v>25</v>
      </c>
      <c r="F193" s="293" t="s">
        <v>39</v>
      </c>
      <c r="G193" s="328">
        <v>952000</v>
      </c>
      <c r="H193" s="325">
        <v>0.5</v>
      </c>
      <c r="I193" s="295">
        <f>+G193/E193</f>
        <v>38080</v>
      </c>
      <c r="J193" s="260" t="s">
        <v>119</v>
      </c>
    </row>
    <row r="194" spans="1:10" ht="27" hidden="1" customHeight="1">
      <c r="A194" s="343"/>
      <c r="B194" s="290" t="s">
        <v>307</v>
      </c>
      <c r="C194" s="339" t="s">
        <v>308</v>
      </c>
      <c r="D194" s="292" t="s">
        <v>263</v>
      </c>
      <c r="E194" s="277">
        <f t="shared" si="7"/>
        <v>25</v>
      </c>
      <c r="F194" s="293" t="s">
        <v>39</v>
      </c>
      <c r="G194" s="328">
        <v>370000</v>
      </c>
      <c r="H194" s="349">
        <v>0.5</v>
      </c>
      <c r="I194" s="350"/>
      <c r="J194" s="260" t="s">
        <v>119</v>
      </c>
    </row>
    <row r="195" spans="1:10" ht="27" hidden="1" customHeight="1">
      <c r="A195" s="352"/>
      <c r="B195" s="290" t="s">
        <v>309</v>
      </c>
      <c r="C195" s="339" t="s">
        <v>308</v>
      </c>
      <c r="D195" s="292" t="s">
        <v>40</v>
      </c>
      <c r="E195" s="277">
        <f t="shared" si="7"/>
        <v>25</v>
      </c>
      <c r="F195" s="293" t="s">
        <v>39</v>
      </c>
      <c r="G195" s="357">
        <v>1125000</v>
      </c>
      <c r="H195" s="349">
        <v>0.5</v>
      </c>
      <c r="I195" s="356"/>
    </row>
    <row r="196" spans="1:10" ht="27" hidden="1" customHeight="1">
      <c r="A196" s="352"/>
      <c r="B196" s="353" t="s">
        <v>310</v>
      </c>
      <c r="C196" s="339" t="s">
        <v>308</v>
      </c>
      <c r="D196" s="292" t="s">
        <v>68</v>
      </c>
      <c r="E196" s="277">
        <f t="shared" si="7"/>
        <v>25</v>
      </c>
      <c r="F196" s="293" t="s">
        <v>39</v>
      </c>
      <c r="G196" s="357">
        <v>2700000</v>
      </c>
      <c r="H196" s="349">
        <v>0.5</v>
      </c>
      <c r="I196" s="356"/>
    </row>
    <row r="197" spans="1:10" ht="27" hidden="1" customHeight="1">
      <c r="A197" s="352"/>
      <c r="B197" s="353" t="s">
        <v>311</v>
      </c>
      <c r="C197" s="339" t="s">
        <v>308</v>
      </c>
      <c r="D197" s="292" t="s">
        <v>70</v>
      </c>
      <c r="E197" s="277">
        <f t="shared" si="7"/>
        <v>25</v>
      </c>
      <c r="F197" s="293" t="s">
        <v>39</v>
      </c>
      <c r="G197" s="357">
        <v>3750000</v>
      </c>
      <c r="H197" s="349">
        <v>0.5</v>
      </c>
      <c r="I197" s="356"/>
    </row>
    <row r="198" spans="1:10" ht="27" hidden="1" customHeight="1">
      <c r="A198" s="352"/>
      <c r="B198" s="353" t="s">
        <v>312</v>
      </c>
      <c r="C198" s="339" t="s">
        <v>308</v>
      </c>
      <c r="D198" s="292" t="s">
        <v>72</v>
      </c>
      <c r="E198" s="277">
        <f t="shared" si="7"/>
        <v>25</v>
      </c>
      <c r="F198" s="293" t="s">
        <v>39</v>
      </c>
      <c r="G198" s="357">
        <v>3850000</v>
      </c>
      <c r="H198" s="349">
        <v>0.5</v>
      </c>
      <c r="I198" s="356"/>
    </row>
    <row r="199" spans="1:10" ht="27" hidden="1" customHeight="1">
      <c r="A199" s="352"/>
      <c r="B199" s="353" t="s">
        <v>313</v>
      </c>
      <c r="C199" s="339" t="s">
        <v>308</v>
      </c>
      <c r="D199" s="299" t="s">
        <v>74</v>
      </c>
      <c r="E199" s="277">
        <f t="shared" si="7"/>
        <v>25</v>
      </c>
      <c r="F199" s="293" t="s">
        <v>39</v>
      </c>
      <c r="G199" s="357">
        <v>4500000</v>
      </c>
      <c r="H199" s="349">
        <v>0.5</v>
      </c>
      <c r="I199" s="356"/>
    </row>
    <row r="200" spans="1:10" s="323" customFormat="1" ht="25" hidden="1" customHeight="1">
      <c r="A200" s="274">
        <v>9</v>
      </c>
      <c r="B200" s="319"/>
      <c r="C200" s="320" t="s">
        <v>314</v>
      </c>
      <c r="D200" s="321"/>
      <c r="E200" s="277">
        <f t="shared" si="7"/>
        <v>25</v>
      </c>
      <c r="F200" s="277"/>
      <c r="G200" s="322"/>
      <c r="H200" s="280"/>
      <c r="I200" s="279"/>
      <c r="J200" s="260"/>
    </row>
    <row r="201" spans="1:10" ht="25" hidden="1" customHeight="1">
      <c r="A201" s="281"/>
      <c r="B201" s="282" t="s">
        <v>315</v>
      </c>
      <c r="C201" s="338" t="s">
        <v>314</v>
      </c>
      <c r="D201" s="284" t="s">
        <v>63</v>
      </c>
      <c r="E201" s="277">
        <f t="shared" si="7"/>
        <v>25</v>
      </c>
      <c r="F201" s="285" t="s">
        <v>31</v>
      </c>
      <c r="G201" s="286">
        <v>180000</v>
      </c>
      <c r="H201" s="287">
        <v>1</v>
      </c>
      <c r="I201" s="288">
        <f>+G201</f>
        <v>180000</v>
      </c>
      <c r="J201" s="260" t="s">
        <v>89</v>
      </c>
    </row>
    <row r="202" spans="1:10" ht="25" hidden="1" customHeight="1">
      <c r="A202" s="358"/>
      <c r="B202" s="359" t="s">
        <v>316</v>
      </c>
      <c r="C202" s="338" t="s">
        <v>314</v>
      </c>
      <c r="D202" s="360" t="s">
        <v>317</v>
      </c>
      <c r="E202" s="277">
        <f t="shared" si="7"/>
        <v>25</v>
      </c>
      <c r="F202" s="285" t="s">
        <v>31</v>
      </c>
      <c r="G202" s="294">
        <v>370000</v>
      </c>
      <c r="H202" s="287">
        <v>1</v>
      </c>
      <c r="I202" s="361"/>
    </row>
    <row r="203" spans="1:10" ht="25" hidden="1" customHeight="1">
      <c r="A203" s="289"/>
      <c r="B203" s="290" t="s">
        <v>318</v>
      </c>
      <c r="C203" s="339" t="s">
        <v>314</v>
      </c>
      <c r="D203" s="292" t="s">
        <v>66</v>
      </c>
      <c r="E203" s="277">
        <f t="shared" si="7"/>
        <v>25</v>
      </c>
      <c r="F203" s="293" t="s">
        <v>39</v>
      </c>
      <c r="G203" s="294">
        <v>1125000</v>
      </c>
      <c r="H203" s="287">
        <v>1</v>
      </c>
      <c r="I203" s="295">
        <f>+G202/E203</f>
        <v>14800</v>
      </c>
      <c r="J203" s="260" t="s">
        <v>89</v>
      </c>
    </row>
    <row r="204" spans="1:10" ht="25" hidden="1" customHeight="1">
      <c r="A204" s="289"/>
      <c r="B204" s="290" t="s">
        <v>319</v>
      </c>
      <c r="C204" s="339" t="s">
        <v>314</v>
      </c>
      <c r="D204" s="292" t="s">
        <v>68</v>
      </c>
      <c r="E204" s="277">
        <f t="shared" si="7"/>
        <v>25</v>
      </c>
      <c r="F204" s="293" t="s">
        <v>39</v>
      </c>
      <c r="G204" s="294">
        <v>2700000</v>
      </c>
      <c r="H204" s="287">
        <v>1</v>
      </c>
      <c r="I204" s="295">
        <f>+G203/E204</f>
        <v>45000</v>
      </c>
      <c r="J204" s="260" t="s">
        <v>89</v>
      </c>
    </row>
    <row r="205" spans="1:10" ht="25" hidden="1" customHeight="1">
      <c r="A205" s="289"/>
      <c r="B205" s="290" t="s">
        <v>320</v>
      </c>
      <c r="C205" s="339" t="s">
        <v>314</v>
      </c>
      <c r="D205" s="292" t="s">
        <v>70</v>
      </c>
      <c r="E205" s="277">
        <f t="shared" si="7"/>
        <v>25</v>
      </c>
      <c r="F205" s="293" t="s">
        <v>39</v>
      </c>
      <c r="G205" s="294">
        <v>3750000</v>
      </c>
      <c r="H205" s="287">
        <v>1</v>
      </c>
      <c r="I205" s="295">
        <f>+G204/E205</f>
        <v>108000</v>
      </c>
      <c r="J205" s="260" t="s">
        <v>89</v>
      </c>
    </row>
    <row r="206" spans="1:10" ht="25" hidden="1" customHeight="1">
      <c r="A206" s="289"/>
      <c r="B206" s="290" t="s">
        <v>321</v>
      </c>
      <c r="C206" s="339" t="s">
        <v>314</v>
      </c>
      <c r="D206" s="292" t="s">
        <v>72</v>
      </c>
      <c r="E206" s="277">
        <f t="shared" si="7"/>
        <v>25</v>
      </c>
      <c r="F206" s="293" t="s">
        <v>39</v>
      </c>
      <c r="G206" s="301">
        <v>3850000</v>
      </c>
      <c r="H206" s="287">
        <v>1</v>
      </c>
      <c r="I206" s="295">
        <f>+G205/E206</f>
        <v>150000</v>
      </c>
      <c r="J206" s="260" t="s">
        <v>89</v>
      </c>
    </row>
    <row r="207" spans="1:10" ht="25" hidden="1" customHeight="1">
      <c r="A207" s="296"/>
      <c r="B207" s="297" t="s">
        <v>322</v>
      </c>
      <c r="C207" s="340" t="s">
        <v>314</v>
      </c>
      <c r="D207" s="299" t="s">
        <v>323</v>
      </c>
      <c r="E207" s="277">
        <f t="shared" si="7"/>
        <v>25</v>
      </c>
      <c r="F207" s="300" t="s">
        <v>39</v>
      </c>
      <c r="G207" s="301">
        <v>4500000</v>
      </c>
      <c r="H207" s="287">
        <v>1</v>
      </c>
      <c r="I207" s="302">
        <f>+G206/E207</f>
        <v>154000</v>
      </c>
      <c r="J207" s="260" t="s">
        <v>89</v>
      </c>
    </row>
    <row r="208" spans="1:10" ht="25" hidden="1" customHeight="1">
      <c r="A208" s="281"/>
      <c r="B208" s="282" t="s">
        <v>324</v>
      </c>
      <c r="C208" s="338" t="s">
        <v>325</v>
      </c>
      <c r="D208" s="284" t="s">
        <v>63</v>
      </c>
      <c r="E208" s="277">
        <f t="shared" si="7"/>
        <v>25</v>
      </c>
      <c r="F208" s="285" t="s">
        <v>31</v>
      </c>
      <c r="G208" s="286">
        <v>180000</v>
      </c>
      <c r="H208" s="287">
        <v>0.5</v>
      </c>
      <c r="I208" s="288">
        <f>+G208</f>
        <v>180000</v>
      </c>
      <c r="J208" s="260" t="s">
        <v>89</v>
      </c>
    </row>
    <row r="209" spans="1:10" ht="25" hidden="1" customHeight="1">
      <c r="A209" s="358"/>
      <c r="B209" s="359" t="s">
        <v>316</v>
      </c>
      <c r="C209" s="338" t="s">
        <v>314</v>
      </c>
      <c r="D209" s="360" t="s">
        <v>317</v>
      </c>
      <c r="E209" s="277">
        <f t="shared" si="7"/>
        <v>25</v>
      </c>
      <c r="F209" s="285" t="s">
        <v>31</v>
      </c>
      <c r="G209" s="294">
        <v>370000</v>
      </c>
      <c r="H209" s="287">
        <v>0.5</v>
      </c>
      <c r="I209" s="361"/>
    </row>
    <row r="210" spans="1:10" ht="25" hidden="1" customHeight="1">
      <c r="A210" s="289"/>
      <c r="B210" s="290" t="s">
        <v>326</v>
      </c>
      <c r="C210" s="339" t="s">
        <v>325</v>
      </c>
      <c r="D210" s="292" t="s">
        <v>66</v>
      </c>
      <c r="E210" s="277">
        <f t="shared" si="7"/>
        <v>25</v>
      </c>
      <c r="F210" s="293" t="s">
        <v>39</v>
      </c>
      <c r="G210" s="294">
        <v>1125000</v>
      </c>
      <c r="H210" s="287">
        <v>0.5</v>
      </c>
      <c r="I210" s="295">
        <f>+G210/E210</f>
        <v>45000</v>
      </c>
      <c r="J210" s="260" t="s">
        <v>89</v>
      </c>
    </row>
    <row r="211" spans="1:10" ht="25" hidden="1" customHeight="1">
      <c r="A211" s="289"/>
      <c r="B211" s="290" t="s">
        <v>327</v>
      </c>
      <c r="C211" s="339" t="s">
        <v>325</v>
      </c>
      <c r="D211" s="292" t="s">
        <v>68</v>
      </c>
      <c r="E211" s="277">
        <f t="shared" si="7"/>
        <v>25</v>
      </c>
      <c r="F211" s="293" t="s">
        <v>39</v>
      </c>
      <c r="G211" s="294">
        <v>2700000</v>
      </c>
      <c r="H211" s="287">
        <v>0.5</v>
      </c>
      <c r="I211" s="295">
        <f>+G211/E211</f>
        <v>108000</v>
      </c>
      <c r="J211" s="260" t="s">
        <v>89</v>
      </c>
    </row>
    <row r="212" spans="1:10" ht="25" hidden="1" customHeight="1">
      <c r="A212" s="289"/>
      <c r="B212" s="290" t="s">
        <v>328</v>
      </c>
      <c r="C212" s="339" t="s">
        <v>325</v>
      </c>
      <c r="D212" s="292" t="s">
        <v>70</v>
      </c>
      <c r="E212" s="277">
        <f t="shared" si="7"/>
        <v>25</v>
      </c>
      <c r="F212" s="293" t="s">
        <v>39</v>
      </c>
      <c r="G212" s="294">
        <v>3750000</v>
      </c>
      <c r="H212" s="287">
        <v>0.5</v>
      </c>
      <c r="I212" s="295">
        <f>+G212/E212</f>
        <v>150000</v>
      </c>
      <c r="J212" s="260" t="s">
        <v>89</v>
      </c>
    </row>
    <row r="213" spans="1:10" ht="25" hidden="1" customHeight="1">
      <c r="A213" s="289"/>
      <c r="B213" s="290" t="s">
        <v>329</v>
      </c>
      <c r="C213" s="339" t="s">
        <v>325</v>
      </c>
      <c r="D213" s="292" t="s">
        <v>72</v>
      </c>
      <c r="E213" s="277">
        <f t="shared" si="7"/>
        <v>25</v>
      </c>
      <c r="F213" s="293" t="s">
        <v>39</v>
      </c>
      <c r="G213" s="301">
        <v>3850000</v>
      </c>
      <c r="H213" s="287">
        <v>0.5</v>
      </c>
      <c r="I213" s="295">
        <f>+G213/E213</f>
        <v>154000</v>
      </c>
      <c r="J213" s="260" t="s">
        <v>89</v>
      </c>
    </row>
    <row r="214" spans="1:10" ht="25" hidden="1" customHeight="1">
      <c r="A214" s="296"/>
      <c r="B214" s="297" t="s">
        <v>330</v>
      </c>
      <c r="C214" s="340" t="s">
        <v>325</v>
      </c>
      <c r="D214" s="299" t="s">
        <v>323</v>
      </c>
      <c r="E214" s="277">
        <f t="shared" si="7"/>
        <v>25</v>
      </c>
      <c r="F214" s="300" t="s">
        <v>39</v>
      </c>
      <c r="G214" s="301">
        <v>4500000</v>
      </c>
      <c r="H214" s="287">
        <v>0.5</v>
      </c>
      <c r="I214" s="302">
        <f>+G214/E214</f>
        <v>180000</v>
      </c>
      <c r="J214" s="260" t="s">
        <v>89</v>
      </c>
    </row>
    <row r="215" spans="1:10" s="323" customFormat="1" ht="25" hidden="1" customHeight="1">
      <c r="A215" s="274">
        <v>9</v>
      </c>
      <c r="B215" s="319"/>
      <c r="C215" s="320" t="s">
        <v>331</v>
      </c>
      <c r="D215" s="321"/>
      <c r="E215" s="277">
        <f t="shared" si="7"/>
        <v>25</v>
      </c>
      <c r="F215" s="277"/>
      <c r="G215" s="322"/>
      <c r="H215" s="280"/>
      <c r="I215" s="279"/>
      <c r="J215" s="260"/>
    </row>
    <row r="216" spans="1:10" ht="25" hidden="1" customHeight="1">
      <c r="A216" s="281"/>
      <c r="B216" s="282" t="s">
        <v>332</v>
      </c>
      <c r="C216" s="338" t="s">
        <v>331</v>
      </c>
      <c r="D216" s="284" t="s">
        <v>63</v>
      </c>
      <c r="E216" s="285"/>
      <c r="F216" s="285" t="s">
        <v>31</v>
      </c>
      <c r="G216" s="286">
        <v>100000</v>
      </c>
      <c r="H216" s="287">
        <v>1</v>
      </c>
      <c r="I216" s="288">
        <f>+G216</f>
        <v>100000</v>
      </c>
      <c r="J216" s="260" t="s">
        <v>89</v>
      </c>
    </row>
    <row r="217" spans="1:10" ht="25" hidden="1" customHeight="1">
      <c r="A217" s="289"/>
      <c r="B217" s="290" t="s">
        <v>333</v>
      </c>
      <c r="C217" s="339" t="s">
        <v>331</v>
      </c>
      <c r="D217" s="292" t="s">
        <v>66</v>
      </c>
      <c r="E217" s="277">
        <f t="shared" ref="E217:E227" si="10">10000/400</f>
        <v>25</v>
      </c>
      <c r="F217" s="293" t="s">
        <v>39</v>
      </c>
      <c r="G217" s="294">
        <v>220000</v>
      </c>
      <c r="H217" s="287">
        <v>1</v>
      </c>
      <c r="I217" s="295">
        <f>+G217/E217</f>
        <v>8800</v>
      </c>
      <c r="J217" s="260" t="s">
        <v>89</v>
      </c>
    </row>
    <row r="218" spans="1:10" ht="25" hidden="1" customHeight="1">
      <c r="A218" s="289"/>
      <c r="B218" s="290" t="s">
        <v>334</v>
      </c>
      <c r="C218" s="339" t="s">
        <v>331</v>
      </c>
      <c r="D218" s="292" t="s">
        <v>68</v>
      </c>
      <c r="E218" s="277">
        <f t="shared" si="10"/>
        <v>25</v>
      </c>
      <c r="F218" s="293" t="s">
        <v>39</v>
      </c>
      <c r="G218" s="294">
        <v>370000</v>
      </c>
      <c r="H218" s="287">
        <v>1</v>
      </c>
      <c r="I218" s="295">
        <f>+G218/E218</f>
        <v>14800</v>
      </c>
      <c r="J218" s="260" t="s">
        <v>89</v>
      </c>
    </row>
    <row r="219" spans="1:10" ht="25" hidden="1" customHeight="1">
      <c r="A219" s="289"/>
      <c r="B219" s="290" t="s">
        <v>335</v>
      </c>
      <c r="C219" s="339" t="s">
        <v>331</v>
      </c>
      <c r="D219" s="292" t="s">
        <v>70</v>
      </c>
      <c r="E219" s="277">
        <f t="shared" si="10"/>
        <v>25</v>
      </c>
      <c r="F219" s="293" t="s">
        <v>39</v>
      </c>
      <c r="G219" s="294">
        <v>520000</v>
      </c>
      <c r="H219" s="287">
        <v>1</v>
      </c>
      <c r="I219" s="295">
        <f>+G219/E219</f>
        <v>20800</v>
      </c>
      <c r="J219" s="260" t="s">
        <v>89</v>
      </c>
    </row>
    <row r="220" spans="1:10" ht="25" hidden="1" customHeight="1">
      <c r="A220" s="289"/>
      <c r="B220" s="290" t="s">
        <v>336</v>
      </c>
      <c r="C220" s="339" t="s">
        <v>331</v>
      </c>
      <c r="D220" s="292" t="s">
        <v>72</v>
      </c>
      <c r="E220" s="277">
        <f t="shared" si="10"/>
        <v>25</v>
      </c>
      <c r="F220" s="293" t="s">
        <v>39</v>
      </c>
      <c r="G220" s="294">
        <v>600000</v>
      </c>
      <c r="H220" s="287">
        <v>1</v>
      </c>
      <c r="I220" s="295">
        <f>+G220/E220</f>
        <v>24000</v>
      </c>
      <c r="J220" s="260" t="s">
        <v>89</v>
      </c>
    </row>
    <row r="221" spans="1:10" ht="25" hidden="1" customHeight="1">
      <c r="A221" s="296"/>
      <c r="B221" s="297" t="s">
        <v>337</v>
      </c>
      <c r="C221" s="340" t="s">
        <v>331</v>
      </c>
      <c r="D221" s="299" t="s">
        <v>323</v>
      </c>
      <c r="E221" s="277">
        <f t="shared" si="10"/>
        <v>25</v>
      </c>
      <c r="F221" s="300" t="s">
        <v>39</v>
      </c>
      <c r="G221" s="301">
        <v>750000</v>
      </c>
      <c r="H221" s="287">
        <v>1</v>
      </c>
      <c r="I221" s="302">
        <f>+G221/E221</f>
        <v>30000</v>
      </c>
      <c r="J221" s="260" t="s">
        <v>89</v>
      </c>
    </row>
    <row r="222" spans="1:10" ht="25" hidden="1" customHeight="1">
      <c r="A222" s="281"/>
      <c r="B222" s="282" t="s">
        <v>338</v>
      </c>
      <c r="C222" s="338" t="s">
        <v>339</v>
      </c>
      <c r="D222" s="284" t="s">
        <v>63</v>
      </c>
      <c r="E222" s="277">
        <f t="shared" si="10"/>
        <v>25</v>
      </c>
      <c r="F222" s="285" t="s">
        <v>31</v>
      </c>
      <c r="G222" s="286">
        <v>100000</v>
      </c>
      <c r="H222" s="287">
        <v>0.5</v>
      </c>
      <c r="I222" s="288">
        <f>+G222</f>
        <v>100000</v>
      </c>
      <c r="J222" s="260" t="s">
        <v>89</v>
      </c>
    </row>
    <row r="223" spans="1:10" ht="25" hidden="1" customHeight="1">
      <c r="A223" s="289"/>
      <c r="B223" s="290" t="s">
        <v>340</v>
      </c>
      <c r="C223" s="339" t="s">
        <v>339</v>
      </c>
      <c r="D223" s="292" t="s">
        <v>66</v>
      </c>
      <c r="E223" s="277">
        <f t="shared" si="10"/>
        <v>25</v>
      </c>
      <c r="F223" s="293" t="s">
        <v>39</v>
      </c>
      <c r="G223" s="294">
        <v>220000</v>
      </c>
      <c r="H223" s="287">
        <v>0.5</v>
      </c>
      <c r="I223" s="295">
        <f>+G223/E223</f>
        <v>8800</v>
      </c>
      <c r="J223" s="260" t="s">
        <v>89</v>
      </c>
    </row>
    <row r="224" spans="1:10" ht="25" hidden="1" customHeight="1">
      <c r="A224" s="289"/>
      <c r="B224" s="290" t="s">
        <v>341</v>
      </c>
      <c r="C224" s="339" t="s">
        <v>339</v>
      </c>
      <c r="D224" s="292" t="s">
        <v>68</v>
      </c>
      <c r="E224" s="277">
        <f t="shared" si="10"/>
        <v>25</v>
      </c>
      <c r="F224" s="293" t="s">
        <v>39</v>
      </c>
      <c r="G224" s="294">
        <v>370000</v>
      </c>
      <c r="H224" s="287">
        <v>0.5</v>
      </c>
      <c r="I224" s="295">
        <f>+G224/E224</f>
        <v>14800</v>
      </c>
      <c r="J224" s="260" t="s">
        <v>89</v>
      </c>
    </row>
    <row r="225" spans="1:10" ht="25" hidden="1" customHeight="1">
      <c r="A225" s="289"/>
      <c r="B225" s="290" t="s">
        <v>342</v>
      </c>
      <c r="C225" s="339" t="s">
        <v>339</v>
      </c>
      <c r="D225" s="292" t="s">
        <v>70</v>
      </c>
      <c r="E225" s="277">
        <f t="shared" si="10"/>
        <v>25</v>
      </c>
      <c r="F225" s="293" t="s">
        <v>39</v>
      </c>
      <c r="G225" s="294">
        <v>520000</v>
      </c>
      <c r="H225" s="287">
        <v>0.5</v>
      </c>
      <c r="I225" s="295">
        <f>+G225/E225</f>
        <v>20800</v>
      </c>
      <c r="J225" s="260" t="s">
        <v>89</v>
      </c>
    </row>
    <row r="226" spans="1:10" ht="25" hidden="1" customHeight="1">
      <c r="A226" s="289"/>
      <c r="B226" s="290" t="s">
        <v>343</v>
      </c>
      <c r="C226" s="339" t="s">
        <v>339</v>
      </c>
      <c r="D226" s="292" t="s">
        <v>72</v>
      </c>
      <c r="E226" s="277">
        <f t="shared" si="10"/>
        <v>25</v>
      </c>
      <c r="F226" s="293" t="s">
        <v>39</v>
      </c>
      <c r="G226" s="294">
        <v>600000</v>
      </c>
      <c r="H226" s="287">
        <v>0.5</v>
      </c>
      <c r="I226" s="295">
        <f>+G226/E226</f>
        <v>24000</v>
      </c>
      <c r="J226" s="260" t="s">
        <v>89</v>
      </c>
    </row>
    <row r="227" spans="1:10" ht="25" hidden="1" customHeight="1">
      <c r="A227" s="296"/>
      <c r="B227" s="297" t="s">
        <v>344</v>
      </c>
      <c r="C227" s="339" t="s">
        <v>339</v>
      </c>
      <c r="D227" s="299" t="s">
        <v>323</v>
      </c>
      <c r="E227" s="277">
        <f t="shared" si="10"/>
        <v>25</v>
      </c>
      <c r="F227" s="300" t="s">
        <v>39</v>
      </c>
      <c r="G227" s="301">
        <v>750000</v>
      </c>
      <c r="H227" s="287">
        <v>0.5</v>
      </c>
      <c r="I227" s="302">
        <f>+G227/E227</f>
        <v>30000</v>
      </c>
      <c r="J227" s="260" t="s">
        <v>89</v>
      </c>
    </row>
    <row r="228" spans="1:10" s="323" customFormat="1" ht="25" hidden="1" customHeight="1">
      <c r="A228" s="274">
        <v>9</v>
      </c>
      <c r="B228" s="319"/>
      <c r="C228" s="320" t="s">
        <v>345</v>
      </c>
      <c r="D228" s="321"/>
      <c r="E228" s="277">
        <f>10000/330</f>
        <v>30.303030303030305</v>
      </c>
      <c r="F228" s="277"/>
      <c r="G228" s="322"/>
      <c r="H228" s="280"/>
      <c r="I228" s="279"/>
      <c r="J228" s="260"/>
    </row>
    <row r="229" spans="1:10" ht="25" hidden="1" customHeight="1">
      <c r="A229" s="281"/>
      <c r="B229" s="282" t="s">
        <v>346</v>
      </c>
      <c r="C229" s="338" t="s">
        <v>347</v>
      </c>
      <c r="D229" s="284" t="s">
        <v>63</v>
      </c>
      <c r="E229" s="285"/>
      <c r="F229" s="285" t="s">
        <v>31</v>
      </c>
      <c r="G229" s="286">
        <v>100000</v>
      </c>
      <c r="H229" s="287">
        <v>1</v>
      </c>
      <c r="I229" s="288">
        <f>+G229</f>
        <v>100000</v>
      </c>
      <c r="J229" s="260" t="s">
        <v>89</v>
      </c>
    </row>
    <row r="230" spans="1:10" ht="25" hidden="1" customHeight="1">
      <c r="A230" s="289"/>
      <c r="B230" s="290" t="s">
        <v>348</v>
      </c>
      <c r="C230" s="339" t="s">
        <v>347</v>
      </c>
      <c r="D230" s="292" t="s">
        <v>66</v>
      </c>
      <c r="E230" s="285">
        <v>30.3</v>
      </c>
      <c r="F230" s="293" t="s">
        <v>39</v>
      </c>
      <c r="G230" s="294">
        <v>220000</v>
      </c>
      <c r="H230" s="287">
        <v>1</v>
      </c>
      <c r="I230" s="295">
        <f>+G230/E230</f>
        <v>7260.7260726072609</v>
      </c>
      <c r="J230" s="260" t="s">
        <v>89</v>
      </c>
    </row>
    <row r="231" spans="1:10" ht="25" hidden="1" customHeight="1">
      <c r="A231" s="289"/>
      <c r="B231" s="290" t="s">
        <v>349</v>
      </c>
      <c r="C231" s="339" t="s">
        <v>347</v>
      </c>
      <c r="D231" s="292" t="s">
        <v>68</v>
      </c>
      <c r="E231" s="285">
        <v>30.3</v>
      </c>
      <c r="F231" s="293" t="s">
        <v>39</v>
      </c>
      <c r="G231" s="294">
        <v>370000</v>
      </c>
      <c r="H231" s="287">
        <v>1</v>
      </c>
      <c r="I231" s="295">
        <f>+G231/E231</f>
        <v>12211.221122112211</v>
      </c>
      <c r="J231" s="260" t="s">
        <v>89</v>
      </c>
    </row>
    <row r="232" spans="1:10" ht="25" hidden="1" customHeight="1">
      <c r="A232" s="289"/>
      <c r="B232" s="290" t="s">
        <v>350</v>
      </c>
      <c r="C232" s="339" t="s">
        <v>347</v>
      </c>
      <c r="D232" s="292" t="s">
        <v>70</v>
      </c>
      <c r="E232" s="285">
        <v>30.3</v>
      </c>
      <c r="F232" s="293" t="s">
        <v>39</v>
      </c>
      <c r="G232" s="294">
        <v>520000</v>
      </c>
      <c r="H232" s="287">
        <v>1</v>
      </c>
      <c r="I232" s="295">
        <f>+G232/E232</f>
        <v>17161.716171617161</v>
      </c>
      <c r="J232" s="260" t="s">
        <v>89</v>
      </c>
    </row>
    <row r="233" spans="1:10" ht="25" hidden="1" customHeight="1">
      <c r="A233" s="289"/>
      <c r="B233" s="290" t="s">
        <v>351</v>
      </c>
      <c r="C233" s="339" t="s">
        <v>347</v>
      </c>
      <c r="D233" s="292" t="s">
        <v>72</v>
      </c>
      <c r="E233" s="285">
        <v>30.3</v>
      </c>
      <c r="F233" s="293" t="s">
        <v>39</v>
      </c>
      <c r="G233" s="294">
        <v>600000</v>
      </c>
      <c r="H233" s="287">
        <v>1</v>
      </c>
      <c r="I233" s="295">
        <f>+G233/E233</f>
        <v>19801.980198019803</v>
      </c>
      <c r="J233" s="260" t="s">
        <v>89</v>
      </c>
    </row>
    <row r="234" spans="1:10" ht="25" hidden="1" customHeight="1">
      <c r="A234" s="296"/>
      <c r="B234" s="297" t="s">
        <v>352</v>
      </c>
      <c r="C234" s="340" t="s">
        <v>347</v>
      </c>
      <c r="D234" s="299" t="s">
        <v>323</v>
      </c>
      <c r="E234" s="285">
        <v>30.3</v>
      </c>
      <c r="F234" s="300" t="s">
        <v>39</v>
      </c>
      <c r="G234" s="301">
        <v>750000</v>
      </c>
      <c r="H234" s="287">
        <v>1</v>
      </c>
      <c r="I234" s="302">
        <f>+G234/E234</f>
        <v>24752.475247524751</v>
      </c>
      <c r="J234" s="260" t="s">
        <v>89</v>
      </c>
    </row>
    <row r="235" spans="1:10" ht="25" hidden="1" customHeight="1">
      <c r="A235" s="281"/>
      <c r="B235" s="282" t="s">
        <v>353</v>
      </c>
      <c r="C235" s="338" t="s">
        <v>354</v>
      </c>
      <c r="D235" s="284" t="s">
        <v>63</v>
      </c>
      <c r="E235" s="285"/>
      <c r="F235" s="285" t="s">
        <v>31</v>
      </c>
      <c r="G235" s="286">
        <v>100000</v>
      </c>
      <c r="H235" s="287">
        <v>0.5</v>
      </c>
      <c r="I235" s="288">
        <f>+G235</f>
        <v>100000</v>
      </c>
      <c r="J235" s="260" t="s">
        <v>89</v>
      </c>
    </row>
    <row r="236" spans="1:10" ht="25" hidden="1" customHeight="1">
      <c r="A236" s="289"/>
      <c r="B236" s="290" t="s">
        <v>355</v>
      </c>
      <c r="C236" s="339" t="s">
        <v>354</v>
      </c>
      <c r="D236" s="292" t="s">
        <v>66</v>
      </c>
      <c r="E236" s="293">
        <f>360/72</f>
        <v>5</v>
      </c>
      <c r="F236" s="293" t="s">
        <v>39</v>
      </c>
      <c r="G236" s="294">
        <v>220000</v>
      </c>
      <c r="H236" s="287">
        <v>0.5</v>
      </c>
      <c r="I236" s="295">
        <f>+G236/E236</f>
        <v>44000</v>
      </c>
      <c r="J236" s="260" t="s">
        <v>89</v>
      </c>
    </row>
    <row r="237" spans="1:10" ht="25" hidden="1" customHeight="1">
      <c r="A237" s="289"/>
      <c r="B237" s="290" t="s">
        <v>356</v>
      </c>
      <c r="C237" s="339" t="s">
        <v>354</v>
      </c>
      <c r="D237" s="292" t="s">
        <v>68</v>
      </c>
      <c r="E237" s="293">
        <f>360/54</f>
        <v>6.666666666666667</v>
      </c>
      <c r="F237" s="293" t="s">
        <v>39</v>
      </c>
      <c r="G237" s="294">
        <v>370000</v>
      </c>
      <c r="H237" s="287">
        <v>0.5</v>
      </c>
      <c r="I237" s="295">
        <f>+G237/E237</f>
        <v>55500</v>
      </c>
      <c r="J237" s="260" t="s">
        <v>89</v>
      </c>
    </row>
    <row r="238" spans="1:10" ht="25" hidden="1" customHeight="1">
      <c r="A238" s="289"/>
      <c r="B238" s="290" t="s">
        <v>357</v>
      </c>
      <c r="C238" s="339" t="s">
        <v>354</v>
      </c>
      <c r="D238" s="292" t="s">
        <v>70</v>
      </c>
      <c r="E238" s="293">
        <f>360/43</f>
        <v>8.3720930232558146</v>
      </c>
      <c r="F238" s="293" t="s">
        <v>39</v>
      </c>
      <c r="G238" s="294">
        <v>520000</v>
      </c>
      <c r="H238" s="287">
        <v>0.5</v>
      </c>
      <c r="I238" s="295">
        <f>+G238/E238</f>
        <v>62111.111111111109</v>
      </c>
      <c r="J238" s="260" t="s">
        <v>89</v>
      </c>
    </row>
    <row r="239" spans="1:10" ht="25" hidden="1" customHeight="1">
      <c r="A239" s="289"/>
      <c r="B239" s="290" t="s">
        <v>358</v>
      </c>
      <c r="C239" s="339" t="s">
        <v>354</v>
      </c>
      <c r="D239" s="292" t="s">
        <v>72</v>
      </c>
      <c r="E239" s="293">
        <f>360/43</f>
        <v>8.3720930232558146</v>
      </c>
      <c r="F239" s="293" t="s">
        <v>39</v>
      </c>
      <c r="G239" s="294">
        <v>600000</v>
      </c>
      <c r="H239" s="287">
        <v>0.5</v>
      </c>
      <c r="I239" s="295">
        <f>+G239/E239</f>
        <v>71666.666666666657</v>
      </c>
      <c r="J239" s="260" t="s">
        <v>89</v>
      </c>
    </row>
    <row r="240" spans="1:10" ht="25" hidden="1" customHeight="1">
      <c r="A240" s="296"/>
      <c r="B240" s="297" t="s">
        <v>359</v>
      </c>
      <c r="C240" s="340" t="s">
        <v>354</v>
      </c>
      <c r="D240" s="299" t="s">
        <v>323</v>
      </c>
      <c r="E240" s="300">
        <f>360/29</f>
        <v>12.413793103448276</v>
      </c>
      <c r="F240" s="300" t="s">
        <v>39</v>
      </c>
      <c r="G240" s="301">
        <v>750000</v>
      </c>
      <c r="H240" s="287">
        <v>0.5</v>
      </c>
      <c r="I240" s="302">
        <f>+G240/E240</f>
        <v>60416.666666666664</v>
      </c>
      <c r="J240" s="260" t="s">
        <v>89</v>
      </c>
    </row>
    <row r="241" spans="1:10" s="323" customFormat="1" ht="25" hidden="1" customHeight="1">
      <c r="A241" s="274">
        <v>9</v>
      </c>
      <c r="B241" s="319"/>
      <c r="C241" s="320" t="s">
        <v>360</v>
      </c>
      <c r="D241" s="321"/>
      <c r="E241" s="277"/>
      <c r="F241" s="277"/>
      <c r="G241" s="322"/>
      <c r="H241" s="280"/>
      <c r="I241" s="279"/>
      <c r="J241" s="260"/>
    </row>
    <row r="242" spans="1:10" s="370" customFormat="1" ht="25" hidden="1" customHeight="1">
      <c r="A242" s="362"/>
      <c r="B242" s="363" t="s">
        <v>361</v>
      </c>
      <c r="C242" s="364" t="s">
        <v>360</v>
      </c>
      <c r="D242" s="365" t="s">
        <v>63</v>
      </c>
      <c r="E242" s="366"/>
      <c r="F242" s="366" t="s">
        <v>31</v>
      </c>
      <c r="G242" s="367">
        <v>36000</v>
      </c>
      <c r="H242" s="368">
        <v>1</v>
      </c>
      <c r="I242" s="369">
        <f>+G242</f>
        <v>36000</v>
      </c>
      <c r="J242" s="370" t="s">
        <v>89</v>
      </c>
    </row>
    <row r="243" spans="1:10" s="370" customFormat="1" ht="25" hidden="1" customHeight="1">
      <c r="A243" s="371"/>
      <c r="B243" s="372" t="s">
        <v>362</v>
      </c>
      <c r="C243" s="373" t="s">
        <v>360</v>
      </c>
      <c r="D243" s="374" t="s">
        <v>66</v>
      </c>
      <c r="E243" s="375">
        <f>360/72</f>
        <v>5</v>
      </c>
      <c r="F243" s="375" t="s">
        <v>39</v>
      </c>
      <c r="G243" s="376">
        <v>48000</v>
      </c>
      <c r="H243" s="368">
        <v>1</v>
      </c>
      <c r="I243" s="377">
        <f>+G243/E243</f>
        <v>9600</v>
      </c>
      <c r="J243" s="370" t="s">
        <v>89</v>
      </c>
    </row>
    <row r="244" spans="1:10" s="370" customFormat="1" ht="25" hidden="1" customHeight="1">
      <c r="A244" s="371"/>
      <c r="B244" s="372" t="s">
        <v>363</v>
      </c>
      <c r="C244" s="373" t="s">
        <v>360</v>
      </c>
      <c r="D244" s="374" t="s">
        <v>68</v>
      </c>
      <c r="E244" s="375">
        <f>360/54</f>
        <v>6.666666666666667</v>
      </c>
      <c r="F244" s="375" t="s">
        <v>39</v>
      </c>
      <c r="G244" s="376">
        <v>85000</v>
      </c>
      <c r="H244" s="368">
        <v>1</v>
      </c>
      <c r="I244" s="377">
        <f>+G244/E244</f>
        <v>12750</v>
      </c>
      <c r="J244" s="370" t="s">
        <v>89</v>
      </c>
    </row>
    <row r="245" spans="1:10" s="370" customFormat="1" ht="25" hidden="1" customHeight="1">
      <c r="A245" s="371"/>
      <c r="B245" s="372" t="s">
        <v>364</v>
      </c>
      <c r="C245" s="373" t="s">
        <v>360</v>
      </c>
      <c r="D245" s="374" t="s">
        <v>70</v>
      </c>
      <c r="E245" s="375">
        <f>360/43</f>
        <v>8.3720930232558146</v>
      </c>
      <c r="F245" s="375" t="s">
        <v>39</v>
      </c>
      <c r="G245" s="376">
        <v>120000</v>
      </c>
      <c r="H245" s="368">
        <v>1</v>
      </c>
      <c r="I245" s="377"/>
      <c r="J245" s="370" t="s">
        <v>89</v>
      </c>
    </row>
    <row r="246" spans="1:10" s="370" customFormat="1" ht="25" hidden="1" customHeight="1">
      <c r="A246" s="371"/>
      <c r="B246" s="372" t="s">
        <v>365</v>
      </c>
      <c r="C246" s="373" t="s">
        <v>360</v>
      </c>
      <c r="D246" s="374" t="s">
        <v>72</v>
      </c>
      <c r="E246" s="375">
        <f>360/43</f>
        <v>8.3720930232558146</v>
      </c>
      <c r="F246" s="375" t="s">
        <v>39</v>
      </c>
      <c r="G246" s="376">
        <v>200000</v>
      </c>
      <c r="H246" s="368">
        <v>1</v>
      </c>
      <c r="I246" s="377">
        <f>+G246/E246</f>
        <v>23888.888888888887</v>
      </c>
      <c r="J246" s="370" t="s">
        <v>89</v>
      </c>
    </row>
    <row r="247" spans="1:10" s="370" customFormat="1" ht="25" hidden="1" customHeight="1">
      <c r="A247" s="378"/>
      <c r="B247" s="379" t="s">
        <v>366</v>
      </c>
      <c r="C247" s="380" t="s">
        <v>360</v>
      </c>
      <c r="D247" s="381" t="s">
        <v>323</v>
      </c>
      <c r="E247" s="382">
        <f>360/29</f>
        <v>12.413793103448276</v>
      </c>
      <c r="F247" s="382" t="s">
        <v>39</v>
      </c>
      <c r="G247" s="383">
        <v>360000</v>
      </c>
      <c r="H247" s="368">
        <v>1</v>
      </c>
      <c r="I247" s="384">
        <f>+G247/E247</f>
        <v>29000</v>
      </c>
      <c r="J247" s="370" t="s">
        <v>89</v>
      </c>
    </row>
    <row r="248" spans="1:10" s="323" customFormat="1" ht="25" hidden="1" customHeight="1">
      <c r="A248" s="274">
        <v>9</v>
      </c>
      <c r="B248" s="319"/>
      <c r="C248" s="320" t="s">
        <v>367</v>
      </c>
      <c r="D248" s="321"/>
      <c r="E248" s="277"/>
      <c r="F248" s="277"/>
      <c r="G248" s="322"/>
      <c r="H248" s="280"/>
      <c r="I248" s="279"/>
      <c r="J248" s="260" t="s">
        <v>89</v>
      </c>
    </row>
    <row r="249" spans="1:10" s="370" customFormat="1" ht="24.75" hidden="1" customHeight="1">
      <c r="A249" s="362"/>
      <c r="B249" s="363" t="s">
        <v>368</v>
      </c>
      <c r="C249" s="364" t="s">
        <v>367</v>
      </c>
      <c r="D249" s="365" t="s">
        <v>63</v>
      </c>
      <c r="E249" s="366"/>
      <c r="F249" s="366" t="s">
        <v>31</v>
      </c>
      <c r="G249" s="367">
        <v>36000</v>
      </c>
      <c r="H249" s="368">
        <v>1</v>
      </c>
      <c r="I249" s="369">
        <f>+G249</f>
        <v>36000</v>
      </c>
      <c r="J249" s="370" t="s">
        <v>89</v>
      </c>
    </row>
    <row r="250" spans="1:10" s="370" customFormat="1" ht="25" hidden="1" customHeight="1">
      <c r="A250" s="371"/>
      <c r="B250" s="372" t="s">
        <v>369</v>
      </c>
      <c r="C250" s="373" t="s">
        <v>367</v>
      </c>
      <c r="D250" s="374" t="s">
        <v>66</v>
      </c>
      <c r="E250" s="375">
        <f>360/72</f>
        <v>5</v>
      </c>
      <c r="F250" s="375" t="s">
        <v>39</v>
      </c>
      <c r="G250" s="376">
        <v>48000</v>
      </c>
      <c r="H250" s="368">
        <v>1</v>
      </c>
      <c r="I250" s="377">
        <f>+G250/E250</f>
        <v>9600</v>
      </c>
      <c r="J250" s="370" t="s">
        <v>89</v>
      </c>
    </row>
    <row r="251" spans="1:10" s="370" customFormat="1" ht="25" hidden="1" customHeight="1">
      <c r="A251" s="371"/>
      <c r="B251" s="372" t="s">
        <v>370</v>
      </c>
      <c r="C251" s="373" t="s">
        <v>367</v>
      </c>
      <c r="D251" s="374" t="s">
        <v>68</v>
      </c>
      <c r="E251" s="375">
        <f>360/54</f>
        <v>6.666666666666667</v>
      </c>
      <c r="F251" s="375" t="s">
        <v>39</v>
      </c>
      <c r="G251" s="376">
        <v>85000</v>
      </c>
      <c r="H251" s="368">
        <v>1</v>
      </c>
      <c r="I251" s="377">
        <f>+G251/E251</f>
        <v>12750</v>
      </c>
      <c r="J251" s="370" t="s">
        <v>89</v>
      </c>
    </row>
    <row r="252" spans="1:10" s="370" customFormat="1" ht="25" hidden="1" customHeight="1">
      <c r="A252" s="371"/>
      <c r="B252" s="372" t="s">
        <v>371</v>
      </c>
      <c r="C252" s="373" t="s">
        <v>367</v>
      </c>
      <c r="D252" s="374" t="s">
        <v>70</v>
      </c>
      <c r="E252" s="375">
        <f>360/43</f>
        <v>8.3720930232558146</v>
      </c>
      <c r="F252" s="375" t="s">
        <v>39</v>
      </c>
      <c r="G252" s="376">
        <v>120000</v>
      </c>
      <c r="H252" s="368">
        <v>1</v>
      </c>
      <c r="I252" s="377"/>
      <c r="J252" s="370" t="s">
        <v>89</v>
      </c>
    </row>
    <row r="253" spans="1:10" s="370" customFormat="1" ht="25" hidden="1" customHeight="1">
      <c r="A253" s="371"/>
      <c r="B253" s="372" t="s">
        <v>372</v>
      </c>
      <c r="C253" s="373" t="s">
        <v>367</v>
      </c>
      <c r="D253" s="374" t="s">
        <v>72</v>
      </c>
      <c r="E253" s="375">
        <f>360/43</f>
        <v>8.3720930232558146</v>
      </c>
      <c r="F253" s="375" t="s">
        <v>39</v>
      </c>
      <c r="G253" s="376">
        <v>200000</v>
      </c>
      <c r="H253" s="368">
        <v>1</v>
      </c>
      <c r="I253" s="377">
        <f>+G253/E253</f>
        <v>23888.888888888887</v>
      </c>
      <c r="J253" s="370" t="s">
        <v>89</v>
      </c>
    </row>
    <row r="254" spans="1:10" s="370" customFormat="1" ht="25" hidden="1" customHeight="1">
      <c r="A254" s="378"/>
      <c r="B254" s="379" t="s">
        <v>373</v>
      </c>
      <c r="C254" s="380" t="s">
        <v>367</v>
      </c>
      <c r="D254" s="381" t="s">
        <v>323</v>
      </c>
      <c r="E254" s="382">
        <f>360/29</f>
        <v>12.413793103448276</v>
      </c>
      <c r="F254" s="382" t="s">
        <v>39</v>
      </c>
      <c r="G254" s="383">
        <v>360000</v>
      </c>
      <c r="H254" s="368">
        <v>1</v>
      </c>
      <c r="I254" s="384">
        <f>+G254/E254</f>
        <v>29000</v>
      </c>
      <c r="J254" s="370" t="s">
        <v>89</v>
      </c>
    </row>
    <row r="255" spans="1:10" s="323" customFormat="1" ht="25" customHeight="1">
      <c r="A255" s="274">
        <v>9</v>
      </c>
      <c r="B255" s="319"/>
      <c r="C255" s="320" t="s">
        <v>374</v>
      </c>
      <c r="D255" s="321"/>
      <c r="E255" s="277">
        <f>10000/150</f>
        <v>66.666666666666671</v>
      </c>
      <c r="F255" s="277"/>
      <c r="G255" s="322"/>
      <c r="H255" s="280"/>
      <c r="I255" s="279"/>
      <c r="J255" s="260" t="s">
        <v>89</v>
      </c>
    </row>
    <row r="256" spans="1:10" ht="25" customHeight="1">
      <c r="A256" s="281"/>
      <c r="B256" s="282" t="s">
        <v>375</v>
      </c>
      <c r="C256" s="338" t="s">
        <v>374</v>
      </c>
      <c r="D256" s="284" t="s">
        <v>63</v>
      </c>
      <c r="E256" s="285"/>
      <c r="F256" s="285" t="s">
        <v>31</v>
      </c>
      <c r="G256" s="286">
        <v>100000</v>
      </c>
      <c r="H256" s="287">
        <v>1</v>
      </c>
      <c r="I256" s="288">
        <f>+G256</f>
        <v>100000</v>
      </c>
      <c r="J256" s="260" t="s">
        <v>89</v>
      </c>
    </row>
    <row r="257" spans="1:10" ht="25" customHeight="1">
      <c r="A257" s="289"/>
      <c r="B257" s="290" t="s">
        <v>376</v>
      </c>
      <c r="C257" s="339" t="s">
        <v>374</v>
      </c>
      <c r="D257" s="292" t="s">
        <v>66</v>
      </c>
      <c r="E257" s="293">
        <v>66.599999999999994</v>
      </c>
      <c r="F257" s="293" t="s">
        <v>39</v>
      </c>
      <c r="G257" s="294">
        <v>220000</v>
      </c>
      <c r="H257" s="287">
        <v>1</v>
      </c>
      <c r="I257" s="295">
        <f>+G257/E257</f>
        <v>3303.3033033033034</v>
      </c>
      <c r="J257" s="260" t="s">
        <v>89</v>
      </c>
    </row>
    <row r="258" spans="1:10" ht="25" customHeight="1">
      <c r="A258" s="289"/>
      <c r="B258" s="290" t="s">
        <v>377</v>
      </c>
      <c r="C258" s="339" t="s">
        <v>374</v>
      </c>
      <c r="D258" s="292" t="s">
        <v>68</v>
      </c>
      <c r="E258" s="293">
        <v>66.599999999999994</v>
      </c>
      <c r="F258" s="293" t="s">
        <v>39</v>
      </c>
      <c r="G258" s="294">
        <v>370000</v>
      </c>
      <c r="H258" s="287">
        <v>1</v>
      </c>
      <c r="I258" s="295">
        <f>+G258/E258</f>
        <v>5555.5555555555557</v>
      </c>
      <c r="J258" s="260" t="s">
        <v>89</v>
      </c>
    </row>
    <row r="259" spans="1:10" ht="25" customHeight="1">
      <c r="A259" s="289"/>
      <c r="B259" s="290" t="s">
        <v>378</v>
      </c>
      <c r="C259" s="339" t="s">
        <v>374</v>
      </c>
      <c r="D259" s="292" t="s">
        <v>70</v>
      </c>
      <c r="E259" s="293">
        <v>66.599999999999994</v>
      </c>
      <c r="F259" s="293" t="s">
        <v>39</v>
      </c>
      <c r="G259" s="294">
        <v>520000</v>
      </c>
      <c r="H259" s="287">
        <v>1</v>
      </c>
      <c r="I259" s="295">
        <f>+G259/E259</f>
        <v>7807.8078078078088</v>
      </c>
      <c r="J259" s="260" t="s">
        <v>89</v>
      </c>
    </row>
    <row r="260" spans="1:10" ht="25" customHeight="1">
      <c r="A260" s="289"/>
      <c r="B260" s="290" t="s">
        <v>379</v>
      </c>
      <c r="C260" s="339" t="s">
        <v>374</v>
      </c>
      <c r="D260" s="292" t="s">
        <v>72</v>
      </c>
      <c r="E260" s="293">
        <v>66.599999999999994</v>
      </c>
      <c r="F260" s="293" t="s">
        <v>39</v>
      </c>
      <c r="G260" s="294">
        <v>600000</v>
      </c>
      <c r="H260" s="287">
        <v>1</v>
      </c>
      <c r="I260" s="295">
        <f>+G260/E260</f>
        <v>9009.0090090090089</v>
      </c>
      <c r="J260" s="260" t="s">
        <v>89</v>
      </c>
    </row>
    <row r="261" spans="1:10" ht="25" customHeight="1">
      <c r="A261" s="296"/>
      <c r="B261" s="297" t="s">
        <v>380</v>
      </c>
      <c r="C261" s="340" t="s">
        <v>374</v>
      </c>
      <c r="D261" s="299" t="s">
        <v>323</v>
      </c>
      <c r="E261" s="293">
        <v>66.599999999999994</v>
      </c>
      <c r="F261" s="300" t="s">
        <v>39</v>
      </c>
      <c r="G261" s="301">
        <v>750000</v>
      </c>
      <c r="H261" s="287">
        <v>1</v>
      </c>
      <c r="I261" s="302">
        <f>+G261/E261</f>
        <v>11261.261261261263</v>
      </c>
      <c r="J261" s="260" t="s">
        <v>89</v>
      </c>
    </row>
    <row r="262" spans="1:10" ht="25" customHeight="1">
      <c r="A262" s="281"/>
      <c r="B262" s="282" t="s">
        <v>381</v>
      </c>
      <c r="C262" s="338" t="s">
        <v>382</v>
      </c>
      <c r="D262" s="284" t="s">
        <v>63</v>
      </c>
      <c r="E262" s="285"/>
      <c r="F262" s="285" t="s">
        <v>31</v>
      </c>
      <c r="G262" s="286">
        <v>100000</v>
      </c>
      <c r="H262" s="287">
        <v>0.5</v>
      </c>
      <c r="I262" s="288">
        <f>+G262</f>
        <v>100000</v>
      </c>
      <c r="J262" s="260" t="s">
        <v>89</v>
      </c>
    </row>
    <row r="263" spans="1:10" ht="25" customHeight="1">
      <c r="A263" s="289"/>
      <c r="B263" s="290" t="s">
        <v>383</v>
      </c>
      <c r="C263" s="339" t="s">
        <v>382</v>
      </c>
      <c r="D263" s="292" t="s">
        <v>66</v>
      </c>
      <c r="E263" s="293">
        <f>360/72</f>
        <v>5</v>
      </c>
      <c r="F263" s="293" t="s">
        <v>39</v>
      </c>
      <c r="G263" s="294">
        <v>220000</v>
      </c>
      <c r="H263" s="287">
        <v>0.5</v>
      </c>
      <c r="I263" s="295">
        <f>+G263/E263</f>
        <v>44000</v>
      </c>
      <c r="J263" s="260" t="s">
        <v>89</v>
      </c>
    </row>
    <row r="264" spans="1:10" ht="25" customHeight="1">
      <c r="A264" s="289"/>
      <c r="B264" s="290" t="s">
        <v>384</v>
      </c>
      <c r="C264" s="339" t="s">
        <v>382</v>
      </c>
      <c r="D264" s="292" t="s">
        <v>68</v>
      </c>
      <c r="E264" s="293">
        <f>360/54</f>
        <v>6.666666666666667</v>
      </c>
      <c r="F264" s="293" t="s">
        <v>39</v>
      </c>
      <c r="G264" s="294">
        <v>370000</v>
      </c>
      <c r="H264" s="287">
        <v>0.5</v>
      </c>
      <c r="I264" s="295">
        <f>+G264/E264</f>
        <v>55500</v>
      </c>
      <c r="J264" s="260" t="s">
        <v>89</v>
      </c>
    </row>
    <row r="265" spans="1:10" ht="25" customHeight="1">
      <c r="A265" s="289"/>
      <c r="B265" s="290" t="s">
        <v>385</v>
      </c>
      <c r="C265" s="339" t="s">
        <v>382</v>
      </c>
      <c r="D265" s="292" t="s">
        <v>70</v>
      </c>
      <c r="E265" s="293">
        <f>360/43</f>
        <v>8.3720930232558146</v>
      </c>
      <c r="F265" s="293" t="s">
        <v>39</v>
      </c>
      <c r="G265" s="294">
        <v>520000</v>
      </c>
      <c r="H265" s="287">
        <v>0.5</v>
      </c>
      <c r="I265" s="295">
        <f>+G265/E265</f>
        <v>62111.111111111109</v>
      </c>
      <c r="J265" s="260" t="s">
        <v>89</v>
      </c>
    </row>
    <row r="266" spans="1:10" ht="25" customHeight="1">
      <c r="A266" s="289"/>
      <c r="B266" s="290" t="s">
        <v>386</v>
      </c>
      <c r="C266" s="339" t="s">
        <v>382</v>
      </c>
      <c r="D266" s="292" t="s">
        <v>72</v>
      </c>
      <c r="E266" s="293">
        <f>360/43</f>
        <v>8.3720930232558146</v>
      </c>
      <c r="F266" s="293" t="s">
        <v>39</v>
      </c>
      <c r="G266" s="294">
        <v>600000</v>
      </c>
      <c r="H266" s="287">
        <v>0.5</v>
      </c>
      <c r="I266" s="295">
        <f>+G266/E266</f>
        <v>71666.666666666657</v>
      </c>
      <c r="J266" s="260" t="s">
        <v>89</v>
      </c>
    </row>
    <row r="267" spans="1:10" ht="25" customHeight="1">
      <c r="A267" s="296"/>
      <c r="B267" s="297" t="s">
        <v>387</v>
      </c>
      <c r="C267" s="340" t="s">
        <v>382</v>
      </c>
      <c r="D267" s="299" t="s">
        <v>323</v>
      </c>
      <c r="E267" s="300">
        <f>360/29</f>
        <v>12.413793103448276</v>
      </c>
      <c r="F267" s="300" t="s">
        <v>39</v>
      </c>
      <c r="G267" s="301">
        <v>750000</v>
      </c>
      <c r="H267" s="287">
        <v>0.5</v>
      </c>
      <c r="I267" s="302">
        <f>+G267/E267</f>
        <v>60416.666666666664</v>
      </c>
      <c r="J267" s="260" t="s">
        <v>89</v>
      </c>
    </row>
    <row r="268" spans="1:10" s="323" customFormat="1" ht="25" hidden="1" customHeight="1">
      <c r="A268" s="274">
        <v>4</v>
      </c>
      <c r="B268" s="319"/>
      <c r="C268" s="320" t="s">
        <v>388</v>
      </c>
      <c r="D268" s="321"/>
      <c r="E268" s="277">
        <f t="shared" ref="E268:E281" si="11">10000/400</f>
        <v>25</v>
      </c>
      <c r="F268" s="277"/>
      <c r="G268" s="322"/>
      <c r="H268" s="280"/>
      <c r="I268" s="279"/>
      <c r="J268" s="260" t="s">
        <v>89</v>
      </c>
    </row>
    <row r="269" spans="1:10" ht="25" hidden="1" customHeight="1">
      <c r="A269" s="281"/>
      <c r="B269" s="282" t="s">
        <v>389</v>
      </c>
      <c r="C269" s="338" t="s">
        <v>390</v>
      </c>
      <c r="D269" s="385" t="s">
        <v>63</v>
      </c>
      <c r="E269" s="277">
        <f t="shared" si="11"/>
        <v>25</v>
      </c>
      <c r="F269" s="285" t="s">
        <v>31</v>
      </c>
      <c r="G269" s="286">
        <v>100000</v>
      </c>
      <c r="H269" s="287">
        <v>1</v>
      </c>
      <c r="I269" s="288">
        <f>+G269</f>
        <v>100000</v>
      </c>
      <c r="J269" s="260" t="s">
        <v>89</v>
      </c>
    </row>
    <row r="270" spans="1:10" ht="25" hidden="1" customHeight="1">
      <c r="A270" s="289"/>
      <c r="B270" s="290" t="s">
        <v>391</v>
      </c>
      <c r="C270" s="339" t="s">
        <v>390</v>
      </c>
      <c r="D270" s="292" t="s">
        <v>66</v>
      </c>
      <c r="E270" s="277">
        <f t="shared" si="11"/>
        <v>25</v>
      </c>
      <c r="F270" s="293" t="s">
        <v>39</v>
      </c>
      <c r="G270" s="294">
        <v>220000</v>
      </c>
      <c r="H270" s="325">
        <v>1</v>
      </c>
      <c r="I270" s="295">
        <f>+G270/E270</f>
        <v>8800</v>
      </c>
      <c r="J270" s="260" t="s">
        <v>89</v>
      </c>
    </row>
    <row r="271" spans="1:10" ht="25" hidden="1" customHeight="1">
      <c r="A271" s="289"/>
      <c r="B271" s="290" t="s">
        <v>392</v>
      </c>
      <c r="C271" s="339" t="s">
        <v>390</v>
      </c>
      <c r="D271" s="292" t="s">
        <v>68</v>
      </c>
      <c r="E271" s="277">
        <f t="shared" si="11"/>
        <v>25</v>
      </c>
      <c r="F271" s="293" t="s">
        <v>39</v>
      </c>
      <c r="G271" s="294">
        <v>370000</v>
      </c>
      <c r="H271" s="325">
        <v>1</v>
      </c>
      <c r="I271" s="295">
        <f>+G271/E271</f>
        <v>14800</v>
      </c>
      <c r="J271" s="260" t="s">
        <v>89</v>
      </c>
    </row>
    <row r="272" spans="1:10" ht="25" hidden="1" customHeight="1">
      <c r="A272" s="289"/>
      <c r="B272" s="290" t="s">
        <v>393</v>
      </c>
      <c r="C272" s="339" t="s">
        <v>390</v>
      </c>
      <c r="D272" s="292" t="s">
        <v>70</v>
      </c>
      <c r="E272" s="277">
        <f t="shared" si="11"/>
        <v>25</v>
      </c>
      <c r="F272" s="293" t="s">
        <v>39</v>
      </c>
      <c r="G272" s="294">
        <v>520000</v>
      </c>
      <c r="H272" s="325">
        <v>1</v>
      </c>
      <c r="I272" s="295">
        <f>+G272/E272</f>
        <v>20800</v>
      </c>
      <c r="J272" s="260" t="s">
        <v>89</v>
      </c>
    </row>
    <row r="273" spans="1:10" ht="25" hidden="1" customHeight="1">
      <c r="A273" s="289"/>
      <c r="B273" s="290" t="s">
        <v>394</v>
      </c>
      <c r="C273" s="339" t="s">
        <v>390</v>
      </c>
      <c r="D273" s="292" t="s">
        <v>72</v>
      </c>
      <c r="E273" s="277">
        <f t="shared" si="11"/>
        <v>25</v>
      </c>
      <c r="F273" s="293" t="s">
        <v>39</v>
      </c>
      <c r="G273" s="294">
        <v>600000</v>
      </c>
      <c r="H273" s="325">
        <v>1</v>
      </c>
      <c r="I273" s="295">
        <f>+G273/E273</f>
        <v>24000</v>
      </c>
      <c r="J273" s="260" t="s">
        <v>89</v>
      </c>
    </row>
    <row r="274" spans="1:10" ht="25" hidden="1" customHeight="1">
      <c r="A274" s="296"/>
      <c r="B274" s="297" t="s">
        <v>395</v>
      </c>
      <c r="C274" s="340" t="s">
        <v>390</v>
      </c>
      <c r="D274" s="299" t="s">
        <v>323</v>
      </c>
      <c r="E274" s="277">
        <f t="shared" si="11"/>
        <v>25</v>
      </c>
      <c r="F274" s="300" t="s">
        <v>39</v>
      </c>
      <c r="G274" s="301">
        <v>750000</v>
      </c>
      <c r="H274" s="325">
        <v>1</v>
      </c>
      <c r="I274" s="302">
        <f>+G274/E274</f>
        <v>30000</v>
      </c>
      <c r="J274" s="260" t="s">
        <v>89</v>
      </c>
    </row>
    <row r="275" spans="1:10" ht="25" hidden="1" customHeight="1">
      <c r="A275" s="281"/>
      <c r="B275" s="282" t="s">
        <v>396</v>
      </c>
      <c r="C275" s="339" t="s">
        <v>397</v>
      </c>
      <c r="D275" s="284" t="s">
        <v>63</v>
      </c>
      <c r="E275" s="277">
        <f t="shared" si="11"/>
        <v>25</v>
      </c>
      <c r="F275" s="285" t="s">
        <v>31</v>
      </c>
      <c r="G275" s="286">
        <v>100000</v>
      </c>
      <c r="H275" s="287">
        <v>0.5</v>
      </c>
      <c r="I275" s="288">
        <f>+G275</f>
        <v>100000</v>
      </c>
      <c r="J275" s="260" t="s">
        <v>89</v>
      </c>
    </row>
    <row r="276" spans="1:10" ht="25" hidden="1" customHeight="1">
      <c r="A276" s="289"/>
      <c r="B276" s="290" t="s">
        <v>398</v>
      </c>
      <c r="C276" s="339" t="s">
        <v>397</v>
      </c>
      <c r="D276" s="292" t="s">
        <v>66</v>
      </c>
      <c r="E276" s="277">
        <f t="shared" si="11"/>
        <v>25</v>
      </c>
      <c r="F276" s="293" t="s">
        <v>39</v>
      </c>
      <c r="G276" s="294">
        <v>220000</v>
      </c>
      <c r="H276" s="325">
        <v>0.5</v>
      </c>
      <c r="I276" s="295">
        <f t="shared" ref="I276:I281" si="12">+G276/E276</f>
        <v>8800</v>
      </c>
      <c r="J276" s="260" t="s">
        <v>89</v>
      </c>
    </row>
    <row r="277" spans="1:10" ht="25" hidden="1" customHeight="1">
      <c r="A277" s="289"/>
      <c r="B277" s="290" t="s">
        <v>399</v>
      </c>
      <c r="C277" s="339" t="s">
        <v>397</v>
      </c>
      <c r="D277" s="292" t="s">
        <v>68</v>
      </c>
      <c r="E277" s="277">
        <f t="shared" si="11"/>
        <v>25</v>
      </c>
      <c r="F277" s="293" t="s">
        <v>39</v>
      </c>
      <c r="G277" s="294">
        <v>370000</v>
      </c>
      <c r="H277" s="325">
        <v>0.5</v>
      </c>
      <c r="I277" s="295">
        <f t="shared" si="12"/>
        <v>14800</v>
      </c>
      <c r="J277" s="260" t="s">
        <v>89</v>
      </c>
    </row>
    <row r="278" spans="1:10" ht="25" hidden="1" customHeight="1">
      <c r="A278" s="289"/>
      <c r="B278" s="290" t="s">
        <v>400</v>
      </c>
      <c r="C278" s="339" t="s">
        <v>397</v>
      </c>
      <c r="D278" s="292" t="s">
        <v>70</v>
      </c>
      <c r="E278" s="277">
        <f t="shared" si="11"/>
        <v>25</v>
      </c>
      <c r="F278" s="293" t="s">
        <v>39</v>
      </c>
      <c r="G278" s="294">
        <v>520000</v>
      </c>
      <c r="H278" s="325">
        <v>0.5</v>
      </c>
      <c r="I278" s="295">
        <f t="shared" si="12"/>
        <v>20800</v>
      </c>
      <c r="J278" s="260" t="s">
        <v>89</v>
      </c>
    </row>
    <row r="279" spans="1:10" ht="25" hidden="1" customHeight="1">
      <c r="A279" s="289"/>
      <c r="B279" s="290" t="s">
        <v>401</v>
      </c>
      <c r="C279" s="339" t="s">
        <v>397</v>
      </c>
      <c r="D279" s="292" t="s">
        <v>72</v>
      </c>
      <c r="E279" s="277">
        <f t="shared" si="11"/>
        <v>25</v>
      </c>
      <c r="F279" s="293" t="s">
        <v>39</v>
      </c>
      <c r="G279" s="294">
        <v>600000</v>
      </c>
      <c r="H279" s="325">
        <v>0.5</v>
      </c>
      <c r="I279" s="295">
        <f t="shared" si="12"/>
        <v>24000</v>
      </c>
      <c r="J279" s="260" t="s">
        <v>89</v>
      </c>
    </row>
    <row r="280" spans="1:10" ht="25" hidden="1" customHeight="1">
      <c r="A280" s="296"/>
      <c r="B280" s="297" t="s">
        <v>402</v>
      </c>
      <c r="C280" s="340" t="s">
        <v>397</v>
      </c>
      <c r="D280" s="299" t="s">
        <v>323</v>
      </c>
      <c r="E280" s="277">
        <f t="shared" si="11"/>
        <v>25</v>
      </c>
      <c r="F280" s="300" t="s">
        <v>39</v>
      </c>
      <c r="G280" s="301">
        <v>750000</v>
      </c>
      <c r="H280" s="325">
        <v>0.5</v>
      </c>
      <c r="I280" s="302">
        <f t="shared" si="12"/>
        <v>30000</v>
      </c>
      <c r="J280" s="260" t="s">
        <v>89</v>
      </c>
    </row>
    <row r="281" spans="1:10" ht="25" hidden="1" customHeight="1">
      <c r="A281" s="296"/>
      <c r="B281" s="297" t="s">
        <v>403</v>
      </c>
      <c r="C281" s="340" t="s">
        <v>397</v>
      </c>
      <c r="D281" s="299" t="s">
        <v>404</v>
      </c>
      <c r="E281" s="277">
        <f t="shared" si="11"/>
        <v>25</v>
      </c>
      <c r="F281" s="300" t="s">
        <v>39</v>
      </c>
      <c r="G281" s="301">
        <v>4000000</v>
      </c>
      <c r="H281" s="325">
        <v>0.5</v>
      </c>
      <c r="I281" s="302">
        <f t="shared" si="12"/>
        <v>160000</v>
      </c>
      <c r="J281" s="260" t="s">
        <v>89</v>
      </c>
    </row>
    <row r="282" spans="1:10" s="323" customFormat="1" ht="25" hidden="1" customHeight="1">
      <c r="A282" s="274">
        <v>4</v>
      </c>
      <c r="B282" s="319"/>
      <c r="C282" s="320" t="s">
        <v>405</v>
      </c>
      <c r="D282" s="321"/>
      <c r="E282" s="277"/>
      <c r="F282" s="277"/>
      <c r="G282" s="322"/>
      <c r="H282" s="280"/>
      <c r="I282" s="279"/>
      <c r="J282" s="260" t="s">
        <v>89</v>
      </c>
    </row>
    <row r="283" spans="1:10" s="370" customFormat="1" ht="25" hidden="1" customHeight="1">
      <c r="A283" s="362"/>
      <c r="B283" s="363" t="s">
        <v>406</v>
      </c>
      <c r="C283" s="364" t="s">
        <v>407</v>
      </c>
      <c r="D283" s="365" t="s">
        <v>63</v>
      </c>
      <c r="E283" s="366"/>
      <c r="F283" s="366" t="s">
        <v>31</v>
      </c>
      <c r="G283" s="367">
        <v>100000</v>
      </c>
      <c r="H283" s="368">
        <v>1</v>
      </c>
      <c r="I283" s="369">
        <f>+G283</f>
        <v>100000</v>
      </c>
      <c r="J283" s="370" t="s">
        <v>89</v>
      </c>
    </row>
    <row r="284" spans="1:10" s="370" customFormat="1" ht="25" hidden="1" customHeight="1">
      <c r="A284" s="371"/>
      <c r="B284" s="372" t="s">
        <v>408</v>
      </c>
      <c r="C284" s="373" t="s">
        <v>407</v>
      </c>
      <c r="D284" s="374" t="s">
        <v>66</v>
      </c>
      <c r="E284" s="375">
        <f>360/43</f>
        <v>8.3720930232558146</v>
      </c>
      <c r="F284" s="375" t="s">
        <v>39</v>
      </c>
      <c r="G284" s="376">
        <v>220000</v>
      </c>
      <c r="H284" s="368">
        <v>1</v>
      </c>
      <c r="I284" s="377">
        <f>+G284/E284</f>
        <v>26277.777777777777</v>
      </c>
      <c r="J284" s="370" t="s">
        <v>89</v>
      </c>
    </row>
    <row r="285" spans="1:10" s="370" customFormat="1" ht="25" hidden="1" customHeight="1">
      <c r="A285" s="371"/>
      <c r="B285" s="372" t="s">
        <v>409</v>
      </c>
      <c r="C285" s="373" t="s">
        <v>407</v>
      </c>
      <c r="D285" s="374" t="s">
        <v>68</v>
      </c>
      <c r="E285" s="375">
        <f>360/36</f>
        <v>10</v>
      </c>
      <c r="F285" s="375" t="s">
        <v>39</v>
      </c>
      <c r="G285" s="376">
        <v>370000</v>
      </c>
      <c r="H285" s="368">
        <v>1</v>
      </c>
      <c r="I285" s="377">
        <f>+G285/E285</f>
        <v>37000</v>
      </c>
      <c r="J285" s="370" t="s">
        <v>89</v>
      </c>
    </row>
    <row r="286" spans="1:10" s="370" customFormat="1" ht="25" hidden="1" customHeight="1">
      <c r="A286" s="371"/>
      <c r="B286" s="372" t="s">
        <v>410</v>
      </c>
      <c r="C286" s="373" t="s">
        <v>407</v>
      </c>
      <c r="D286" s="374" t="s">
        <v>70</v>
      </c>
      <c r="E286" s="375">
        <f>360/29</f>
        <v>12.413793103448276</v>
      </c>
      <c r="F286" s="375" t="s">
        <v>39</v>
      </c>
      <c r="G286" s="376">
        <v>520000</v>
      </c>
      <c r="H286" s="368">
        <v>1</v>
      </c>
      <c r="I286" s="377">
        <f>+G286/E286</f>
        <v>41888.888888888891</v>
      </c>
      <c r="J286" s="370" t="s">
        <v>89</v>
      </c>
    </row>
    <row r="287" spans="1:10" s="370" customFormat="1" ht="25" hidden="1" customHeight="1">
      <c r="A287" s="371"/>
      <c r="B287" s="372" t="s">
        <v>411</v>
      </c>
      <c r="C287" s="373" t="s">
        <v>407</v>
      </c>
      <c r="D287" s="374" t="s">
        <v>72</v>
      </c>
      <c r="E287" s="375">
        <f>360/29</f>
        <v>12.413793103448276</v>
      </c>
      <c r="F287" s="375" t="s">
        <v>39</v>
      </c>
      <c r="G287" s="376">
        <v>600000</v>
      </c>
      <c r="H287" s="368">
        <v>1</v>
      </c>
      <c r="I287" s="377">
        <f>+G287/E287</f>
        <v>48333.333333333336</v>
      </c>
      <c r="J287" s="370" t="s">
        <v>89</v>
      </c>
    </row>
    <row r="288" spans="1:10" s="370" customFormat="1" ht="25" hidden="1" customHeight="1">
      <c r="A288" s="378"/>
      <c r="B288" s="379" t="s">
        <v>412</v>
      </c>
      <c r="C288" s="373" t="s">
        <v>407</v>
      </c>
      <c r="D288" s="381" t="s">
        <v>323</v>
      </c>
      <c r="E288" s="382">
        <f>360/25</f>
        <v>14.4</v>
      </c>
      <c r="F288" s="382" t="s">
        <v>39</v>
      </c>
      <c r="G288" s="383">
        <v>750000</v>
      </c>
      <c r="H288" s="368">
        <v>1</v>
      </c>
      <c r="I288" s="384">
        <f>+G288/E288</f>
        <v>52083.333333333328</v>
      </c>
      <c r="J288" s="370" t="s">
        <v>89</v>
      </c>
    </row>
    <row r="289" spans="1:10" s="370" customFormat="1" ht="25" hidden="1" customHeight="1">
      <c r="A289" s="362"/>
      <c r="B289" s="363" t="s">
        <v>413</v>
      </c>
      <c r="C289" s="373" t="s">
        <v>414</v>
      </c>
      <c r="D289" s="365" t="s">
        <v>63</v>
      </c>
      <c r="E289" s="366"/>
      <c r="F289" s="366" t="s">
        <v>31</v>
      </c>
      <c r="G289" s="367">
        <v>100000</v>
      </c>
      <c r="H289" s="368">
        <v>0</v>
      </c>
      <c r="I289" s="369">
        <f>+G289</f>
        <v>100000</v>
      </c>
      <c r="J289" s="370" t="s">
        <v>89</v>
      </c>
    </row>
    <row r="290" spans="1:10" s="370" customFormat="1" ht="25" hidden="1" customHeight="1">
      <c r="A290" s="371"/>
      <c r="B290" s="372" t="s">
        <v>415</v>
      </c>
      <c r="C290" s="373" t="s">
        <v>414</v>
      </c>
      <c r="D290" s="374" t="s">
        <v>66</v>
      </c>
      <c r="E290" s="375">
        <f>360/43</f>
        <v>8.3720930232558146</v>
      </c>
      <c r="F290" s="375" t="s">
        <v>39</v>
      </c>
      <c r="G290" s="376">
        <v>220000</v>
      </c>
      <c r="H290" s="386">
        <v>0.5</v>
      </c>
      <c r="I290" s="377">
        <f>+G290/E290</f>
        <v>26277.777777777777</v>
      </c>
      <c r="J290" s="370" t="s">
        <v>89</v>
      </c>
    </row>
    <row r="291" spans="1:10" s="370" customFormat="1" ht="25" hidden="1" customHeight="1">
      <c r="A291" s="371"/>
      <c r="B291" s="372" t="s">
        <v>416</v>
      </c>
      <c r="C291" s="373" t="s">
        <v>414</v>
      </c>
      <c r="D291" s="374" t="s">
        <v>68</v>
      </c>
      <c r="E291" s="375">
        <f>360/36</f>
        <v>10</v>
      </c>
      <c r="F291" s="375" t="s">
        <v>39</v>
      </c>
      <c r="G291" s="376">
        <v>370000</v>
      </c>
      <c r="H291" s="386">
        <v>0.5</v>
      </c>
      <c r="I291" s="377">
        <f>+G291/E291</f>
        <v>37000</v>
      </c>
      <c r="J291" s="370" t="s">
        <v>89</v>
      </c>
    </row>
    <row r="292" spans="1:10" s="370" customFormat="1" ht="25" hidden="1" customHeight="1">
      <c r="A292" s="371"/>
      <c r="B292" s="372" t="s">
        <v>417</v>
      </c>
      <c r="C292" s="373" t="s">
        <v>414</v>
      </c>
      <c r="D292" s="374" t="s">
        <v>70</v>
      </c>
      <c r="E292" s="375">
        <f>360/29</f>
        <v>12.413793103448276</v>
      </c>
      <c r="F292" s="375" t="s">
        <v>39</v>
      </c>
      <c r="G292" s="376">
        <v>520000</v>
      </c>
      <c r="H292" s="386">
        <v>0.5</v>
      </c>
      <c r="I292" s="377"/>
      <c r="J292" s="370" t="s">
        <v>89</v>
      </c>
    </row>
    <row r="293" spans="1:10" s="370" customFormat="1" ht="25" hidden="1" customHeight="1">
      <c r="A293" s="371"/>
      <c r="B293" s="372" t="s">
        <v>418</v>
      </c>
      <c r="C293" s="373" t="s">
        <v>414</v>
      </c>
      <c r="D293" s="374" t="s">
        <v>72</v>
      </c>
      <c r="E293" s="375">
        <f>360/29</f>
        <v>12.413793103448276</v>
      </c>
      <c r="F293" s="375" t="s">
        <v>39</v>
      </c>
      <c r="G293" s="376">
        <v>600000</v>
      </c>
      <c r="H293" s="386">
        <v>0.5</v>
      </c>
      <c r="I293" s="377">
        <f>+G293/E293</f>
        <v>48333.333333333336</v>
      </c>
      <c r="J293" s="370" t="s">
        <v>89</v>
      </c>
    </row>
    <row r="294" spans="1:10" s="370" customFormat="1" ht="25" hidden="1" customHeight="1">
      <c r="A294" s="378"/>
      <c r="B294" s="379" t="s">
        <v>419</v>
      </c>
      <c r="C294" s="373" t="s">
        <v>414</v>
      </c>
      <c r="D294" s="381" t="s">
        <v>323</v>
      </c>
      <c r="E294" s="382">
        <f>360/25</f>
        <v>14.4</v>
      </c>
      <c r="F294" s="382" t="s">
        <v>39</v>
      </c>
      <c r="G294" s="383">
        <v>750000</v>
      </c>
      <c r="H294" s="386">
        <v>0.5</v>
      </c>
      <c r="I294" s="384">
        <f>+G294/E294</f>
        <v>52083.333333333328</v>
      </c>
      <c r="J294" s="370" t="s">
        <v>89</v>
      </c>
    </row>
    <row r="295" spans="1:10" s="323" customFormat="1" ht="25" hidden="1" customHeight="1">
      <c r="A295" s="274"/>
      <c r="B295" s="319"/>
      <c r="C295" s="320" t="s">
        <v>420</v>
      </c>
      <c r="D295" s="321"/>
      <c r="E295" s="277">
        <f>10000/1000</f>
        <v>10</v>
      </c>
      <c r="F295" s="277"/>
      <c r="G295" s="322"/>
      <c r="H295" s="280"/>
      <c r="I295" s="279"/>
      <c r="J295" s="260" t="s">
        <v>89</v>
      </c>
    </row>
    <row r="296" spans="1:10" ht="25" hidden="1" customHeight="1">
      <c r="A296" s="281"/>
      <c r="B296" s="282" t="s">
        <v>421</v>
      </c>
      <c r="C296" s="338" t="s">
        <v>420</v>
      </c>
      <c r="D296" s="284" t="s">
        <v>63</v>
      </c>
      <c r="E296" s="277"/>
      <c r="F296" s="285" t="s">
        <v>31</v>
      </c>
      <c r="G296" s="286">
        <v>60000</v>
      </c>
      <c r="H296" s="287">
        <v>1</v>
      </c>
      <c r="I296" s="288">
        <f>+G296</f>
        <v>60000</v>
      </c>
      <c r="J296" s="260" t="s">
        <v>89</v>
      </c>
    </row>
    <row r="297" spans="1:10" ht="25" hidden="1" customHeight="1">
      <c r="A297" s="289"/>
      <c r="B297" s="290" t="s">
        <v>422</v>
      </c>
      <c r="C297" s="339" t="s">
        <v>420</v>
      </c>
      <c r="D297" s="292" t="s">
        <v>423</v>
      </c>
      <c r="E297" s="277">
        <f t="shared" ref="E297:E313" si="13">10000/1000</f>
        <v>10</v>
      </c>
      <c r="F297" s="293" t="s">
        <v>39</v>
      </c>
      <c r="G297" s="294">
        <v>95000</v>
      </c>
      <c r="H297" s="287">
        <v>1</v>
      </c>
      <c r="I297" s="295">
        <f t="shared" ref="I297:I304" si="14">+G297/E297</f>
        <v>9500</v>
      </c>
      <c r="J297" s="260" t="s">
        <v>89</v>
      </c>
    </row>
    <row r="298" spans="1:10" ht="25" hidden="1" customHeight="1">
      <c r="A298" s="289"/>
      <c r="B298" s="290" t="s">
        <v>424</v>
      </c>
      <c r="C298" s="339" t="s">
        <v>420</v>
      </c>
      <c r="D298" s="292" t="s">
        <v>425</v>
      </c>
      <c r="E298" s="277">
        <f t="shared" si="13"/>
        <v>10</v>
      </c>
      <c r="F298" s="293" t="s">
        <v>39</v>
      </c>
      <c r="G298" s="294">
        <v>140000</v>
      </c>
      <c r="H298" s="287">
        <v>1</v>
      </c>
      <c r="I298" s="295">
        <f t="shared" si="14"/>
        <v>14000</v>
      </c>
      <c r="J298" s="260" t="s">
        <v>89</v>
      </c>
    </row>
    <row r="299" spans="1:10" ht="25" hidden="1" customHeight="1">
      <c r="A299" s="289"/>
      <c r="B299" s="290" t="s">
        <v>426</v>
      </c>
      <c r="C299" s="339" t="s">
        <v>420</v>
      </c>
      <c r="D299" s="292" t="s">
        <v>427</v>
      </c>
      <c r="E299" s="277">
        <f t="shared" si="13"/>
        <v>10</v>
      </c>
      <c r="F299" s="293" t="s">
        <v>39</v>
      </c>
      <c r="G299" s="294">
        <v>190000</v>
      </c>
      <c r="H299" s="287">
        <v>1</v>
      </c>
      <c r="I299" s="295">
        <f t="shared" si="14"/>
        <v>19000</v>
      </c>
      <c r="J299" s="260" t="s">
        <v>89</v>
      </c>
    </row>
    <row r="300" spans="1:10" ht="25" hidden="1" customHeight="1">
      <c r="A300" s="289"/>
      <c r="B300" s="290" t="s">
        <v>428</v>
      </c>
      <c r="C300" s="339" t="s">
        <v>420</v>
      </c>
      <c r="D300" s="292" t="s">
        <v>429</v>
      </c>
      <c r="E300" s="277">
        <f t="shared" si="13"/>
        <v>10</v>
      </c>
      <c r="F300" s="293" t="s">
        <v>39</v>
      </c>
      <c r="G300" s="294">
        <v>240000</v>
      </c>
      <c r="H300" s="287">
        <v>1</v>
      </c>
      <c r="I300" s="295">
        <f t="shared" si="14"/>
        <v>24000</v>
      </c>
      <c r="J300" s="260" t="s">
        <v>89</v>
      </c>
    </row>
    <row r="301" spans="1:10" ht="25" hidden="1" customHeight="1">
      <c r="A301" s="289"/>
      <c r="B301" s="290" t="s">
        <v>430</v>
      </c>
      <c r="C301" s="339" t="s">
        <v>420</v>
      </c>
      <c r="D301" s="292" t="s">
        <v>431</v>
      </c>
      <c r="E301" s="277">
        <f t="shared" si="13"/>
        <v>10</v>
      </c>
      <c r="F301" s="293" t="s">
        <v>39</v>
      </c>
      <c r="G301" s="294">
        <v>320000</v>
      </c>
      <c r="H301" s="287">
        <v>1</v>
      </c>
      <c r="I301" s="295">
        <f t="shared" si="14"/>
        <v>32000</v>
      </c>
      <c r="J301" s="260" t="s">
        <v>89</v>
      </c>
    </row>
    <row r="302" spans="1:10" ht="25" hidden="1" customHeight="1">
      <c r="A302" s="289"/>
      <c r="B302" s="290" t="s">
        <v>432</v>
      </c>
      <c r="C302" s="339" t="s">
        <v>420</v>
      </c>
      <c r="D302" s="292" t="s">
        <v>433</v>
      </c>
      <c r="E302" s="277">
        <f t="shared" si="13"/>
        <v>10</v>
      </c>
      <c r="F302" s="293" t="s">
        <v>39</v>
      </c>
      <c r="G302" s="294">
        <v>330000</v>
      </c>
      <c r="H302" s="287">
        <v>1</v>
      </c>
      <c r="I302" s="295">
        <f t="shared" si="14"/>
        <v>33000</v>
      </c>
      <c r="J302" s="260" t="s">
        <v>89</v>
      </c>
    </row>
    <row r="303" spans="1:10" ht="25" hidden="1" customHeight="1">
      <c r="A303" s="289"/>
      <c r="B303" s="290" t="s">
        <v>434</v>
      </c>
      <c r="C303" s="339" t="s">
        <v>420</v>
      </c>
      <c r="D303" s="292" t="s">
        <v>435</v>
      </c>
      <c r="E303" s="277">
        <f t="shared" si="13"/>
        <v>10</v>
      </c>
      <c r="F303" s="293" t="s">
        <v>39</v>
      </c>
      <c r="G303" s="294">
        <v>400000</v>
      </c>
      <c r="H303" s="287">
        <v>1</v>
      </c>
      <c r="I303" s="295">
        <f t="shared" si="14"/>
        <v>40000</v>
      </c>
      <c r="J303" s="260" t="s">
        <v>89</v>
      </c>
    </row>
    <row r="304" spans="1:10" ht="25" hidden="1" customHeight="1">
      <c r="A304" s="296"/>
      <c r="B304" s="297" t="s">
        <v>436</v>
      </c>
      <c r="C304" s="340" t="s">
        <v>420</v>
      </c>
      <c r="D304" s="299" t="s">
        <v>437</v>
      </c>
      <c r="E304" s="277">
        <f t="shared" si="13"/>
        <v>10</v>
      </c>
      <c r="F304" s="300" t="s">
        <v>39</v>
      </c>
      <c r="G304" s="301">
        <v>430000</v>
      </c>
      <c r="H304" s="287">
        <v>1</v>
      </c>
      <c r="I304" s="302">
        <f t="shared" si="14"/>
        <v>43000</v>
      </c>
      <c r="J304" s="260" t="s">
        <v>89</v>
      </c>
    </row>
    <row r="305" spans="1:10" ht="25" hidden="1" customHeight="1">
      <c r="A305" s="281"/>
      <c r="B305" s="282" t="s">
        <v>438</v>
      </c>
      <c r="C305" s="338" t="s">
        <v>439</v>
      </c>
      <c r="D305" s="284" t="s">
        <v>63</v>
      </c>
      <c r="E305" s="277">
        <f t="shared" si="13"/>
        <v>10</v>
      </c>
      <c r="F305" s="285" t="s">
        <v>31</v>
      </c>
      <c r="G305" s="286">
        <v>60000</v>
      </c>
      <c r="H305" s="287">
        <v>0.5</v>
      </c>
      <c r="I305" s="288">
        <f>+G305</f>
        <v>60000</v>
      </c>
      <c r="J305" s="260" t="s">
        <v>89</v>
      </c>
    </row>
    <row r="306" spans="1:10" ht="25" hidden="1" customHeight="1">
      <c r="A306" s="289"/>
      <c r="B306" s="290" t="s">
        <v>440</v>
      </c>
      <c r="C306" s="339" t="s">
        <v>439</v>
      </c>
      <c r="D306" s="292" t="s">
        <v>423</v>
      </c>
      <c r="E306" s="277">
        <f t="shared" si="13"/>
        <v>10</v>
      </c>
      <c r="F306" s="293" t="s">
        <v>39</v>
      </c>
      <c r="G306" s="294">
        <v>95000</v>
      </c>
      <c r="H306" s="287">
        <v>0.5</v>
      </c>
      <c r="I306" s="295">
        <f t="shared" ref="I306:I313" si="15">+G306/E306</f>
        <v>9500</v>
      </c>
      <c r="J306" s="260" t="s">
        <v>89</v>
      </c>
    </row>
    <row r="307" spans="1:10" ht="25" hidden="1" customHeight="1">
      <c r="A307" s="289"/>
      <c r="B307" s="290" t="s">
        <v>441</v>
      </c>
      <c r="C307" s="339" t="s">
        <v>439</v>
      </c>
      <c r="D307" s="292" t="s">
        <v>425</v>
      </c>
      <c r="E307" s="277">
        <f t="shared" si="13"/>
        <v>10</v>
      </c>
      <c r="F307" s="293" t="s">
        <v>39</v>
      </c>
      <c r="G307" s="294">
        <v>140000</v>
      </c>
      <c r="H307" s="287">
        <v>0.5</v>
      </c>
      <c r="I307" s="295">
        <f t="shared" si="15"/>
        <v>14000</v>
      </c>
      <c r="J307" s="260" t="s">
        <v>89</v>
      </c>
    </row>
    <row r="308" spans="1:10" ht="25" hidden="1" customHeight="1">
      <c r="A308" s="289"/>
      <c r="B308" s="290" t="s">
        <v>442</v>
      </c>
      <c r="C308" s="339" t="s">
        <v>439</v>
      </c>
      <c r="D308" s="292" t="s">
        <v>427</v>
      </c>
      <c r="E308" s="277">
        <f t="shared" si="13"/>
        <v>10</v>
      </c>
      <c r="F308" s="293" t="s">
        <v>39</v>
      </c>
      <c r="G308" s="294">
        <v>190000</v>
      </c>
      <c r="H308" s="287">
        <v>0.5</v>
      </c>
      <c r="I308" s="295">
        <f t="shared" si="15"/>
        <v>19000</v>
      </c>
      <c r="J308" s="260" t="s">
        <v>89</v>
      </c>
    </row>
    <row r="309" spans="1:10" ht="25" hidden="1" customHeight="1">
      <c r="A309" s="289"/>
      <c r="B309" s="290" t="s">
        <v>443</v>
      </c>
      <c r="C309" s="339" t="s">
        <v>439</v>
      </c>
      <c r="D309" s="292" t="s">
        <v>429</v>
      </c>
      <c r="E309" s="277">
        <f t="shared" si="13"/>
        <v>10</v>
      </c>
      <c r="F309" s="293" t="s">
        <v>39</v>
      </c>
      <c r="G309" s="294">
        <v>240000</v>
      </c>
      <c r="H309" s="287">
        <v>0.5</v>
      </c>
      <c r="I309" s="295">
        <f t="shared" si="15"/>
        <v>24000</v>
      </c>
      <c r="J309" s="260" t="s">
        <v>89</v>
      </c>
    </row>
    <row r="310" spans="1:10" ht="25" hidden="1" customHeight="1">
      <c r="A310" s="289"/>
      <c r="B310" s="290" t="s">
        <v>444</v>
      </c>
      <c r="C310" s="339" t="s">
        <v>439</v>
      </c>
      <c r="D310" s="292" t="s">
        <v>431</v>
      </c>
      <c r="E310" s="277">
        <f t="shared" si="13"/>
        <v>10</v>
      </c>
      <c r="F310" s="293" t="s">
        <v>39</v>
      </c>
      <c r="G310" s="294">
        <v>320000</v>
      </c>
      <c r="H310" s="287">
        <v>0.5</v>
      </c>
      <c r="I310" s="295">
        <f t="shared" si="15"/>
        <v>32000</v>
      </c>
      <c r="J310" s="260" t="s">
        <v>89</v>
      </c>
    </row>
    <row r="311" spans="1:10" ht="25" hidden="1" customHeight="1">
      <c r="A311" s="289"/>
      <c r="B311" s="290" t="s">
        <v>445</v>
      </c>
      <c r="C311" s="339" t="s">
        <v>439</v>
      </c>
      <c r="D311" s="292" t="s">
        <v>433</v>
      </c>
      <c r="E311" s="277">
        <f t="shared" si="13"/>
        <v>10</v>
      </c>
      <c r="F311" s="293" t="s">
        <v>39</v>
      </c>
      <c r="G311" s="294">
        <v>330000</v>
      </c>
      <c r="H311" s="287">
        <v>0.5</v>
      </c>
      <c r="I311" s="295">
        <f t="shared" si="15"/>
        <v>33000</v>
      </c>
      <c r="J311" s="260" t="s">
        <v>89</v>
      </c>
    </row>
    <row r="312" spans="1:10" ht="25" hidden="1" customHeight="1">
      <c r="A312" s="289"/>
      <c r="B312" s="290" t="s">
        <v>446</v>
      </c>
      <c r="C312" s="339" t="s">
        <v>439</v>
      </c>
      <c r="D312" s="292" t="s">
        <v>435</v>
      </c>
      <c r="E312" s="277">
        <f t="shared" si="13"/>
        <v>10</v>
      </c>
      <c r="F312" s="293" t="s">
        <v>39</v>
      </c>
      <c r="G312" s="294">
        <v>400000</v>
      </c>
      <c r="H312" s="287">
        <v>0.5</v>
      </c>
      <c r="I312" s="295">
        <f t="shared" si="15"/>
        <v>40000</v>
      </c>
      <c r="J312" s="260" t="s">
        <v>89</v>
      </c>
    </row>
    <row r="313" spans="1:10" ht="25" hidden="1" customHeight="1">
      <c r="A313" s="296"/>
      <c r="B313" s="297" t="s">
        <v>447</v>
      </c>
      <c r="C313" s="340" t="s">
        <v>439</v>
      </c>
      <c r="D313" s="299" t="s">
        <v>437</v>
      </c>
      <c r="E313" s="277">
        <f t="shared" si="13"/>
        <v>10</v>
      </c>
      <c r="F313" s="300" t="s">
        <v>39</v>
      </c>
      <c r="G313" s="301">
        <v>430000</v>
      </c>
      <c r="H313" s="287">
        <v>0.5</v>
      </c>
      <c r="I313" s="302">
        <f t="shared" si="15"/>
        <v>43000</v>
      </c>
      <c r="J313" s="260" t="s">
        <v>89</v>
      </c>
    </row>
    <row r="314" spans="1:10" s="323" customFormat="1" ht="25" hidden="1" customHeight="1">
      <c r="A314" s="274"/>
      <c r="B314" s="319"/>
      <c r="C314" s="320" t="s">
        <v>448</v>
      </c>
      <c r="D314" s="321"/>
      <c r="E314" s="277"/>
      <c r="F314" s="277"/>
      <c r="G314" s="322"/>
      <c r="H314" s="280"/>
      <c r="I314" s="279"/>
      <c r="J314" s="260" t="s">
        <v>89</v>
      </c>
    </row>
    <row r="315" spans="1:10" ht="25" hidden="1" customHeight="1">
      <c r="A315" s="281"/>
      <c r="B315" s="282" t="s">
        <v>449</v>
      </c>
      <c r="C315" s="338" t="s">
        <v>450</v>
      </c>
      <c r="D315" s="284" t="s">
        <v>63</v>
      </c>
      <c r="E315" s="285"/>
      <c r="F315" s="285" t="s">
        <v>31</v>
      </c>
      <c r="G315" s="286">
        <v>45000</v>
      </c>
      <c r="H315" s="287">
        <v>1</v>
      </c>
      <c r="I315" s="288">
        <f>+G315</f>
        <v>45000</v>
      </c>
      <c r="J315" s="260" t="s">
        <v>89</v>
      </c>
    </row>
    <row r="316" spans="1:10" ht="25" hidden="1" customHeight="1">
      <c r="A316" s="289"/>
      <c r="B316" s="290" t="s">
        <v>451</v>
      </c>
      <c r="C316" s="339" t="s">
        <v>450</v>
      </c>
      <c r="D316" s="292" t="s">
        <v>66</v>
      </c>
      <c r="E316" s="293">
        <v>1</v>
      </c>
      <c r="F316" s="293" t="s">
        <v>39</v>
      </c>
      <c r="G316" s="294">
        <v>55000</v>
      </c>
      <c r="H316" s="287">
        <v>1</v>
      </c>
      <c r="I316" s="295">
        <f t="shared" ref="I316:I332" si="16">+G316/E316</f>
        <v>55000</v>
      </c>
      <c r="J316" s="260" t="s">
        <v>89</v>
      </c>
    </row>
    <row r="317" spans="1:10" ht="25" hidden="1" customHeight="1">
      <c r="A317" s="289"/>
      <c r="B317" s="290" t="s">
        <v>452</v>
      </c>
      <c r="C317" s="339" t="s">
        <v>450</v>
      </c>
      <c r="D317" s="292" t="s">
        <v>68</v>
      </c>
      <c r="E317" s="293">
        <v>2</v>
      </c>
      <c r="F317" s="293" t="s">
        <v>39</v>
      </c>
      <c r="G317" s="294">
        <v>120000</v>
      </c>
      <c r="H317" s="287">
        <v>1</v>
      </c>
      <c r="I317" s="295">
        <f t="shared" si="16"/>
        <v>60000</v>
      </c>
      <c r="J317" s="260" t="s">
        <v>89</v>
      </c>
    </row>
    <row r="318" spans="1:10" ht="25" hidden="1" customHeight="1">
      <c r="A318" s="289"/>
      <c r="B318" s="290" t="s">
        <v>453</v>
      </c>
      <c r="C318" s="339" t="s">
        <v>450</v>
      </c>
      <c r="D318" s="292" t="s">
        <v>454</v>
      </c>
      <c r="E318" s="293">
        <v>2</v>
      </c>
      <c r="F318" s="293" t="s">
        <v>39</v>
      </c>
      <c r="G318" s="294">
        <v>145000</v>
      </c>
      <c r="H318" s="287">
        <v>1</v>
      </c>
      <c r="I318" s="295">
        <f t="shared" si="16"/>
        <v>72500</v>
      </c>
      <c r="J318" s="260" t="s">
        <v>89</v>
      </c>
    </row>
    <row r="319" spans="1:10" ht="25" hidden="1" customHeight="1">
      <c r="A319" s="289"/>
      <c r="B319" s="290" t="s">
        <v>455</v>
      </c>
      <c r="C319" s="339" t="s">
        <v>450</v>
      </c>
      <c r="D319" s="292" t="s">
        <v>456</v>
      </c>
      <c r="E319" s="293">
        <v>2.5</v>
      </c>
      <c r="F319" s="293" t="s">
        <v>39</v>
      </c>
      <c r="G319" s="294">
        <v>190000</v>
      </c>
      <c r="H319" s="287">
        <v>1</v>
      </c>
      <c r="I319" s="295">
        <f t="shared" si="16"/>
        <v>76000</v>
      </c>
      <c r="J319" s="260" t="s">
        <v>89</v>
      </c>
    </row>
    <row r="320" spans="1:10" ht="25" hidden="1" customHeight="1">
      <c r="A320" s="289"/>
      <c r="B320" s="290" t="s">
        <v>457</v>
      </c>
      <c r="C320" s="339" t="s">
        <v>450</v>
      </c>
      <c r="D320" s="292" t="s">
        <v>458</v>
      </c>
      <c r="E320" s="293">
        <v>3</v>
      </c>
      <c r="F320" s="293" t="s">
        <v>39</v>
      </c>
      <c r="G320" s="294">
        <v>250000</v>
      </c>
      <c r="H320" s="287">
        <v>1</v>
      </c>
      <c r="I320" s="295">
        <f t="shared" si="16"/>
        <v>83333.333333333328</v>
      </c>
      <c r="J320" s="260" t="s">
        <v>89</v>
      </c>
    </row>
    <row r="321" spans="1:10" ht="25" hidden="1" customHeight="1">
      <c r="A321" s="289"/>
      <c r="B321" s="290" t="s">
        <v>459</v>
      </c>
      <c r="C321" s="339" t="s">
        <v>450</v>
      </c>
      <c r="D321" s="292" t="s">
        <v>460</v>
      </c>
      <c r="E321" s="293">
        <v>3.5</v>
      </c>
      <c r="F321" s="293" t="s">
        <v>39</v>
      </c>
      <c r="G321" s="294">
        <v>320000</v>
      </c>
      <c r="H321" s="287">
        <v>1</v>
      </c>
      <c r="I321" s="295">
        <f t="shared" si="16"/>
        <v>91428.571428571435</v>
      </c>
      <c r="J321" s="260" t="s">
        <v>89</v>
      </c>
    </row>
    <row r="322" spans="1:10" ht="25" hidden="1" customHeight="1">
      <c r="A322" s="289"/>
      <c r="B322" s="290" t="s">
        <v>461</v>
      </c>
      <c r="C322" s="339" t="s">
        <v>450</v>
      </c>
      <c r="D322" s="292" t="s">
        <v>462</v>
      </c>
      <c r="E322" s="293">
        <v>4</v>
      </c>
      <c r="F322" s="293" t="s">
        <v>39</v>
      </c>
      <c r="G322" s="294">
        <v>380000</v>
      </c>
      <c r="H322" s="287">
        <v>1</v>
      </c>
      <c r="I322" s="295">
        <f t="shared" si="16"/>
        <v>95000</v>
      </c>
      <c r="J322" s="260" t="s">
        <v>89</v>
      </c>
    </row>
    <row r="323" spans="1:10" ht="25" hidden="1" customHeight="1">
      <c r="A323" s="296"/>
      <c r="B323" s="297" t="s">
        <v>463</v>
      </c>
      <c r="C323" s="340" t="s">
        <v>450</v>
      </c>
      <c r="D323" s="299" t="s">
        <v>464</v>
      </c>
      <c r="E323" s="300">
        <v>4</v>
      </c>
      <c r="F323" s="300" t="s">
        <v>39</v>
      </c>
      <c r="G323" s="301">
        <v>400000</v>
      </c>
      <c r="H323" s="287">
        <v>1</v>
      </c>
      <c r="I323" s="302">
        <f t="shared" si="16"/>
        <v>100000</v>
      </c>
      <c r="J323" s="260" t="s">
        <v>89</v>
      </c>
    </row>
    <row r="324" spans="1:10" ht="25" hidden="1" customHeight="1">
      <c r="A324" s="281"/>
      <c r="B324" s="282" t="s">
        <v>465</v>
      </c>
      <c r="C324" s="338" t="s">
        <v>466</v>
      </c>
      <c r="D324" s="284" t="s">
        <v>66</v>
      </c>
      <c r="E324" s="293">
        <v>1</v>
      </c>
      <c r="F324" s="293" t="s">
        <v>39</v>
      </c>
      <c r="G324" s="294">
        <v>55000</v>
      </c>
      <c r="H324" s="287">
        <v>0.5</v>
      </c>
      <c r="I324" s="288">
        <f t="shared" si="16"/>
        <v>55000</v>
      </c>
      <c r="J324" s="260" t="s">
        <v>89</v>
      </c>
    </row>
    <row r="325" spans="1:10" ht="25" hidden="1" customHeight="1">
      <c r="A325" s="289"/>
      <c r="B325" s="290" t="s">
        <v>467</v>
      </c>
      <c r="C325" s="339" t="s">
        <v>466</v>
      </c>
      <c r="D325" s="292" t="s">
        <v>68</v>
      </c>
      <c r="E325" s="293">
        <v>2</v>
      </c>
      <c r="F325" s="293" t="s">
        <v>39</v>
      </c>
      <c r="G325" s="294">
        <v>120000</v>
      </c>
      <c r="H325" s="287">
        <v>0.5</v>
      </c>
      <c r="I325" s="295">
        <f t="shared" si="16"/>
        <v>60000</v>
      </c>
      <c r="J325" s="260" t="s">
        <v>89</v>
      </c>
    </row>
    <row r="326" spans="1:10" ht="25" hidden="1" customHeight="1">
      <c r="A326" s="289"/>
      <c r="B326" s="290" t="s">
        <v>468</v>
      </c>
      <c r="C326" s="339" t="s">
        <v>466</v>
      </c>
      <c r="D326" s="292" t="s">
        <v>454</v>
      </c>
      <c r="E326" s="293">
        <v>2</v>
      </c>
      <c r="F326" s="293" t="s">
        <v>39</v>
      </c>
      <c r="G326" s="294">
        <v>145000</v>
      </c>
      <c r="H326" s="287">
        <v>0.5</v>
      </c>
      <c r="I326" s="295">
        <f t="shared" si="16"/>
        <v>72500</v>
      </c>
      <c r="J326" s="260" t="s">
        <v>89</v>
      </c>
    </row>
    <row r="327" spans="1:10" ht="25" hidden="1" customHeight="1">
      <c r="A327" s="289"/>
      <c r="B327" s="290" t="s">
        <v>469</v>
      </c>
      <c r="C327" s="339" t="s">
        <v>466</v>
      </c>
      <c r="D327" s="292" t="s">
        <v>456</v>
      </c>
      <c r="E327" s="293">
        <v>2.5</v>
      </c>
      <c r="F327" s="293" t="s">
        <v>39</v>
      </c>
      <c r="G327" s="294">
        <v>190000</v>
      </c>
      <c r="H327" s="287">
        <v>0.5</v>
      </c>
      <c r="I327" s="295">
        <f t="shared" si="16"/>
        <v>76000</v>
      </c>
      <c r="J327" s="260" t="s">
        <v>89</v>
      </c>
    </row>
    <row r="328" spans="1:10" ht="25" hidden="1" customHeight="1">
      <c r="A328" s="289"/>
      <c r="B328" s="290" t="s">
        <v>470</v>
      </c>
      <c r="C328" s="339" t="s">
        <v>466</v>
      </c>
      <c r="D328" s="292" t="s">
        <v>458</v>
      </c>
      <c r="E328" s="293">
        <v>3</v>
      </c>
      <c r="F328" s="293" t="s">
        <v>39</v>
      </c>
      <c r="G328" s="294">
        <v>250000</v>
      </c>
      <c r="H328" s="287">
        <v>0.5</v>
      </c>
      <c r="I328" s="295">
        <f t="shared" si="16"/>
        <v>83333.333333333328</v>
      </c>
      <c r="J328" s="260" t="s">
        <v>89</v>
      </c>
    </row>
    <row r="329" spans="1:10" ht="25" hidden="1" customHeight="1">
      <c r="A329" s="289"/>
      <c r="B329" s="290" t="s">
        <v>471</v>
      </c>
      <c r="C329" s="339" t="s">
        <v>466</v>
      </c>
      <c r="D329" s="292" t="s">
        <v>460</v>
      </c>
      <c r="E329" s="293">
        <v>3.5</v>
      </c>
      <c r="F329" s="293" t="s">
        <v>39</v>
      </c>
      <c r="G329" s="294">
        <v>320000</v>
      </c>
      <c r="H329" s="287">
        <v>0.5</v>
      </c>
      <c r="I329" s="295">
        <f t="shared" si="16"/>
        <v>91428.571428571435</v>
      </c>
      <c r="J329" s="260" t="s">
        <v>89</v>
      </c>
    </row>
    <row r="330" spans="1:10" ht="25" hidden="1" customHeight="1">
      <c r="A330" s="289"/>
      <c r="B330" s="290" t="s">
        <v>472</v>
      </c>
      <c r="C330" s="339" t="s">
        <v>466</v>
      </c>
      <c r="D330" s="292" t="s">
        <v>462</v>
      </c>
      <c r="E330" s="293">
        <v>4</v>
      </c>
      <c r="F330" s="293" t="s">
        <v>39</v>
      </c>
      <c r="G330" s="294">
        <v>380000</v>
      </c>
      <c r="H330" s="287">
        <v>0.5</v>
      </c>
      <c r="I330" s="295">
        <f t="shared" si="16"/>
        <v>95000</v>
      </c>
      <c r="J330" s="260" t="s">
        <v>89</v>
      </c>
    </row>
    <row r="331" spans="1:10" ht="25" hidden="1" customHeight="1">
      <c r="A331" s="296"/>
      <c r="B331" s="297" t="s">
        <v>473</v>
      </c>
      <c r="C331" s="340" t="s">
        <v>466</v>
      </c>
      <c r="D331" s="299" t="s">
        <v>464</v>
      </c>
      <c r="E331" s="300">
        <v>4</v>
      </c>
      <c r="F331" s="300" t="s">
        <v>39</v>
      </c>
      <c r="G331" s="301">
        <v>400000</v>
      </c>
      <c r="H331" s="287">
        <v>0.5</v>
      </c>
      <c r="I331" s="302">
        <f t="shared" si="16"/>
        <v>100000</v>
      </c>
      <c r="J331" s="260" t="s">
        <v>89</v>
      </c>
    </row>
    <row r="332" spans="1:10" ht="25" hidden="1" customHeight="1">
      <c r="A332" s="289"/>
      <c r="B332" s="290" t="s">
        <v>474</v>
      </c>
      <c r="C332" s="339" t="s">
        <v>475</v>
      </c>
      <c r="D332" s="292" t="s">
        <v>68</v>
      </c>
      <c r="E332" s="293">
        <v>2</v>
      </c>
      <c r="F332" s="293" t="s">
        <v>39</v>
      </c>
      <c r="G332" s="294">
        <v>120000</v>
      </c>
      <c r="H332" s="325">
        <v>0.3</v>
      </c>
      <c r="I332" s="295">
        <f t="shared" si="16"/>
        <v>60000</v>
      </c>
      <c r="J332" s="260" t="s">
        <v>89</v>
      </c>
    </row>
    <row r="333" spans="1:10" s="323" customFormat="1" ht="25" hidden="1" customHeight="1">
      <c r="A333" s="274"/>
      <c r="B333" s="319"/>
      <c r="C333" s="320" t="s">
        <v>476</v>
      </c>
      <c r="D333" s="321"/>
      <c r="E333" s="277"/>
      <c r="F333" s="277"/>
      <c r="G333" s="322"/>
      <c r="H333" s="280"/>
      <c r="I333" s="279"/>
      <c r="J333" s="260" t="s">
        <v>89</v>
      </c>
    </row>
    <row r="334" spans="1:10" ht="25" hidden="1" customHeight="1">
      <c r="A334" s="281"/>
      <c r="B334" s="282" t="s">
        <v>477</v>
      </c>
      <c r="C334" s="338" t="s">
        <v>38</v>
      </c>
      <c r="D334" s="284" t="s">
        <v>478</v>
      </c>
      <c r="E334" s="285"/>
      <c r="F334" s="285" t="s">
        <v>39</v>
      </c>
      <c r="G334" s="286">
        <v>30000</v>
      </c>
      <c r="H334" s="287">
        <v>1</v>
      </c>
      <c r="I334" s="288">
        <f>+G334</f>
        <v>30000</v>
      </c>
      <c r="J334" s="260" t="s">
        <v>89</v>
      </c>
    </row>
    <row r="335" spans="1:10" ht="25" hidden="1" customHeight="1">
      <c r="A335" s="289"/>
      <c r="B335" s="290" t="s">
        <v>479</v>
      </c>
      <c r="C335" s="339" t="s">
        <v>38</v>
      </c>
      <c r="D335" s="292" t="s">
        <v>480</v>
      </c>
      <c r="E335" s="293"/>
      <c r="F335" s="293" t="s">
        <v>39</v>
      </c>
      <c r="G335" s="294">
        <v>60000</v>
      </c>
      <c r="H335" s="287">
        <v>1</v>
      </c>
      <c r="I335" s="295" t="e">
        <f>+G335/E335</f>
        <v>#DIV/0!</v>
      </c>
      <c r="J335" s="260" t="s">
        <v>89</v>
      </c>
    </row>
    <row r="336" spans="1:10" ht="25" hidden="1" customHeight="1">
      <c r="A336" s="289"/>
      <c r="B336" s="290" t="s">
        <v>481</v>
      </c>
      <c r="C336" s="339" t="s">
        <v>38</v>
      </c>
      <c r="D336" s="292" t="s">
        <v>482</v>
      </c>
      <c r="E336" s="293"/>
      <c r="F336" s="293" t="s">
        <v>39</v>
      </c>
      <c r="G336" s="294">
        <v>80000</v>
      </c>
      <c r="H336" s="287">
        <v>1</v>
      </c>
      <c r="I336" s="295" t="e">
        <f>+G336/E336</f>
        <v>#DIV/0!</v>
      </c>
      <c r="J336" s="260" t="s">
        <v>89</v>
      </c>
    </row>
    <row r="337" spans="1:10" s="273" customFormat="1" ht="25" hidden="1" customHeight="1">
      <c r="A337" s="267"/>
      <c r="B337" s="268"/>
      <c r="C337" s="269" t="s">
        <v>483</v>
      </c>
      <c r="D337" s="268"/>
      <c r="E337" s="270"/>
      <c r="F337" s="268"/>
      <c r="G337" s="271"/>
      <c r="H337" s="272"/>
      <c r="I337" s="271"/>
    </row>
    <row r="338" spans="1:10" s="323" customFormat="1" ht="25" hidden="1" customHeight="1">
      <c r="A338" s="274">
        <v>26</v>
      </c>
      <c r="B338" s="319"/>
      <c r="C338" s="320" t="s">
        <v>484</v>
      </c>
      <c r="D338" s="321"/>
      <c r="E338" s="277"/>
      <c r="F338" s="277"/>
      <c r="G338" s="322"/>
      <c r="H338" s="280"/>
      <c r="I338" s="279"/>
    </row>
    <row r="339" spans="1:10" ht="25" hidden="1" customHeight="1">
      <c r="A339" s="281"/>
      <c r="B339" s="282" t="s">
        <v>485</v>
      </c>
      <c r="C339" s="338" t="s">
        <v>484</v>
      </c>
      <c r="D339" s="284" t="s">
        <v>63</v>
      </c>
      <c r="E339" s="285"/>
      <c r="F339" s="285" t="s">
        <v>31</v>
      </c>
      <c r="G339" s="286">
        <v>45000</v>
      </c>
      <c r="H339" s="287">
        <v>1</v>
      </c>
      <c r="I339" s="288"/>
      <c r="J339" s="260" t="s">
        <v>89</v>
      </c>
    </row>
    <row r="340" spans="1:10" ht="25" hidden="1" customHeight="1">
      <c r="A340" s="289"/>
      <c r="B340" s="290" t="s">
        <v>486</v>
      </c>
      <c r="C340" s="339" t="s">
        <v>484</v>
      </c>
      <c r="D340" s="292" t="s">
        <v>478</v>
      </c>
      <c r="E340" s="293"/>
      <c r="F340" s="293" t="s">
        <v>39</v>
      </c>
      <c r="G340" s="294">
        <v>80000</v>
      </c>
      <c r="H340" s="287">
        <v>1</v>
      </c>
      <c r="I340" s="295" t="e">
        <f>+G340/E340</f>
        <v>#DIV/0!</v>
      </c>
      <c r="J340" s="260" t="s">
        <v>89</v>
      </c>
    </row>
    <row r="341" spans="1:10" ht="25" hidden="1" customHeight="1">
      <c r="A341" s="289"/>
      <c r="B341" s="290" t="s">
        <v>487</v>
      </c>
      <c r="C341" s="339" t="s">
        <v>484</v>
      </c>
      <c r="D341" s="292" t="s">
        <v>480</v>
      </c>
      <c r="E341" s="293"/>
      <c r="F341" s="293" t="s">
        <v>39</v>
      </c>
      <c r="G341" s="294">
        <v>240000</v>
      </c>
      <c r="H341" s="287">
        <v>1</v>
      </c>
      <c r="I341" s="295" t="e">
        <f>+G341/E341</f>
        <v>#DIV/0!</v>
      </c>
      <c r="J341" s="260" t="s">
        <v>89</v>
      </c>
    </row>
    <row r="342" spans="1:10" ht="25" hidden="1" customHeight="1">
      <c r="A342" s="289"/>
      <c r="B342" s="290" t="s">
        <v>488</v>
      </c>
      <c r="C342" s="339" t="s">
        <v>484</v>
      </c>
      <c r="D342" s="292" t="s">
        <v>489</v>
      </c>
      <c r="E342" s="293"/>
      <c r="F342" s="293" t="s">
        <v>39</v>
      </c>
      <c r="G342" s="294">
        <v>380000</v>
      </c>
      <c r="H342" s="287">
        <v>1</v>
      </c>
      <c r="I342" s="295" t="e">
        <f>+G342/E342</f>
        <v>#DIV/0!</v>
      </c>
      <c r="J342" s="260" t="s">
        <v>89</v>
      </c>
    </row>
    <row r="343" spans="1:10" ht="25" hidden="1" customHeight="1">
      <c r="A343" s="289"/>
      <c r="B343" s="290" t="s">
        <v>490</v>
      </c>
      <c r="C343" s="339" t="s">
        <v>484</v>
      </c>
      <c r="D343" s="292" t="s">
        <v>491</v>
      </c>
      <c r="E343" s="293"/>
      <c r="F343" s="293" t="s">
        <v>39</v>
      </c>
      <c r="G343" s="294">
        <v>450000</v>
      </c>
      <c r="H343" s="287">
        <v>1</v>
      </c>
      <c r="I343" s="295" t="e">
        <f>+G343/E343</f>
        <v>#DIV/0!</v>
      </c>
      <c r="J343" s="260" t="s">
        <v>89</v>
      </c>
    </row>
    <row r="344" spans="1:10" ht="25" hidden="1" customHeight="1">
      <c r="A344" s="296"/>
      <c r="B344" s="297" t="s">
        <v>492</v>
      </c>
      <c r="C344" s="340" t="s">
        <v>484</v>
      </c>
      <c r="D344" s="299" t="s">
        <v>493</v>
      </c>
      <c r="E344" s="300"/>
      <c r="F344" s="300" t="s">
        <v>39</v>
      </c>
      <c r="G344" s="301">
        <v>650000</v>
      </c>
      <c r="H344" s="287">
        <v>1</v>
      </c>
      <c r="I344" s="302" t="e">
        <f>+G344/E344</f>
        <v>#DIV/0!</v>
      </c>
      <c r="J344" s="260" t="s">
        <v>89</v>
      </c>
    </row>
    <row r="345" spans="1:10" ht="25" hidden="1" customHeight="1">
      <c r="A345" s="281"/>
      <c r="B345" s="282" t="s">
        <v>494</v>
      </c>
      <c r="C345" s="338" t="s">
        <v>495</v>
      </c>
      <c r="D345" s="284" t="s">
        <v>63</v>
      </c>
      <c r="E345" s="285"/>
      <c r="F345" s="285" t="s">
        <v>31</v>
      </c>
      <c r="G345" s="286">
        <v>45000</v>
      </c>
      <c r="H345" s="287">
        <v>0.5</v>
      </c>
      <c r="I345" s="288"/>
      <c r="J345" s="260" t="s">
        <v>89</v>
      </c>
    </row>
    <row r="346" spans="1:10" ht="25" hidden="1" customHeight="1">
      <c r="A346" s="289"/>
      <c r="B346" s="290" t="s">
        <v>496</v>
      </c>
      <c r="C346" s="339" t="s">
        <v>495</v>
      </c>
      <c r="D346" s="292" t="s">
        <v>478</v>
      </c>
      <c r="E346" s="293"/>
      <c r="F346" s="293" t="s">
        <v>39</v>
      </c>
      <c r="G346" s="294">
        <v>80000</v>
      </c>
      <c r="H346" s="287">
        <v>0.5</v>
      </c>
      <c r="I346" s="295" t="e">
        <f>+G346/E346</f>
        <v>#DIV/0!</v>
      </c>
      <c r="J346" s="260" t="s">
        <v>89</v>
      </c>
    </row>
    <row r="347" spans="1:10" ht="25" hidden="1" customHeight="1">
      <c r="A347" s="289"/>
      <c r="B347" s="290" t="s">
        <v>497</v>
      </c>
      <c r="C347" s="339" t="s">
        <v>495</v>
      </c>
      <c r="D347" s="292" t="s">
        <v>480</v>
      </c>
      <c r="E347" s="293"/>
      <c r="F347" s="293" t="s">
        <v>39</v>
      </c>
      <c r="G347" s="294">
        <v>240000</v>
      </c>
      <c r="H347" s="287">
        <v>0.5</v>
      </c>
      <c r="I347" s="295" t="e">
        <f>+G347/E347</f>
        <v>#DIV/0!</v>
      </c>
      <c r="J347" s="260" t="s">
        <v>89</v>
      </c>
    </row>
    <row r="348" spans="1:10" ht="25" hidden="1" customHeight="1">
      <c r="A348" s="289"/>
      <c r="B348" s="290" t="s">
        <v>498</v>
      </c>
      <c r="C348" s="339" t="s">
        <v>495</v>
      </c>
      <c r="D348" s="292" t="s">
        <v>499</v>
      </c>
      <c r="E348" s="293"/>
      <c r="F348" s="293" t="s">
        <v>39</v>
      </c>
      <c r="G348" s="294">
        <v>380000</v>
      </c>
      <c r="H348" s="287">
        <v>0.5</v>
      </c>
      <c r="I348" s="295" t="e">
        <f>+G348/E348</f>
        <v>#DIV/0!</v>
      </c>
      <c r="J348" s="260" t="s">
        <v>89</v>
      </c>
    </row>
    <row r="349" spans="1:10" ht="25" hidden="1" customHeight="1">
      <c r="A349" s="289"/>
      <c r="B349" s="290" t="s">
        <v>500</v>
      </c>
      <c r="C349" s="339" t="s">
        <v>495</v>
      </c>
      <c r="D349" s="292" t="s">
        <v>491</v>
      </c>
      <c r="E349" s="293"/>
      <c r="F349" s="293" t="s">
        <v>39</v>
      </c>
      <c r="G349" s="294">
        <v>450000</v>
      </c>
      <c r="H349" s="287">
        <v>0.5</v>
      </c>
      <c r="I349" s="295" t="e">
        <f>+G349/E349</f>
        <v>#DIV/0!</v>
      </c>
      <c r="J349" s="260" t="s">
        <v>89</v>
      </c>
    </row>
    <row r="350" spans="1:10" ht="25" hidden="1" customHeight="1">
      <c r="A350" s="296"/>
      <c r="B350" s="297" t="s">
        <v>501</v>
      </c>
      <c r="C350" s="340" t="s">
        <v>495</v>
      </c>
      <c r="D350" s="299" t="s">
        <v>493</v>
      </c>
      <c r="E350" s="300"/>
      <c r="F350" s="300" t="s">
        <v>39</v>
      </c>
      <c r="G350" s="301">
        <v>650000</v>
      </c>
      <c r="H350" s="287">
        <v>0.5</v>
      </c>
      <c r="I350" s="302" t="e">
        <f>+G350/E350</f>
        <v>#DIV/0!</v>
      </c>
      <c r="J350" s="260" t="s">
        <v>89</v>
      </c>
    </row>
    <row r="351" spans="1:10" s="323" customFormat="1" ht="25" hidden="1" customHeight="1">
      <c r="A351" s="274">
        <v>26</v>
      </c>
      <c r="B351" s="319"/>
      <c r="C351" s="320" t="s">
        <v>502</v>
      </c>
      <c r="D351" s="321"/>
      <c r="E351" s="277"/>
      <c r="F351" s="277"/>
      <c r="G351" s="322"/>
      <c r="H351" s="280"/>
      <c r="I351" s="279"/>
      <c r="J351" s="260" t="s">
        <v>89</v>
      </c>
    </row>
    <row r="352" spans="1:10" ht="25" hidden="1" customHeight="1">
      <c r="A352" s="281"/>
      <c r="B352" s="282" t="s">
        <v>503</v>
      </c>
      <c r="C352" s="338" t="s">
        <v>502</v>
      </c>
      <c r="D352" s="284" t="s">
        <v>63</v>
      </c>
      <c r="E352" s="285"/>
      <c r="F352" s="285" t="s">
        <v>31</v>
      </c>
      <c r="G352" s="286">
        <v>45000</v>
      </c>
      <c r="H352" s="287">
        <v>1</v>
      </c>
      <c r="I352" s="288"/>
      <c r="J352" s="260" t="s">
        <v>89</v>
      </c>
    </row>
    <row r="353" spans="1:10" ht="25" hidden="1" customHeight="1">
      <c r="A353" s="289"/>
      <c r="B353" s="290" t="s">
        <v>504</v>
      </c>
      <c r="C353" s="338" t="s">
        <v>502</v>
      </c>
      <c r="D353" s="292" t="s">
        <v>478</v>
      </c>
      <c r="E353" s="293"/>
      <c r="F353" s="293" t="s">
        <v>39</v>
      </c>
      <c r="G353" s="294">
        <v>80000</v>
      </c>
      <c r="H353" s="287">
        <v>1</v>
      </c>
      <c r="I353" s="295" t="e">
        <f>+G353/E353</f>
        <v>#DIV/0!</v>
      </c>
      <c r="J353" s="260" t="s">
        <v>89</v>
      </c>
    </row>
    <row r="354" spans="1:10" ht="25" hidden="1" customHeight="1">
      <c r="A354" s="289"/>
      <c r="B354" s="290" t="s">
        <v>505</v>
      </c>
      <c r="C354" s="338" t="s">
        <v>502</v>
      </c>
      <c r="D354" s="292" t="s">
        <v>480</v>
      </c>
      <c r="E354" s="293"/>
      <c r="F354" s="293" t="s">
        <v>39</v>
      </c>
      <c r="G354" s="294">
        <v>240000</v>
      </c>
      <c r="H354" s="287">
        <v>1</v>
      </c>
      <c r="I354" s="295" t="e">
        <f>+G354/E354</f>
        <v>#DIV/0!</v>
      </c>
      <c r="J354" s="260" t="s">
        <v>89</v>
      </c>
    </row>
    <row r="355" spans="1:10" ht="25" hidden="1" customHeight="1">
      <c r="A355" s="289"/>
      <c r="B355" s="290" t="s">
        <v>506</v>
      </c>
      <c r="C355" s="338" t="s">
        <v>502</v>
      </c>
      <c r="D355" s="292" t="s">
        <v>489</v>
      </c>
      <c r="E355" s="293"/>
      <c r="F355" s="293" t="s">
        <v>39</v>
      </c>
      <c r="G355" s="294">
        <v>380000</v>
      </c>
      <c r="H355" s="287">
        <v>1</v>
      </c>
      <c r="I355" s="295" t="e">
        <f>+G355/E355</f>
        <v>#DIV/0!</v>
      </c>
      <c r="J355" s="260" t="s">
        <v>89</v>
      </c>
    </row>
    <row r="356" spans="1:10" ht="25" hidden="1" customHeight="1">
      <c r="A356" s="289"/>
      <c r="B356" s="290" t="s">
        <v>507</v>
      </c>
      <c r="C356" s="338" t="s">
        <v>502</v>
      </c>
      <c r="D356" s="292" t="s">
        <v>491</v>
      </c>
      <c r="E356" s="293"/>
      <c r="F356" s="293" t="s">
        <v>39</v>
      </c>
      <c r="G356" s="294">
        <v>450000</v>
      </c>
      <c r="H356" s="287">
        <v>1</v>
      </c>
      <c r="I356" s="295" t="e">
        <f>+G356/E356</f>
        <v>#DIV/0!</v>
      </c>
      <c r="J356" s="260" t="s">
        <v>89</v>
      </c>
    </row>
    <row r="357" spans="1:10" ht="25" hidden="1" customHeight="1">
      <c r="A357" s="296"/>
      <c r="B357" s="297" t="s">
        <v>508</v>
      </c>
      <c r="C357" s="338" t="s">
        <v>502</v>
      </c>
      <c r="D357" s="299" t="s">
        <v>493</v>
      </c>
      <c r="E357" s="300"/>
      <c r="F357" s="300" t="s">
        <v>39</v>
      </c>
      <c r="G357" s="301">
        <v>650000</v>
      </c>
      <c r="H357" s="287">
        <v>1</v>
      </c>
      <c r="I357" s="302" t="e">
        <f>+G357/E357</f>
        <v>#DIV/0!</v>
      </c>
      <c r="J357" s="260" t="s">
        <v>89</v>
      </c>
    </row>
    <row r="358" spans="1:10" ht="25" hidden="1" customHeight="1">
      <c r="A358" s="281"/>
      <c r="B358" s="282" t="s">
        <v>509</v>
      </c>
      <c r="C358" s="338" t="s">
        <v>510</v>
      </c>
      <c r="D358" s="284" t="s">
        <v>63</v>
      </c>
      <c r="E358" s="285"/>
      <c r="F358" s="285" t="s">
        <v>31</v>
      </c>
      <c r="G358" s="286">
        <v>45000</v>
      </c>
      <c r="H358" s="287">
        <v>0.5</v>
      </c>
      <c r="I358" s="288"/>
      <c r="J358" s="260" t="s">
        <v>89</v>
      </c>
    </row>
    <row r="359" spans="1:10" ht="25" hidden="1" customHeight="1">
      <c r="A359" s="289"/>
      <c r="B359" s="290" t="s">
        <v>511</v>
      </c>
      <c r="C359" s="338" t="s">
        <v>510</v>
      </c>
      <c r="D359" s="292" t="s">
        <v>478</v>
      </c>
      <c r="E359" s="293"/>
      <c r="F359" s="293" t="s">
        <v>39</v>
      </c>
      <c r="G359" s="294">
        <v>80000</v>
      </c>
      <c r="H359" s="287">
        <v>0.5</v>
      </c>
      <c r="I359" s="295" t="e">
        <f>+G359/E359</f>
        <v>#DIV/0!</v>
      </c>
      <c r="J359" s="260" t="s">
        <v>89</v>
      </c>
    </row>
    <row r="360" spans="1:10" ht="25" hidden="1" customHeight="1">
      <c r="A360" s="289"/>
      <c r="B360" s="290" t="s">
        <v>512</v>
      </c>
      <c r="C360" s="338" t="s">
        <v>510</v>
      </c>
      <c r="D360" s="292" t="s">
        <v>480</v>
      </c>
      <c r="E360" s="293"/>
      <c r="F360" s="293" t="s">
        <v>39</v>
      </c>
      <c r="G360" s="294">
        <v>240000</v>
      </c>
      <c r="H360" s="287">
        <v>0.5</v>
      </c>
      <c r="I360" s="295" t="e">
        <f>+G360/E360</f>
        <v>#DIV/0!</v>
      </c>
      <c r="J360" s="260" t="s">
        <v>89</v>
      </c>
    </row>
    <row r="361" spans="1:10" ht="25" hidden="1" customHeight="1">
      <c r="A361" s="289"/>
      <c r="B361" s="290" t="s">
        <v>513</v>
      </c>
      <c r="C361" s="338" t="s">
        <v>510</v>
      </c>
      <c r="D361" s="292" t="s">
        <v>489</v>
      </c>
      <c r="E361" s="293"/>
      <c r="F361" s="293" t="s">
        <v>39</v>
      </c>
      <c r="G361" s="294">
        <v>380000</v>
      </c>
      <c r="H361" s="287">
        <v>0.5</v>
      </c>
      <c r="I361" s="295" t="e">
        <f>+G361/E361</f>
        <v>#DIV/0!</v>
      </c>
      <c r="J361" s="260" t="s">
        <v>89</v>
      </c>
    </row>
    <row r="362" spans="1:10" ht="25" hidden="1" customHeight="1">
      <c r="A362" s="289"/>
      <c r="B362" s="290" t="s">
        <v>514</v>
      </c>
      <c r="C362" s="338" t="s">
        <v>510</v>
      </c>
      <c r="D362" s="292" t="s">
        <v>491</v>
      </c>
      <c r="E362" s="293"/>
      <c r="F362" s="293" t="s">
        <v>39</v>
      </c>
      <c r="G362" s="294">
        <v>450000</v>
      </c>
      <c r="H362" s="287">
        <v>0.5</v>
      </c>
      <c r="I362" s="295" t="e">
        <f>+G362/E362</f>
        <v>#DIV/0!</v>
      </c>
      <c r="J362" s="260" t="s">
        <v>89</v>
      </c>
    </row>
    <row r="363" spans="1:10" ht="25" hidden="1" customHeight="1">
      <c r="A363" s="296"/>
      <c r="B363" s="297" t="s">
        <v>515</v>
      </c>
      <c r="C363" s="338" t="s">
        <v>510</v>
      </c>
      <c r="D363" s="299" t="s">
        <v>493</v>
      </c>
      <c r="E363" s="300"/>
      <c r="F363" s="300" t="s">
        <v>39</v>
      </c>
      <c r="G363" s="301">
        <v>650000</v>
      </c>
      <c r="H363" s="287">
        <v>0.5</v>
      </c>
      <c r="I363" s="302" t="e">
        <f>+G363/E363</f>
        <v>#DIV/0!</v>
      </c>
      <c r="J363" s="260" t="s">
        <v>89</v>
      </c>
    </row>
    <row r="364" spans="1:10" s="323" customFormat="1" ht="25" hidden="1" customHeight="1">
      <c r="A364" s="274">
        <v>19</v>
      </c>
      <c r="B364" s="319"/>
      <c r="C364" s="320" t="s">
        <v>516</v>
      </c>
      <c r="D364" s="321"/>
      <c r="E364" s="277"/>
      <c r="F364" s="277"/>
      <c r="G364" s="322"/>
      <c r="H364" s="280"/>
      <c r="I364" s="279"/>
    </row>
    <row r="365" spans="1:10" ht="25" hidden="1" customHeight="1">
      <c r="A365" s="281"/>
      <c r="B365" s="282" t="s">
        <v>517</v>
      </c>
      <c r="C365" s="338" t="s">
        <v>516</v>
      </c>
      <c r="D365" s="284" t="s">
        <v>63</v>
      </c>
      <c r="E365" s="285"/>
      <c r="F365" s="285" t="s">
        <v>31</v>
      </c>
      <c r="G365" s="286">
        <v>45000</v>
      </c>
      <c r="H365" s="287">
        <v>1</v>
      </c>
      <c r="I365" s="288">
        <f>+G365</f>
        <v>45000</v>
      </c>
      <c r="J365" s="260" t="s">
        <v>89</v>
      </c>
    </row>
    <row r="366" spans="1:10" ht="25" hidden="1" customHeight="1">
      <c r="A366" s="289"/>
      <c r="B366" s="290" t="s">
        <v>518</v>
      </c>
      <c r="C366" s="339" t="s">
        <v>516</v>
      </c>
      <c r="D366" s="292" t="s">
        <v>66</v>
      </c>
      <c r="E366" s="293"/>
      <c r="F366" s="293" t="s">
        <v>39</v>
      </c>
      <c r="G366" s="294">
        <v>55000</v>
      </c>
      <c r="H366" s="287">
        <v>1</v>
      </c>
      <c r="I366" s="295" t="e">
        <f t="shared" ref="I366:I381" si="17">+G366/E366</f>
        <v>#DIV/0!</v>
      </c>
      <c r="J366" s="260" t="s">
        <v>89</v>
      </c>
    </row>
    <row r="367" spans="1:10" ht="25" hidden="1" customHeight="1">
      <c r="A367" s="289"/>
      <c r="B367" s="290" t="s">
        <v>519</v>
      </c>
      <c r="C367" s="339" t="s">
        <v>516</v>
      </c>
      <c r="D367" s="292" t="s">
        <v>68</v>
      </c>
      <c r="E367" s="293"/>
      <c r="F367" s="293" t="s">
        <v>39</v>
      </c>
      <c r="G367" s="294">
        <v>120000</v>
      </c>
      <c r="H367" s="287">
        <v>1</v>
      </c>
      <c r="I367" s="295" t="e">
        <f t="shared" si="17"/>
        <v>#DIV/0!</v>
      </c>
      <c r="J367" s="260" t="s">
        <v>89</v>
      </c>
    </row>
    <row r="368" spans="1:10" ht="25" hidden="1" customHeight="1">
      <c r="A368" s="289"/>
      <c r="B368" s="290" t="s">
        <v>520</v>
      </c>
      <c r="C368" s="339" t="s">
        <v>516</v>
      </c>
      <c r="D368" s="292" t="s">
        <v>454</v>
      </c>
      <c r="E368" s="293"/>
      <c r="F368" s="293" t="s">
        <v>39</v>
      </c>
      <c r="G368" s="294">
        <v>145000</v>
      </c>
      <c r="H368" s="287">
        <v>1</v>
      </c>
      <c r="I368" s="295" t="e">
        <f t="shared" si="17"/>
        <v>#DIV/0!</v>
      </c>
      <c r="J368" s="260" t="s">
        <v>89</v>
      </c>
    </row>
    <row r="369" spans="1:10" ht="25" hidden="1" customHeight="1">
      <c r="A369" s="289"/>
      <c r="B369" s="290" t="s">
        <v>521</v>
      </c>
      <c r="C369" s="339" t="s">
        <v>516</v>
      </c>
      <c r="D369" s="292" t="s">
        <v>456</v>
      </c>
      <c r="E369" s="293"/>
      <c r="F369" s="293" t="s">
        <v>39</v>
      </c>
      <c r="G369" s="294">
        <v>190000</v>
      </c>
      <c r="H369" s="287">
        <v>1</v>
      </c>
      <c r="I369" s="295" t="e">
        <f t="shared" si="17"/>
        <v>#DIV/0!</v>
      </c>
      <c r="J369" s="260" t="s">
        <v>89</v>
      </c>
    </row>
    <row r="370" spans="1:10" ht="25" hidden="1" customHeight="1">
      <c r="A370" s="289"/>
      <c r="B370" s="290" t="s">
        <v>522</v>
      </c>
      <c r="C370" s="339" t="s">
        <v>516</v>
      </c>
      <c r="D370" s="292" t="s">
        <v>458</v>
      </c>
      <c r="E370" s="293"/>
      <c r="F370" s="293" t="s">
        <v>39</v>
      </c>
      <c r="G370" s="294">
        <v>250000</v>
      </c>
      <c r="H370" s="287">
        <v>1</v>
      </c>
      <c r="I370" s="295" t="e">
        <f t="shared" si="17"/>
        <v>#DIV/0!</v>
      </c>
      <c r="J370" s="260" t="s">
        <v>89</v>
      </c>
    </row>
    <row r="371" spans="1:10" ht="25" hidden="1" customHeight="1">
      <c r="A371" s="289"/>
      <c r="B371" s="290" t="s">
        <v>523</v>
      </c>
      <c r="C371" s="339" t="s">
        <v>516</v>
      </c>
      <c r="D371" s="292" t="s">
        <v>460</v>
      </c>
      <c r="E371" s="293"/>
      <c r="F371" s="293" t="s">
        <v>39</v>
      </c>
      <c r="G371" s="294">
        <v>320000</v>
      </c>
      <c r="H371" s="287">
        <v>1</v>
      </c>
      <c r="I371" s="295" t="e">
        <f t="shared" si="17"/>
        <v>#DIV/0!</v>
      </c>
      <c r="J371" s="260" t="s">
        <v>89</v>
      </c>
    </row>
    <row r="372" spans="1:10" ht="25" hidden="1" customHeight="1">
      <c r="A372" s="289"/>
      <c r="B372" s="290" t="s">
        <v>524</v>
      </c>
      <c r="C372" s="339" t="s">
        <v>516</v>
      </c>
      <c r="D372" s="292" t="s">
        <v>462</v>
      </c>
      <c r="E372" s="293"/>
      <c r="F372" s="293" t="s">
        <v>39</v>
      </c>
      <c r="G372" s="294">
        <v>380000</v>
      </c>
      <c r="H372" s="287">
        <v>1</v>
      </c>
      <c r="I372" s="295" t="e">
        <f t="shared" si="17"/>
        <v>#DIV/0!</v>
      </c>
      <c r="J372" s="260" t="s">
        <v>89</v>
      </c>
    </row>
    <row r="373" spans="1:10" ht="25" hidden="1" customHeight="1">
      <c r="A373" s="296"/>
      <c r="B373" s="297" t="s">
        <v>525</v>
      </c>
      <c r="C373" s="340" t="s">
        <v>516</v>
      </c>
      <c r="D373" s="299" t="s">
        <v>464</v>
      </c>
      <c r="E373" s="300"/>
      <c r="F373" s="300" t="s">
        <v>39</v>
      </c>
      <c r="G373" s="301">
        <v>400000</v>
      </c>
      <c r="H373" s="287">
        <v>1</v>
      </c>
      <c r="I373" s="302" t="e">
        <f t="shared" si="17"/>
        <v>#DIV/0!</v>
      </c>
      <c r="J373" s="260" t="s">
        <v>89</v>
      </c>
    </row>
    <row r="374" spans="1:10" ht="25" hidden="1" customHeight="1">
      <c r="A374" s="289"/>
      <c r="B374" s="290" t="s">
        <v>526</v>
      </c>
      <c r="C374" s="339" t="s">
        <v>527</v>
      </c>
      <c r="D374" s="292" t="s">
        <v>66</v>
      </c>
      <c r="E374" s="293">
        <v>1</v>
      </c>
      <c r="F374" s="293" t="s">
        <v>39</v>
      </c>
      <c r="G374" s="294">
        <v>55000</v>
      </c>
      <c r="H374" s="387">
        <v>0.5</v>
      </c>
      <c r="I374" s="361">
        <f t="shared" si="17"/>
        <v>55000</v>
      </c>
      <c r="J374" s="260" t="s">
        <v>89</v>
      </c>
    </row>
    <row r="375" spans="1:10" ht="25" hidden="1" customHeight="1">
      <c r="A375" s="289"/>
      <c r="B375" s="290" t="s">
        <v>528</v>
      </c>
      <c r="C375" s="339" t="s">
        <v>527</v>
      </c>
      <c r="D375" s="292" t="s">
        <v>68</v>
      </c>
      <c r="E375" s="293">
        <v>2</v>
      </c>
      <c r="F375" s="293" t="s">
        <v>39</v>
      </c>
      <c r="G375" s="294">
        <v>120000</v>
      </c>
      <c r="H375" s="387">
        <v>0.5</v>
      </c>
      <c r="I375" s="295">
        <f t="shared" si="17"/>
        <v>60000</v>
      </c>
      <c r="J375" s="260" t="s">
        <v>89</v>
      </c>
    </row>
    <row r="376" spans="1:10" ht="25" hidden="1" customHeight="1">
      <c r="A376" s="289"/>
      <c r="B376" s="290" t="s">
        <v>529</v>
      </c>
      <c r="C376" s="339" t="s">
        <v>527</v>
      </c>
      <c r="D376" s="292" t="s">
        <v>454</v>
      </c>
      <c r="E376" s="293">
        <v>2</v>
      </c>
      <c r="F376" s="293" t="s">
        <v>39</v>
      </c>
      <c r="G376" s="294">
        <v>145000</v>
      </c>
      <c r="H376" s="387">
        <v>0.5</v>
      </c>
      <c r="I376" s="295">
        <f t="shared" si="17"/>
        <v>72500</v>
      </c>
      <c r="J376" s="260" t="s">
        <v>89</v>
      </c>
    </row>
    <row r="377" spans="1:10" ht="25" hidden="1" customHeight="1">
      <c r="A377" s="289"/>
      <c r="B377" s="290" t="s">
        <v>530</v>
      </c>
      <c r="C377" s="339" t="s">
        <v>527</v>
      </c>
      <c r="D377" s="292" t="s">
        <v>456</v>
      </c>
      <c r="E377" s="293">
        <v>2.5</v>
      </c>
      <c r="F377" s="293" t="s">
        <v>39</v>
      </c>
      <c r="G377" s="294">
        <v>190000</v>
      </c>
      <c r="H377" s="387">
        <v>0.5</v>
      </c>
      <c r="I377" s="295">
        <f t="shared" si="17"/>
        <v>76000</v>
      </c>
      <c r="J377" s="260" t="s">
        <v>89</v>
      </c>
    </row>
    <row r="378" spans="1:10" ht="25" hidden="1" customHeight="1">
      <c r="A378" s="289"/>
      <c r="B378" s="290" t="s">
        <v>531</v>
      </c>
      <c r="C378" s="339" t="s">
        <v>527</v>
      </c>
      <c r="D378" s="292" t="s">
        <v>458</v>
      </c>
      <c r="E378" s="293">
        <v>3</v>
      </c>
      <c r="F378" s="293" t="s">
        <v>39</v>
      </c>
      <c r="G378" s="294">
        <v>250000</v>
      </c>
      <c r="H378" s="387">
        <v>0.5</v>
      </c>
      <c r="I378" s="295">
        <f t="shared" si="17"/>
        <v>83333.333333333328</v>
      </c>
      <c r="J378" s="260" t="s">
        <v>89</v>
      </c>
    </row>
    <row r="379" spans="1:10" ht="25" hidden="1" customHeight="1">
      <c r="A379" s="289"/>
      <c r="B379" s="290" t="s">
        <v>532</v>
      </c>
      <c r="C379" s="339" t="s">
        <v>527</v>
      </c>
      <c r="D379" s="292" t="s">
        <v>460</v>
      </c>
      <c r="E379" s="293">
        <v>3.5</v>
      </c>
      <c r="F379" s="293" t="s">
        <v>39</v>
      </c>
      <c r="G379" s="294">
        <v>320000</v>
      </c>
      <c r="H379" s="387">
        <v>0.5</v>
      </c>
      <c r="I379" s="295">
        <f t="shared" si="17"/>
        <v>91428.571428571435</v>
      </c>
      <c r="J379" s="260" t="s">
        <v>89</v>
      </c>
    </row>
    <row r="380" spans="1:10" ht="25" hidden="1" customHeight="1">
      <c r="A380" s="289"/>
      <c r="B380" s="290" t="s">
        <v>533</v>
      </c>
      <c r="C380" s="339" t="s">
        <v>527</v>
      </c>
      <c r="D380" s="292" t="s">
        <v>462</v>
      </c>
      <c r="E380" s="293">
        <v>4</v>
      </c>
      <c r="F380" s="293" t="s">
        <v>39</v>
      </c>
      <c r="G380" s="294">
        <v>380000</v>
      </c>
      <c r="H380" s="387">
        <v>0.5</v>
      </c>
      <c r="I380" s="295">
        <f t="shared" si="17"/>
        <v>95000</v>
      </c>
      <c r="J380" s="260" t="s">
        <v>89</v>
      </c>
    </row>
    <row r="381" spans="1:10" ht="25" hidden="1" customHeight="1">
      <c r="A381" s="296"/>
      <c r="B381" s="297" t="s">
        <v>534</v>
      </c>
      <c r="C381" s="340" t="s">
        <v>527</v>
      </c>
      <c r="D381" s="299" t="s">
        <v>464</v>
      </c>
      <c r="E381" s="300">
        <v>4</v>
      </c>
      <c r="F381" s="300" t="s">
        <v>39</v>
      </c>
      <c r="G381" s="301">
        <v>400000</v>
      </c>
      <c r="H381" s="387">
        <v>0.5</v>
      </c>
      <c r="I381" s="295">
        <f t="shared" si="17"/>
        <v>100000</v>
      </c>
      <c r="J381" s="260" t="s">
        <v>89</v>
      </c>
    </row>
    <row r="382" spans="1:10" s="323" customFormat="1" ht="25" hidden="1" customHeight="1">
      <c r="A382" s="274">
        <v>19</v>
      </c>
      <c r="B382" s="319"/>
      <c r="C382" s="320" t="s">
        <v>535</v>
      </c>
      <c r="D382" s="321"/>
      <c r="E382" s="277"/>
      <c r="F382" s="277"/>
      <c r="G382" s="322"/>
      <c r="H382" s="280"/>
      <c r="I382" s="279"/>
    </row>
    <row r="383" spans="1:10" s="370" customFormat="1" ht="25" hidden="1" customHeight="1">
      <c r="A383" s="362"/>
      <c r="B383" s="363" t="s">
        <v>536</v>
      </c>
      <c r="C383" s="364" t="s">
        <v>535</v>
      </c>
      <c r="D383" s="365" t="s">
        <v>63</v>
      </c>
      <c r="E383" s="366"/>
      <c r="F383" s="366" t="s">
        <v>31</v>
      </c>
      <c r="G383" s="367">
        <v>45000</v>
      </c>
      <c r="H383" s="368">
        <v>1</v>
      </c>
      <c r="I383" s="369">
        <f>+G383</f>
        <v>45000</v>
      </c>
      <c r="J383" s="370" t="s">
        <v>89</v>
      </c>
    </row>
    <row r="384" spans="1:10" s="370" customFormat="1" ht="25" hidden="1" customHeight="1">
      <c r="A384" s="371"/>
      <c r="B384" s="372" t="s">
        <v>537</v>
      </c>
      <c r="C384" s="373" t="s">
        <v>535</v>
      </c>
      <c r="D384" s="374" t="s">
        <v>66</v>
      </c>
      <c r="E384" s="375">
        <v>1</v>
      </c>
      <c r="F384" s="375" t="s">
        <v>39</v>
      </c>
      <c r="G384" s="376">
        <v>55000</v>
      </c>
      <c r="H384" s="368">
        <v>1</v>
      </c>
      <c r="I384" s="377">
        <f t="shared" ref="I384:I391" si="18">+G384/E384</f>
        <v>55000</v>
      </c>
      <c r="J384" s="370" t="s">
        <v>89</v>
      </c>
    </row>
    <row r="385" spans="1:10" s="370" customFormat="1" ht="25" hidden="1" customHeight="1">
      <c r="A385" s="371"/>
      <c r="B385" s="372" t="s">
        <v>538</v>
      </c>
      <c r="C385" s="373" t="s">
        <v>535</v>
      </c>
      <c r="D385" s="374" t="s">
        <v>68</v>
      </c>
      <c r="E385" s="375">
        <v>2</v>
      </c>
      <c r="F385" s="375" t="s">
        <v>39</v>
      </c>
      <c r="G385" s="376">
        <v>120000</v>
      </c>
      <c r="H385" s="368">
        <v>1</v>
      </c>
      <c r="I385" s="377">
        <f t="shared" si="18"/>
        <v>60000</v>
      </c>
      <c r="J385" s="370" t="s">
        <v>89</v>
      </c>
    </row>
    <row r="386" spans="1:10" s="370" customFormat="1" ht="25" hidden="1" customHeight="1">
      <c r="A386" s="371"/>
      <c r="B386" s="372" t="s">
        <v>539</v>
      </c>
      <c r="C386" s="373" t="s">
        <v>535</v>
      </c>
      <c r="D386" s="374" t="s">
        <v>454</v>
      </c>
      <c r="E386" s="375">
        <v>2</v>
      </c>
      <c r="F386" s="375" t="s">
        <v>39</v>
      </c>
      <c r="G386" s="376">
        <v>145000</v>
      </c>
      <c r="H386" s="368">
        <v>1</v>
      </c>
      <c r="I386" s="377">
        <f t="shared" si="18"/>
        <v>72500</v>
      </c>
      <c r="J386" s="370" t="s">
        <v>89</v>
      </c>
    </row>
    <row r="387" spans="1:10" s="370" customFormat="1" ht="25" hidden="1" customHeight="1">
      <c r="A387" s="371"/>
      <c r="B387" s="372" t="s">
        <v>540</v>
      </c>
      <c r="C387" s="373" t="s">
        <v>535</v>
      </c>
      <c r="D387" s="374" t="s">
        <v>456</v>
      </c>
      <c r="E387" s="375">
        <v>2.5</v>
      </c>
      <c r="F387" s="375" t="s">
        <v>39</v>
      </c>
      <c r="G387" s="376">
        <v>190000</v>
      </c>
      <c r="H387" s="368">
        <v>1</v>
      </c>
      <c r="I387" s="377">
        <f t="shared" si="18"/>
        <v>76000</v>
      </c>
      <c r="J387" s="370" t="s">
        <v>89</v>
      </c>
    </row>
    <row r="388" spans="1:10" s="370" customFormat="1" ht="25" hidden="1" customHeight="1">
      <c r="A388" s="371"/>
      <c r="B388" s="372" t="s">
        <v>541</v>
      </c>
      <c r="C388" s="373" t="s">
        <v>535</v>
      </c>
      <c r="D388" s="374" t="s">
        <v>458</v>
      </c>
      <c r="E388" s="375">
        <v>3</v>
      </c>
      <c r="F388" s="375" t="s">
        <v>39</v>
      </c>
      <c r="G388" s="376">
        <v>250000</v>
      </c>
      <c r="H388" s="368">
        <v>1</v>
      </c>
      <c r="I388" s="377">
        <f t="shared" si="18"/>
        <v>83333.333333333328</v>
      </c>
      <c r="J388" s="370" t="s">
        <v>89</v>
      </c>
    </row>
    <row r="389" spans="1:10" s="370" customFormat="1" ht="25" hidden="1" customHeight="1">
      <c r="A389" s="371"/>
      <c r="B389" s="372" t="s">
        <v>542</v>
      </c>
      <c r="C389" s="373" t="s">
        <v>535</v>
      </c>
      <c r="D389" s="374" t="s">
        <v>460</v>
      </c>
      <c r="E389" s="375">
        <v>3.5</v>
      </c>
      <c r="F389" s="375" t="s">
        <v>39</v>
      </c>
      <c r="G389" s="376">
        <v>320000</v>
      </c>
      <c r="H389" s="368">
        <v>1</v>
      </c>
      <c r="I389" s="377">
        <f t="shared" si="18"/>
        <v>91428.571428571435</v>
      </c>
      <c r="J389" s="370" t="s">
        <v>89</v>
      </c>
    </row>
    <row r="390" spans="1:10" s="370" customFormat="1" ht="25" hidden="1" customHeight="1">
      <c r="A390" s="371"/>
      <c r="B390" s="372" t="s">
        <v>543</v>
      </c>
      <c r="C390" s="373" t="s">
        <v>535</v>
      </c>
      <c r="D390" s="374" t="s">
        <v>462</v>
      </c>
      <c r="E390" s="375">
        <v>4</v>
      </c>
      <c r="F390" s="375" t="s">
        <v>39</v>
      </c>
      <c r="G390" s="376">
        <v>380000</v>
      </c>
      <c r="H390" s="368">
        <v>1</v>
      </c>
      <c r="I390" s="377">
        <f t="shared" si="18"/>
        <v>95000</v>
      </c>
      <c r="J390" s="370" t="s">
        <v>89</v>
      </c>
    </row>
    <row r="391" spans="1:10" s="370" customFormat="1" ht="25" hidden="1" customHeight="1">
      <c r="A391" s="378"/>
      <c r="B391" s="379" t="s">
        <v>544</v>
      </c>
      <c r="C391" s="380" t="s">
        <v>535</v>
      </c>
      <c r="D391" s="381" t="s">
        <v>464</v>
      </c>
      <c r="E391" s="382">
        <v>4</v>
      </c>
      <c r="F391" s="382" t="s">
        <v>39</v>
      </c>
      <c r="G391" s="383">
        <v>400000</v>
      </c>
      <c r="H391" s="368">
        <v>1</v>
      </c>
      <c r="I391" s="384">
        <f t="shared" si="18"/>
        <v>100000</v>
      </c>
      <c r="J391" s="370" t="s">
        <v>89</v>
      </c>
    </row>
    <row r="392" spans="1:10" s="370" customFormat="1" ht="25" hidden="1" customHeight="1">
      <c r="A392" s="362"/>
      <c r="B392" s="363" t="s">
        <v>545</v>
      </c>
      <c r="C392" s="364" t="s">
        <v>546</v>
      </c>
      <c r="D392" s="365" t="s">
        <v>63</v>
      </c>
      <c r="E392" s="366"/>
      <c r="F392" s="366" t="s">
        <v>31</v>
      </c>
      <c r="G392" s="367">
        <v>45000</v>
      </c>
      <c r="H392" s="368">
        <v>0.5</v>
      </c>
      <c r="I392" s="369">
        <f>+G392</f>
        <v>45000</v>
      </c>
      <c r="J392" s="370" t="s">
        <v>89</v>
      </c>
    </row>
    <row r="393" spans="1:10" s="370" customFormat="1" ht="25" hidden="1" customHeight="1">
      <c r="A393" s="371"/>
      <c r="B393" s="372" t="s">
        <v>547</v>
      </c>
      <c r="C393" s="373" t="s">
        <v>546</v>
      </c>
      <c r="D393" s="374" t="s">
        <v>66</v>
      </c>
      <c r="E393" s="375">
        <v>1</v>
      </c>
      <c r="F393" s="375" t="s">
        <v>39</v>
      </c>
      <c r="G393" s="376">
        <v>55000</v>
      </c>
      <c r="H393" s="368">
        <v>0.5</v>
      </c>
      <c r="I393" s="377">
        <f t="shared" ref="I393:I400" si="19">+G393/E393</f>
        <v>55000</v>
      </c>
      <c r="J393" s="370" t="s">
        <v>89</v>
      </c>
    </row>
    <row r="394" spans="1:10" s="370" customFormat="1" ht="25" hidden="1" customHeight="1">
      <c r="A394" s="371"/>
      <c r="B394" s="372" t="s">
        <v>548</v>
      </c>
      <c r="C394" s="373" t="s">
        <v>546</v>
      </c>
      <c r="D394" s="374" t="s">
        <v>68</v>
      </c>
      <c r="E394" s="375">
        <v>2</v>
      </c>
      <c r="F394" s="375" t="s">
        <v>39</v>
      </c>
      <c r="G394" s="376">
        <v>120000</v>
      </c>
      <c r="H394" s="368">
        <v>0.5</v>
      </c>
      <c r="I394" s="377">
        <f t="shared" si="19"/>
        <v>60000</v>
      </c>
      <c r="J394" s="370" t="s">
        <v>89</v>
      </c>
    </row>
    <row r="395" spans="1:10" s="370" customFormat="1" ht="25" hidden="1" customHeight="1">
      <c r="A395" s="371"/>
      <c r="B395" s="372" t="s">
        <v>549</v>
      </c>
      <c r="C395" s="373" t="s">
        <v>546</v>
      </c>
      <c r="D395" s="374" t="s">
        <v>454</v>
      </c>
      <c r="E395" s="375">
        <v>2</v>
      </c>
      <c r="F395" s="375" t="s">
        <v>39</v>
      </c>
      <c r="G395" s="376">
        <v>145000</v>
      </c>
      <c r="H395" s="368">
        <v>0.5</v>
      </c>
      <c r="I395" s="377">
        <f t="shared" si="19"/>
        <v>72500</v>
      </c>
      <c r="J395" s="370" t="s">
        <v>89</v>
      </c>
    </row>
    <row r="396" spans="1:10" s="370" customFormat="1" ht="25" hidden="1" customHeight="1">
      <c r="A396" s="371"/>
      <c r="B396" s="372" t="s">
        <v>550</v>
      </c>
      <c r="C396" s="373" t="s">
        <v>546</v>
      </c>
      <c r="D396" s="374" t="s">
        <v>456</v>
      </c>
      <c r="E396" s="375">
        <v>2.5</v>
      </c>
      <c r="F396" s="375" t="s">
        <v>39</v>
      </c>
      <c r="G396" s="376">
        <v>190000</v>
      </c>
      <c r="H396" s="368">
        <v>0.5</v>
      </c>
      <c r="I396" s="377">
        <f t="shared" si="19"/>
        <v>76000</v>
      </c>
      <c r="J396" s="370" t="s">
        <v>89</v>
      </c>
    </row>
    <row r="397" spans="1:10" s="370" customFormat="1" ht="25" hidden="1" customHeight="1">
      <c r="A397" s="371"/>
      <c r="B397" s="372" t="s">
        <v>551</v>
      </c>
      <c r="C397" s="373" t="s">
        <v>546</v>
      </c>
      <c r="D397" s="374" t="s">
        <v>458</v>
      </c>
      <c r="E397" s="375">
        <v>3</v>
      </c>
      <c r="F397" s="375" t="s">
        <v>39</v>
      </c>
      <c r="G397" s="376">
        <v>250000</v>
      </c>
      <c r="H397" s="368">
        <v>0.5</v>
      </c>
      <c r="I397" s="377">
        <f t="shared" si="19"/>
        <v>83333.333333333328</v>
      </c>
      <c r="J397" s="370" t="s">
        <v>89</v>
      </c>
    </row>
    <row r="398" spans="1:10" s="370" customFormat="1" ht="25" hidden="1" customHeight="1">
      <c r="A398" s="371"/>
      <c r="B398" s="372" t="s">
        <v>552</v>
      </c>
      <c r="C398" s="373" t="s">
        <v>546</v>
      </c>
      <c r="D398" s="374" t="s">
        <v>460</v>
      </c>
      <c r="E398" s="375">
        <v>3.5</v>
      </c>
      <c r="F398" s="375" t="s">
        <v>39</v>
      </c>
      <c r="G398" s="376">
        <v>320000</v>
      </c>
      <c r="H398" s="368">
        <v>0.5</v>
      </c>
      <c r="I398" s="377">
        <f t="shared" si="19"/>
        <v>91428.571428571435</v>
      </c>
      <c r="J398" s="370" t="s">
        <v>89</v>
      </c>
    </row>
    <row r="399" spans="1:10" s="370" customFormat="1" ht="25" hidden="1" customHeight="1">
      <c r="A399" s="371"/>
      <c r="B399" s="372" t="s">
        <v>553</v>
      </c>
      <c r="C399" s="373" t="s">
        <v>546</v>
      </c>
      <c r="D399" s="374" t="s">
        <v>462</v>
      </c>
      <c r="E399" s="375">
        <v>4</v>
      </c>
      <c r="F399" s="375" t="s">
        <v>39</v>
      </c>
      <c r="G399" s="376">
        <v>380000</v>
      </c>
      <c r="H399" s="368">
        <v>0.5</v>
      </c>
      <c r="I399" s="377">
        <f t="shared" si="19"/>
        <v>95000</v>
      </c>
      <c r="J399" s="370" t="s">
        <v>89</v>
      </c>
    </row>
    <row r="400" spans="1:10" s="370" customFormat="1" ht="25" hidden="1" customHeight="1">
      <c r="A400" s="378"/>
      <c r="B400" s="379" t="s">
        <v>554</v>
      </c>
      <c r="C400" s="380" t="s">
        <v>546</v>
      </c>
      <c r="D400" s="381" t="s">
        <v>464</v>
      </c>
      <c r="E400" s="382">
        <v>4</v>
      </c>
      <c r="F400" s="382" t="s">
        <v>39</v>
      </c>
      <c r="G400" s="383">
        <v>400000</v>
      </c>
      <c r="H400" s="368">
        <v>0.5</v>
      </c>
      <c r="I400" s="384">
        <f t="shared" si="19"/>
        <v>100000</v>
      </c>
      <c r="J400" s="370" t="s">
        <v>89</v>
      </c>
    </row>
    <row r="401" spans="1:10" s="396" customFormat="1" ht="25" hidden="1" customHeight="1">
      <c r="A401" s="388">
        <v>7</v>
      </c>
      <c r="B401" s="389"/>
      <c r="C401" s="390" t="s">
        <v>555</v>
      </c>
      <c r="D401" s="391"/>
      <c r="E401" s="392"/>
      <c r="F401" s="392"/>
      <c r="G401" s="393"/>
      <c r="H401" s="394"/>
      <c r="I401" s="395"/>
    </row>
    <row r="402" spans="1:10" ht="25" hidden="1" customHeight="1">
      <c r="A402" s="281"/>
      <c r="B402" s="282" t="s">
        <v>556</v>
      </c>
      <c r="C402" s="338" t="s">
        <v>555</v>
      </c>
      <c r="D402" s="284" t="s">
        <v>63</v>
      </c>
      <c r="E402" s="285"/>
      <c r="F402" s="285" t="s">
        <v>31</v>
      </c>
      <c r="G402" s="286">
        <v>36000</v>
      </c>
      <c r="H402" s="287">
        <v>1</v>
      </c>
      <c r="I402" s="288">
        <f>+G402</f>
        <v>36000</v>
      </c>
      <c r="J402" s="260" t="s">
        <v>89</v>
      </c>
    </row>
    <row r="403" spans="1:10" ht="25" hidden="1" customHeight="1">
      <c r="A403" s="289"/>
      <c r="B403" s="290" t="s">
        <v>557</v>
      </c>
      <c r="C403" s="339" t="s">
        <v>555</v>
      </c>
      <c r="D403" s="292" t="s">
        <v>66</v>
      </c>
      <c r="E403" s="293">
        <f>360/72</f>
        <v>5</v>
      </c>
      <c r="F403" s="293" t="s">
        <v>39</v>
      </c>
      <c r="G403" s="294">
        <v>90000</v>
      </c>
      <c r="H403" s="287">
        <v>1</v>
      </c>
      <c r="I403" s="295">
        <f t="shared" ref="I403:I412" si="20">+G403/E403</f>
        <v>18000</v>
      </c>
      <c r="J403" s="260" t="s">
        <v>89</v>
      </c>
    </row>
    <row r="404" spans="1:10" ht="25" hidden="1" customHeight="1">
      <c r="A404" s="289"/>
      <c r="B404" s="290" t="s">
        <v>558</v>
      </c>
      <c r="C404" s="339" t="s">
        <v>555</v>
      </c>
      <c r="D404" s="292" t="s">
        <v>68</v>
      </c>
      <c r="E404" s="293">
        <f>360/54</f>
        <v>6.666666666666667</v>
      </c>
      <c r="F404" s="293" t="s">
        <v>39</v>
      </c>
      <c r="G404" s="294">
        <v>150000</v>
      </c>
      <c r="H404" s="287">
        <v>1</v>
      </c>
      <c r="I404" s="295">
        <f t="shared" si="20"/>
        <v>22500</v>
      </c>
      <c r="J404" s="260" t="s">
        <v>89</v>
      </c>
    </row>
    <row r="405" spans="1:10" ht="25" hidden="1" customHeight="1">
      <c r="A405" s="289"/>
      <c r="B405" s="290" t="s">
        <v>559</v>
      </c>
      <c r="C405" s="339" t="s">
        <v>555</v>
      </c>
      <c r="D405" s="292" t="s">
        <v>70</v>
      </c>
      <c r="E405" s="293">
        <f>360/43</f>
        <v>8.3720930232558146</v>
      </c>
      <c r="F405" s="293" t="s">
        <v>39</v>
      </c>
      <c r="G405" s="294">
        <v>220000</v>
      </c>
      <c r="H405" s="287">
        <v>1</v>
      </c>
      <c r="I405" s="295">
        <f t="shared" si="20"/>
        <v>26277.777777777777</v>
      </c>
      <c r="J405" s="260" t="s">
        <v>89</v>
      </c>
    </row>
    <row r="406" spans="1:10" ht="25" hidden="1" customHeight="1">
      <c r="A406" s="289"/>
      <c r="B406" s="290" t="s">
        <v>560</v>
      </c>
      <c r="C406" s="339" t="s">
        <v>555</v>
      </c>
      <c r="D406" s="292" t="s">
        <v>72</v>
      </c>
      <c r="E406" s="293">
        <f>360/43</f>
        <v>8.3720930232558146</v>
      </c>
      <c r="F406" s="293" t="s">
        <v>39</v>
      </c>
      <c r="G406" s="294">
        <v>250000</v>
      </c>
      <c r="H406" s="287">
        <v>1</v>
      </c>
      <c r="I406" s="295">
        <f t="shared" si="20"/>
        <v>29861.111111111109</v>
      </c>
      <c r="J406" s="260" t="s">
        <v>89</v>
      </c>
    </row>
    <row r="407" spans="1:10" ht="25" hidden="1" customHeight="1">
      <c r="A407" s="296"/>
      <c r="B407" s="297" t="s">
        <v>561</v>
      </c>
      <c r="C407" s="340" t="s">
        <v>555</v>
      </c>
      <c r="D407" s="299" t="s">
        <v>74</v>
      </c>
      <c r="E407" s="300">
        <f>360/29</f>
        <v>12.413793103448276</v>
      </c>
      <c r="F407" s="300" t="s">
        <v>39</v>
      </c>
      <c r="G407" s="301">
        <v>300000</v>
      </c>
      <c r="H407" s="287">
        <v>1</v>
      </c>
      <c r="I407" s="302">
        <f t="shared" si="20"/>
        <v>24166.666666666668</v>
      </c>
      <c r="J407" s="260" t="s">
        <v>89</v>
      </c>
    </row>
    <row r="408" spans="1:10" ht="25" hidden="1" customHeight="1">
      <c r="A408" s="289"/>
      <c r="B408" s="290" t="s">
        <v>562</v>
      </c>
      <c r="C408" s="339" t="s">
        <v>563</v>
      </c>
      <c r="D408" s="292" t="s">
        <v>66</v>
      </c>
      <c r="E408" s="293">
        <f>360/72</f>
        <v>5</v>
      </c>
      <c r="F408" s="293" t="s">
        <v>39</v>
      </c>
      <c r="G408" s="294">
        <v>90000</v>
      </c>
      <c r="H408" s="325">
        <v>0.5</v>
      </c>
      <c r="I408" s="295">
        <f t="shared" si="20"/>
        <v>18000</v>
      </c>
      <c r="J408" s="260" t="s">
        <v>89</v>
      </c>
    </row>
    <row r="409" spans="1:10" ht="25" hidden="1" customHeight="1">
      <c r="A409" s="289"/>
      <c r="B409" s="290" t="s">
        <v>564</v>
      </c>
      <c r="C409" s="339" t="s">
        <v>563</v>
      </c>
      <c r="D409" s="292" t="s">
        <v>68</v>
      </c>
      <c r="E409" s="293">
        <f>360/54</f>
        <v>6.666666666666667</v>
      </c>
      <c r="F409" s="293" t="s">
        <v>39</v>
      </c>
      <c r="G409" s="294">
        <v>150000</v>
      </c>
      <c r="H409" s="325">
        <v>0.5</v>
      </c>
      <c r="I409" s="295">
        <f t="shared" si="20"/>
        <v>22500</v>
      </c>
      <c r="J409" s="260" t="s">
        <v>89</v>
      </c>
    </row>
    <row r="410" spans="1:10" ht="25" hidden="1" customHeight="1">
      <c r="A410" s="289"/>
      <c r="B410" s="290" t="s">
        <v>565</v>
      </c>
      <c r="C410" s="339" t="s">
        <v>563</v>
      </c>
      <c r="D410" s="292" t="s">
        <v>70</v>
      </c>
      <c r="E410" s="293">
        <f>360/43</f>
        <v>8.3720930232558146</v>
      </c>
      <c r="F410" s="293" t="s">
        <v>39</v>
      </c>
      <c r="G410" s="294">
        <v>220000</v>
      </c>
      <c r="H410" s="325">
        <v>0.5</v>
      </c>
      <c r="I410" s="295">
        <f t="shared" si="20"/>
        <v>26277.777777777777</v>
      </c>
      <c r="J410" s="260" t="s">
        <v>89</v>
      </c>
    </row>
    <row r="411" spans="1:10" ht="25" hidden="1" customHeight="1">
      <c r="A411" s="289"/>
      <c r="B411" s="290" t="s">
        <v>566</v>
      </c>
      <c r="C411" s="339" t="s">
        <v>563</v>
      </c>
      <c r="D411" s="292" t="s">
        <v>72</v>
      </c>
      <c r="E411" s="293">
        <f>360/43</f>
        <v>8.3720930232558146</v>
      </c>
      <c r="F411" s="293" t="s">
        <v>39</v>
      </c>
      <c r="G411" s="294">
        <v>250000</v>
      </c>
      <c r="H411" s="325">
        <v>0.5</v>
      </c>
      <c r="I411" s="295">
        <f t="shared" si="20"/>
        <v>29861.111111111109</v>
      </c>
      <c r="J411" s="260" t="s">
        <v>89</v>
      </c>
    </row>
    <row r="412" spans="1:10" ht="25" hidden="1" customHeight="1">
      <c r="A412" s="296"/>
      <c r="B412" s="297" t="s">
        <v>567</v>
      </c>
      <c r="C412" s="339" t="s">
        <v>563</v>
      </c>
      <c r="D412" s="299" t="s">
        <v>74</v>
      </c>
      <c r="E412" s="300">
        <f>360/29</f>
        <v>12.413793103448276</v>
      </c>
      <c r="F412" s="300" t="s">
        <v>39</v>
      </c>
      <c r="G412" s="301">
        <v>300000</v>
      </c>
      <c r="H412" s="325">
        <v>0.5</v>
      </c>
      <c r="I412" s="295">
        <f t="shared" si="20"/>
        <v>24166.666666666668</v>
      </c>
      <c r="J412" s="260" t="s">
        <v>89</v>
      </c>
    </row>
    <row r="413" spans="1:10" s="323" customFormat="1" ht="25" hidden="1" customHeight="1">
      <c r="A413" s="274"/>
      <c r="B413" s="319"/>
      <c r="C413" s="320" t="s">
        <v>568</v>
      </c>
      <c r="D413" s="321"/>
      <c r="E413" s="277"/>
      <c r="F413" s="277"/>
      <c r="G413" s="322"/>
      <c r="H413" s="280"/>
      <c r="I413" s="279"/>
    </row>
    <row r="414" spans="1:10" ht="25" hidden="1" customHeight="1">
      <c r="A414" s="281"/>
      <c r="B414" s="282" t="s">
        <v>569</v>
      </c>
      <c r="C414" s="338" t="s">
        <v>568</v>
      </c>
      <c r="D414" s="284" t="s">
        <v>63</v>
      </c>
      <c r="E414" s="285"/>
      <c r="F414" s="285" t="s">
        <v>31</v>
      </c>
      <c r="G414" s="286">
        <v>36000</v>
      </c>
      <c r="H414" s="287">
        <v>1</v>
      </c>
      <c r="I414" s="288">
        <f>+G414</f>
        <v>36000</v>
      </c>
      <c r="J414" s="260" t="s">
        <v>89</v>
      </c>
    </row>
    <row r="415" spans="1:10" ht="25" hidden="1" customHeight="1">
      <c r="A415" s="289"/>
      <c r="B415" s="290" t="s">
        <v>570</v>
      </c>
      <c r="C415" s="339" t="s">
        <v>568</v>
      </c>
      <c r="D415" s="292" t="s">
        <v>66</v>
      </c>
      <c r="E415" s="293">
        <f>360/72</f>
        <v>5</v>
      </c>
      <c r="F415" s="293" t="s">
        <v>39</v>
      </c>
      <c r="G415" s="294">
        <v>90000</v>
      </c>
      <c r="H415" s="287">
        <v>1</v>
      </c>
      <c r="I415" s="295">
        <f>+G415/E415</f>
        <v>18000</v>
      </c>
      <c r="J415" s="260" t="s">
        <v>89</v>
      </c>
    </row>
    <row r="416" spans="1:10" ht="25" hidden="1" customHeight="1">
      <c r="A416" s="289"/>
      <c r="B416" s="290" t="s">
        <v>571</v>
      </c>
      <c r="C416" s="339" t="s">
        <v>568</v>
      </c>
      <c r="D416" s="292" t="s">
        <v>68</v>
      </c>
      <c r="E416" s="293">
        <f>360/54</f>
        <v>6.666666666666667</v>
      </c>
      <c r="F416" s="293" t="s">
        <v>39</v>
      </c>
      <c r="G416" s="294">
        <v>150000</v>
      </c>
      <c r="H416" s="287">
        <v>1</v>
      </c>
      <c r="I416" s="295">
        <f>+G416/E416</f>
        <v>22500</v>
      </c>
      <c r="J416" s="260" t="s">
        <v>89</v>
      </c>
    </row>
    <row r="417" spans="1:10" ht="25" hidden="1" customHeight="1">
      <c r="A417" s="289"/>
      <c r="B417" s="290" t="s">
        <v>572</v>
      </c>
      <c r="C417" s="339" t="s">
        <v>568</v>
      </c>
      <c r="D417" s="292" t="s">
        <v>70</v>
      </c>
      <c r="E417" s="293">
        <f>360/43</f>
        <v>8.3720930232558146</v>
      </c>
      <c r="F417" s="293" t="s">
        <v>39</v>
      </c>
      <c r="G417" s="294">
        <v>220000</v>
      </c>
      <c r="H417" s="287">
        <v>1</v>
      </c>
      <c r="I417" s="295">
        <f>+G417/E417</f>
        <v>26277.777777777777</v>
      </c>
      <c r="J417" s="260" t="s">
        <v>89</v>
      </c>
    </row>
    <row r="418" spans="1:10" ht="25" hidden="1" customHeight="1">
      <c r="A418" s="289"/>
      <c r="B418" s="290" t="s">
        <v>573</v>
      </c>
      <c r="C418" s="339" t="s">
        <v>568</v>
      </c>
      <c r="D418" s="292" t="s">
        <v>72</v>
      </c>
      <c r="E418" s="293">
        <f>360/43</f>
        <v>8.3720930232558146</v>
      </c>
      <c r="F418" s="293" t="s">
        <v>39</v>
      </c>
      <c r="G418" s="294">
        <v>250000</v>
      </c>
      <c r="H418" s="287">
        <v>1</v>
      </c>
      <c r="I418" s="295">
        <f>+G418/E418</f>
        <v>29861.111111111109</v>
      </c>
      <c r="J418" s="260" t="s">
        <v>89</v>
      </c>
    </row>
    <row r="419" spans="1:10" ht="25" hidden="1" customHeight="1">
      <c r="A419" s="296"/>
      <c r="B419" s="297" t="s">
        <v>574</v>
      </c>
      <c r="C419" s="340" t="s">
        <v>568</v>
      </c>
      <c r="D419" s="299" t="s">
        <v>74</v>
      </c>
      <c r="E419" s="300">
        <f>360/29</f>
        <v>12.413793103448276</v>
      </c>
      <c r="F419" s="300" t="s">
        <v>39</v>
      </c>
      <c r="G419" s="301">
        <v>300000</v>
      </c>
      <c r="H419" s="287">
        <v>1</v>
      </c>
      <c r="I419" s="302">
        <f>+G419/E419</f>
        <v>24166.666666666668</v>
      </c>
      <c r="J419" s="260" t="s">
        <v>89</v>
      </c>
    </row>
    <row r="420" spans="1:10" ht="25" hidden="1" customHeight="1">
      <c r="A420" s="281"/>
      <c r="B420" s="282" t="s">
        <v>575</v>
      </c>
      <c r="C420" s="338" t="s">
        <v>576</v>
      </c>
      <c r="D420" s="284" t="s">
        <v>63</v>
      </c>
      <c r="E420" s="285"/>
      <c r="F420" s="285" t="s">
        <v>31</v>
      </c>
      <c r="G420" s="286">
        <v>36000</v>
      </c>
      <c r="H420" s="287">
        <v>0.5</v>
      </c>
      <c r="I420" s="288">
        <f>+G420</f>
        <v>36000</v>
      </c>
      <c r="J420" s="260" t="s">
        <v>89</v>
      </c>
    </row>
    <row r="421" spans="1:10" ht="25" hidden="1" customHeight="1">
      <c r="A421" s="289"/>
      <c r="B421" s="290" t="s">
        <v>577</v>
      </c>
      <c r="C421" s="339" t="s">
        <v>576</v>
      </c>
      <c r="D421" s="292" t="s">
        <v>66</v>
      </c>
      <c r="E421" s="293">
        <f>360/72</f>
        <v>5</v>
      </c>
      <c r="F421" s="293" t="s">
        <v>39</v>
      </c>
      <c r="G421" s="294">
        <v>45000</v>
      </c>
      <c r="H421" s="287">
        <v>0.5</v>
      </c>
      <c r="I421" s="295">
        <f>+G421/E421</f>
        <v>9000</v>
      </c>
      <c r="J421" s="260" t="s">
        <v>89</v>
      </c>
    </row>
    <row r="422" spans="1:10" ht="25" hidden="1" customHeight="1">
      <c r="A422" s="289"/>
      <c r="B422" s="290" t="s">
        <v>578</v>
      </c>
      <c r="C422" s="339" t="s">
        <v>576</v>
      </c>
      <c r="D422" s="292" t="s">
        <v>68</v>
      </c>
      <c r="E422" s="293">
        <f>360/54</f>
        <v>6.666666666666667</v>
      </c>
      <c r="F422" s="293" t="s">
        <v>39</v>
      </c>
      <c r="G422" s="294">
        <v>80000</v>
      </c>
      <c r="H422" s="287">
        <v>0.5</v>
      </c>
      <c r="I422" s="295">
        <f>+G422/E422</f>
        <v>12000</v>
      </c>
      <c r="J422" s="260" t="s">
        <v>89</v>
      </c>
    </row>
    <row r="423" spans="1:10" ht="25" hidden="1" customHeight="1">
      <c r="A423" s="289"/>
      <c r="B423" s="290" t="s">
        <v>579</v>
      </c>
      <c r="C423" s="339" t="s">
        <v>576</v>
      </c>
      <c r="D423" s="292" t="s">
        <v>70</v>
      </c>
      <c r="E423" s="293">
        <f>360/43</f>
        <v>8.3720930232558146</v>
      </c>
      <c r="F423" s="293" t="s">
        <v>39</v>
      </c>
      <c r="G423" s="294">
        <v>220000</v>
      </c>
      <c r="H423" s="287">
        <v>0.5</v>
      </c>
      <c r="I423" s="295">
        <f>+G423/E423</f>
        <v>26277.777777777777</v>
      </c>
      <c r="J423" s="260" t="s">
        <v>89</v>
      </c>
    </row>
    <row r="424" spans="1:10" ht="25" hidden="1" customHeight="1">
      <c r="A424" s="289"/>
      <c r="B424" s="290" t="s">
        <v>580</v>
      </c>
      <c r="C424" s="339" t="s">
        <v>576</v>
      </c>
      <c r="D424" s="292" t="s">
        <v>72</v>
      </c>
      <c r="E424" s="293">
        <f>360/43</f>
        <v>8.3720930232558146</v>
      </c>
      <c r="F424" s="293" t="s">
        <v>39</v>
      </c>
      <c r="G424" s="294">
        <v>250000</v>
      </c>
      <c r="H424" s="287">
        <v>0.5</v>
      </c>
      <c r="I424" s="295">
        <f>+G424/E424</f>
        <v>29861.111111111109</v>
      </c>
      <c r="J424" s="260" t="s">
        <v>89</v>
      </c>
    </row>
    <row r="425" spans="1:10" ht="25" hidden="1" customHeight="1">
      <c r="A425" s="296"/>
      <c r="B425" s="297" t="s">
        <v>581</v>
      </c>
      <c r="C425" s="340" t="s">
        <v>576</v>
      </c>
      <c r="D425" s="299" t="s">
        <v>74</v>
      </c>
      <c r="E425" s="300">
        <f>360/29</f>
        <v>12.413793103448276</v>
      </c>
      <c r="F425" s="300" t="s">
        <v>39</v>
      </c>
      <c r="G425" s="301">
        <v>300000</v>
      </c>
      <c r="H425" s="287">
        <v>0.5</v>
      </c>
      <c r="I425" s="302">
        <f>+G425/E425</f>
        <v>24166.666666666668</v>
      </c>
      <c r="J425" s="260" t="s">
        <v>89</v>
      </c>
    </row>
    <row r="426" spans="1:10" ht="25" hidden="1" customHeight="1">
      <c r="A426" s="397"/>
      <c r="B426" s="398" t="s">
        <v>582</v>
      </c>
      <c r="C426" s="399" t="s">
        <v>583</v>
      </c>
      <c r="D426" s="385" t="s">
        <v>584</v>
      </c>
      <c r="E426" s="400">
        <v>0.5</v>
      </c>
      <c r="F426" s="400" t="s">
        <v>39</v>
      </c>
      <c r="G426" s="401">
        <v>70000</v>
      </c>
      <c r="H426" s="287">
        <v>0.5</v>
      </c>
      <c r="I426" s="402"/>
    </row>
    <row r="427" spans="1:10" ht="25" hidden="1" customHeight="1">
      <c r="A427" s="289"/>
      <c r="B427" s="290" t="s">
        <v>585</v>
      </c>
      <c r="C427" s="339" t="s">
        <v>583</v>
      </c>
      <c r="D427" s="292" t="s">
        <v>40</v>
      </c>
      <c r="E427" s="293">
        <v>1</v>
      </c>
      <c r="F427" s="293" t="s">
        <v>39</v>
      </c>
      <c r="G427" s="294">
        <v>90000</v>
      </c>
      <c r="H427" s="287">
        <v>0.5</v>
      </c>
      <c r="I427" s="403"/>
      <c r="J427" s="260" t="s">
        <v>89</v>
      </c>
    </row>
    <row r="428" spans="1:10" ht="25" hidden="1" customHeight="1">
      <c r="A428" s="289"/>
      <c r="B428" s="290" t="s">
        <v>586</v>
      </c>
      <c r="C428" s="339" t="s">
        <v>583</v>
      </c>
      <c r="D428" s="292" t="s">
        <v>587</v>
      </c>
      <c r="E428" s="293">
        <v>1</v>
      </c>
      <c r="F428" s="293" t="s">
        <v>39</v>
      </c>
      <c r="G428" s="294">
        <v>120000</v>
      </c>
      <c r="H428" s="287">
        <v>0.5</v>
      </c>
      <c r="I428" s="403"/>
      <c r="J428" s="260" t="s">
        <v>89</v>
      </c>
    </row>
    <row r="429" spans="1:10" ht="25" hidden="1" customHeight="1">
      <c r="A429" s="289"/>
      <c r="B429" s="290" t="s">
        <v>588</v>
      </c>
      <c r="C429" s="339" t="s">
        <v>583</v>
      </c>
      <c r="D429" s="292" t="s">
        <v>589</v>
      </c>
      <c r="E429" s="293">
        <v>2</v>
      </c>
      <c r="F429" s="293" t="s">
        <v>39</v>
      </c>
      <c r="G429" s="294">
        <v>250000</v>
      </c>
      <c r="H429" s="287">
        <v>0.5</v>
      </c>
      <c r="I429" s="403"/>
      <c r="J429" s="260" t="s">
        <v>89</v>
      </c>
    </row>
    <row r="430" spans="1:10" ht="25" hidden="1" customHeight="1">
      <c r="A430" s="289"/>
      <c r="B430" s="290" t="s">
        <v>590</v>
      </c>
      <c r="C430" s="339" t="s">
        <v>583</v>
      </c>
      <c r="D430" s="292" t="s">
        <v>429</v>
      </c>
      <c r="E430" s="293">
        <v>2</v>
      </c>
      <c r="F430" s="293" t="s">
        <v>39</v>
      </c>
      <c r="G430" s="294">
        <v>300000</v>
      </c>
      <c r="H430" s="287">
        <v>0.5</v>
      </c>
      <c r="I430" s="403"/>
      <c r="J430" s="260" t="s">
        <v>89</v>
      </c>
    </row>
    <row r="431" spans="1:10" ht="25" hidden="1" customHeight="1">
      <c r="A431" s="289"/>
      <c r="B431" s="290" t="s">
        <v>591</v>
      </c>
      <c r="C431" s="339" t="s">
        <v>583</v>
      </c>
      <c r="D431" s="292" t="s">
        <v>94</v>
      </c>
      <c r="E431" s="293">
        <v>2</v>
      </c>
      <c r="F431" s="293" t="s">
        <v>39</v>
      </c>
      <c r="G431" s="294">
        <v>350000</v>
      </c>
      <c r="H431" s="287">
        <v>0.5</v>
      </c>
      <c r="I431" s="403"/>
      <c r="J431" s="260" t="s">
        <v>89</v>
      </c>
    </row>
    <row r="432" spans="1:10" ht="25" hidden="1" customHeight="1">
      <c r="A432" s="296"/>
      <c r="B432" s="297" t="s">
        <v>592</v>
      </c>
      <c r="C432" s="340" t="s">
        <v>593</v>
      </c>
      <c r="D432" s="299" t="s">
        <v>587</v>
      </c>
      <c r="E432" s="300">
        <v>1</v>
      </c>
      <c r="F432" s="300" t="s">
        <v>39</v>
      </c>
      <c r="G432" s="301">
        <v>120000</v>
      </c>
      <c r="H432" s="325">
        <v>0.3</v>
      </c>
      <c r="I432" s="404"/>
      <c r="J432" s="260" t="s">
        <v>89</v>
      </c>
    </row>
    <row r="433" spans="1:10" ht="25" hidden="1" customHeight="1">
      <c r="A433" s="358"/>
      <c r="B433" s="359" t="s">
        <v>594</v>
      </c>
      <c r="C433" s="405" t="s">
        <v>593</v>
      </c>
      <c r="D433" s="360" t="s">
        <v>589</v>
      </c>
      <c r="E433" s="406">
        <v>2</v>
      </c>
      <c r="F433" s="406" t="s">
        <v>39</v>
      </c>
      <c r="G433" s="407">
        <v>250000</v>
      </c>
      <c r="H433" s="408">
        <v>0.3</v>
      </c>
      <c r="I433" s="361"/>
      <c r="J433" s="260" t="s">
        <v>89</v>
      </c>
    </row>
    <row r="434" spans="1:10" ht="25" hidden="1" customHeight="1">
      <c r="A434" s="289"/>
      <c r="B434" s="290" t="s">
        <v>595</v>
      </c>
      <c r="C434" s="339" t="s">
        <v>593</v>
      </c>
      <c r="D434" s="292" t="s">
        <v>429</v>
      </c>
      <c r="E434" s="293">
        <v>2</v>
      </c>
      <c r="F434" s="293" t="s">
        <v>39</v>
      </c>
      <c r="G434" s="294">
        <v>300000</v>
      </c>
      <c r="H434" s="408">
        <v>0.3</v>
      </c>
      <c r="I434" s="295"/>
      <c r="J434" s="260" t="s">
        <v>89</v>
      </c>
    </row>
    <row r="435" spans="1:10" ht="25" hidden="1" customHeight="1">
      <c r="A435" s="289"/>
      <c r="B435" s="290" t="s">
        <v>596</v>
      </c>
      <c r="C435" s="339" t="s">
        <v>593</v>
      </c>
      <c r="D435" s="292" t="s">
        <v>94</v>
      </c>
      <c r="E435" s="293">
        <v>2</v>
      </c>
      <c r="F435" s="293" t="s">
        <v>39</v>
      </c>
      <c r="G435" s="294">
        <v>350000</v>
      </c>
      <c r="H435" s="408">
        <v>0.3</v>
      </c>
      <c r="I435" s="295"/>
      <c r="J435" s="260" t="s">
        <v>89</v>
      </c>
    </row>
    <row r="436" spans="1:10" ht="25" hidden="1" customHeight="1">
      <c r="A436" s="409"/>
      <c r="B436" s="410"/>
      <c r="C436" s="411" t="s">
        <v>597</v>
      </c>
      <c r="D436" s="412"/>
      <c r="E436" s="413"/>
      <c r="F436" s="413"/>
      <c r="G436" s="414"/>
      <c r="H436" s="415"/>
      <c r="I436" s="416"/>
      <c r="J436" s="260" t="s">
        <v>598</v>
      </c>
    </row>
    <row r="437" spans="1:10" ht="25" hidden="1" customHeight="1">
      <c r="A437" s="289"/>
      <c r="B437" s="290" t="s">
        <v>599</v>
      </c>
      <c r="C437" s="339" t="s">
        <v>600</v>
      </c>
      <c r="D437" s="292" t="s">
        <v>584</v>
      </c>
      <c r="E437" s="293">
        <v>0.5</v>
      </c>
      <c r="F437" s="293" t="s">
        <v>39</v>
      </c>
      <c r="G437" s="294">
        <v>70000</v>
      </c>
      <c r="H437" s="387">
        <v>1</v>
      </c>
      <c r="I437" s="295"/>
      <c r="J437" s="260" t="s">
        <v>89</v>
      </c>
    </row>
    <row r="438" spans="1:10" ht="25" hidden="1" customHeight="1">
      <c r="A438" s="289"/>
      <c r="B438" s="290" t="s">
        <v>601</v>
      </c>
      <c r="C438" s="339" t="s">
        <v>600</v>
      </c>
      <c r="D438" s="292" t="s">
        <v>40</v>
      </c>
      <c r="E438" s="293">
        <v>1</v>
      </c>
      <c r="F438" s="293" t="s">
        <v>39</v>
      </c>
      <c r="G438" s="294">
        <v>90000</v>
      </c>
      <c r="H438" s="387">
        <v>1</v>
      </c>
      <c r="I438" s="295"/>
      <c r="J438" s="260" t="s">
        <v>89</v>
      </c>
    </row>
    <row r="439" spans="1:10" ht="25" hidden="1" customHeight="1">
      <c r="A439" s="289"/>
      <c r="B439" s="290" t="s">
        <v>602</v>
      </c>
      <c r="C439" s="345" t="s">
        <v>600</v>
      </c>
      <c r="D439" s="292" t="s">
        <v>587</v>
      </c>
      <c r="E439" s="293">
        <v>1</v>
      </c>
      <c r="F439" s="293" t="s">
        <v>39</v>
      </c>
      <c r="G439" s="294">
        <v>120000</v>
      </c>
      <c r="H439" s="387">
        <v>1</v>
      </c>
      <c r="I439" s="295"/>
      <c r="J439" s="260" t="s">
        <v>89</v>
      </c>
    </row>
    <row r="440" spans="1:10" ht="25" hidden="1" customHeight="1">
      <c r="A440" s="343"/>
      <c r="B440" s="344" t="s">
        <v>603</v>
      </c>
      <c r="C440" s="345" t="s">
        <v>600</v>
      </c>
      <c r="D440" s="292" t="s">
        <v>589</v>
      </c>
      <c r="E440" s="347">
        <v>2</v>
      </c>
      <c r="F440" s="293" t="s">
        <v>39</v>
      </c>
      <c r="G440" s="294">
        <v>250000</v>
      </c>
      <c r="H440" s="387">
        <v>1</v>
      </c>
      <c r="I440" s="417"/>
      <c r="J440" s="260" t="s">
        <v>89</v>
      </c>
    </row>
    <row r="441" spans="1:10" ht="25" hidden="1" customHeight="1">
      <c r="A441" s="289"/>
      <c r="B441" s="290" t="s">
        <v>604</v>
      </c>
      <c r="C441" s="345" t="s">
        <v>600</v>
      </c>
      <c r="D441" s="292" t="s">
        <v>429</v>
      </c>
      <c r="E441" s="293">
        <v>2</v>
      </c>
      <c r="F441" s="293" t="s">
        <v>39</v>
      </c>
      <c r="G441" s="294">
        <v>300000</v>
      </c>
      <c r="H441" s="387">
        <v>1</v>
      </c>
      <c r="I441" s="295"/>
      <c r="J441" s="260" t="s">
        <v>89</v>
      </c>
    </row>
    <row r="442" spans="1:10" ht="25" hidden="1" customHeight="1">
      <c r="A442" s="343"/>
      <c r="B442" s="344" t="s">
        <v>605</v>
      </c>
      <c r="C442" s="345" t="s">
        <v>600</v>
      </c>
      <c r="D442" s="292" t="s">
        <v>94</v>
      </c>
      <c r="E442" s="347">
        <v>2</v>
      </c>
      <c r="F442" s="293" t="s">
        <v>39</v>
      </c>
      <c r="G442" s="294">
        <v>350000</v>
      </c>
      <c r="H442" s="387">
        <v>1</v>
      </c>
      <c r="I442" s="417"/>
      <c r="J442" s="260" t="s">
        <v>89</v>
      </c>
    </row>
    <row r="443" spans="1:10" ht="25" hidden="1" customHeight="1">
      <c r="A443" s="274"/>
      <c r="B443" s="319"/>
      <c r="C443" s="418" t="s">
        <v>606</v>
      </c>
      <c r="D443" s="321"/>
      <c r="E443" s="277"/>
      <c r="F443" s="277"/>
      <c r="G443" s="322"/>
      <c r="H443" s="280"/>
      <c r="I443" s="279"/>
    </row>
    <row r="444" spans="1:10" ht="25" hidden="1" customHeight="1">
      <c r="A444" s="289"/>
      <c r="B444" s="290" t="s">
        <v>607</v>
      </c>
      <c r="C444" s="339" t="s">
        <v>608</v>
      </c>
      <c r="D444" s="292" t="s">
        <v>584</v>
      </c>
      <c r="E444" s="293">
        <v>0.5</v>
      </c>
      <c r="F444" s="293" t="s">
        <v>39</v>
      </c>
      <c r="G444" s="294">
        <v>70000</v>
      </c>
      <c r="H444" s="325">
        <v>1</v>
      </c>
      <c r="I444" s="295"/>
      <c r="J444" s="260" t="s">
        <v>89</v>
      </c>
    </row>
    <row r="445" spans="1:10" ht="25" hidden="1" customHeight="1">
      <c r="A445" s="289"/>
      <c r="B445" s="290" t="s">
        <v>609</v>
      </c>
      <c r="C445" s="339" t="s">
        <v>608</v>
      </c>
      <c r="D445" s="292" t="s">
        <v>40</v>
      </c>
      <c r="E445" s="293">
        <v>1</v>
      </c>
      <c r="F445" s="293" t="s">
        <v>39</v>
      </c>
      <c r="G445" s="294">
        <v>90000</v>
      </c>
      <c r="H445" s="325">
        <v>1</v>
      </c>
      <c r="I445" s="295"/>
      <c r="J445" s="260" t="s">
        <v>89</v>
      </c>
    </row>
    <row r="446" spans="1:10" ht="25" hidden="1" customHeight="1">
      <c r="A446" s="289"/>
      <c r="B446" s="290" t="s">
        <v>610</v>
      </c>
      <c r="C446" s="339" t="s">
        <v>608</v>
      </c>
      <c r="D446" s="292" t="s">
        <v>587</v>
      </c>
      <c r="E446" s="293">
        <v>1</v>
      </c>
      <c r="F446" s="293" t="s">
        <v>39</v>
      </c>
      <c r="G446" s="294">
        <v>120000</v>
      </c>
      <c r="H446" s="325">
        <v>1</v>
      </c>
      <c r="I446" s="295"/>
      <c r="J446" s="260" t="s">
        <v>89</v>
      </c>
    </row>
    <row r="447" spans="1:10" ht="25" hidden="1" customHeight="1">
      <c r="A447" s="289"/>
      <c r="B447" s="290" t="s">
        <v>611</v>
      </c>
      <c r="C447" s="339" t="s">
        <v>608</v>
      </c>
      <c r="D447" s="292" t="s">
        <v>589</v>
      </c>
      <c r="E447" s="293">
        <v>2</v>
      </c>
      <c r="F447" s="293" t="s">
        <v>39</v>
      </c>
      <c r="G447" s="294">
        <v>250000</v>
      </c>
      <c r="H447" s="325">
        <v>1</v>
      </c>
      <c r="I447" s="295"/>
      <c r="J447" s="260" t="s">
        <v>89</v>
      </c>
    </row>
    <row r="448" spans="1:10" ht="25" hidden="1" customHeight="1">
      <c r="A448" s="289"/>
      <c r="B448" s="290" t="s">
        <v>612</v>
      </c>
      <c r="C448" s="339" t="s">
        <v>608</v>
      </c>
      <c r="D448" s="292" t="s">
        <v>429</v>
      </c>
      <c r="E448" s="293">
        <v>2</v>
      </c>
      <c r="F448" s="293" t="s">
        <v>39</v>
      </c>
      <c r="G448" s="294">
        <v>300000</v>
      </c>
      <c r="H448" s="325">
        <v>1</v>
      </c>
      <c r="I448" s="295"/>
      <c r="J448" s="260" t="s">
        <v>89</v>
      </c>
    </row>
    <row r="449" spans="1:10" ht="25" hidden="1" customHeight="1">
      <c r="A449" s="289"/>
      <c r="B449" s="290" t="s">
        <v>613</v>
      </c>
      <c r="C449" s="339" t="s">
        <v>608</v>
      </c>
      <c r="D449" s="292" t="s">
        <v>94</v>
      </c>
      <c r="E449" s="293">
        <v>2</v>
      </c>
      <c r="F449" s="293" t="s">
        <v>39</v>
      </c>
      <c r="G449" s="294">
        <v>350000</v>
      </c>
      <c r="H449" s="325">
        <v>1</v>
      </c>
      <c r="I449" s="295"/>
      <c r="J449" s="260" t="s">
        <v>89</v>
      </c>
    </row>
    <row r="450" spans="1:10" ht="25" hidden="1" customHeight="1">
      <c r="A450" s="289"/>
      <c r="B450" s="290" t="s">
        <v>614</v>
      </c>
      <c r="C450" s="339" t="s">
        <v>615</v>
      </c>
      <c r="D450" s="292" t="s">
        <v>584</v>
      </c>
      <c r="E450" s="293">
        <v>0.5</v>
      </c>
      <c r="F450" s="293" t="s">
        <v>39</v>
      </c>
      <c r="G450" s="294">
        <v>70000</v>
      </c>
      <c r="H450" s="325">
        <v>0.5</v>
      </c>
      <c r="I450" s="295"/>
      <c r="J450" s="260" t="s">
        <v>89</v>
      </c>
    </row>
    <row r="451" spans="1:10" ht="25" hidden="1" customHeight="1">
      <c r="A451" s="343"/>
      <c r="B451" s="344" t="s">
        <v>616</v>
      </c>
      <c r="C451" s="339" t="s">
        <v>615</v>
      </c>
      <c r="D451" s="292" t="s">
        <v>40</v>
      </c>
      <c r="E451" s="347">
        <v>1</v>
      </c>
      <c r="F451" s="347" t="s">
        <v>39</v>
      </c>
      <c r="G451" s="294">
        <v>90000</v>
      </c>
      <c r="H451" s="325">
        <v>0.5</v>
      </c>
      <c r="I451" s="350"/>
      <c r="J451" s="260" t="s">
        <v>89</v>
      </c>
    </row>
    <row r="452" spans="1:10" s="420" customFormat="1" ht="25" hidden="1" customHeight="1">
      <c r="A452" s="397"/>
      <c r="B452" s="290" t="s">
        <v>617</v>
      </c>
      <c r="C452" s="339" t="s">
        <v>615</v>
      </c>
      <c r="D452" s="292" t="s">
        <v>587</v>
      </c>
      <c r="E452" s="400"/>
      <c r="F452" s="347" t="s">
        <v>39</v>
      </c>
      <c r="G452" s="294">
        <v>120000</v>
      </c>
      <c r="H452" s="325">
        <v>0.5</v>
      </c>
      <c r="I452" s="419"/>
    </row>
    <row r="453" spans="1:10" s="420" customFormat="1" ht="25" hidden="1" customHeight="1">
      <c r="A453" s="397"/>
      <c r="B453" s="290" t="s">
        <v>618</v>
      </c>
      <c r="C453" s="339" t="s">
        <v>615</v>
      </c>
      <c r="D453" s="292" t="s">
        <v>589</v>
      </c>
      <c r="E453" s="400"/>
      <c r="F453" s="347" t="s">
        <v>39</v>
      </c>
      <c r="G453" s="294">
        <v>250000</v>
      </c>
      <c r="H453" s="325">
        <v>0.5</v>
      </c>
      <c r="I453" s="419"/>
    </row>
    <row r="454" spans="1:10" s="420" customFormat="1" ht="25" hidden="1" customHeight="1">
      <c r="A454" s="397"/>
      <c r="B454" s="290" t="s">
        <v>619</v>
      </c>
      <c r="C454" s="339" t="s">
        <v>615</v>
      </c>
      <c r="D454" s="292" t="s">
        <v>429</v>
      </c>
      <c r="E454" s="400"/>
      <c r="F454" s="347" t="s">
        <v>39</v>
      </c>
      <c r="G454" s="294">
        <v>300000</v>
      </c>
      <c r="H454" s="325">
        <v>0.5</v>
      </c>
      <c r="I454" s="419"/>
    </row>
    <row r="455" spans="1:10" s="420" customFormat="1" ht="25" hidden="1" customHeight="1">
      <c r="A455" s="397"/>
      <c r="B455" s="290" t="s">
        <v>620</v>
      </c>
      <c r="C455" s="339" t="s">
        <v>615</v>
      </c>
      <c r="D455" s="292" t="s">
        <v>94</v>
      </c>
      <c r="E455" s="400"/>
      <c r="F455" s="347" t="s">
        <v>39</v>
      </c>
      <c r="G455" s="294">
        <v>350000</v>
      </c>
      <c r="H455" s="325">
        <v>0.5</v>
      </c>
      <c r="I455" s="419"/>
    </row>
    <row r="456" spans="1:10" ht="25" hidden="1" customHeight="1">
      <c r="A456" s="421"/>
      <c r="B456" s="422"/>
      <c r="C456" s="423" t="s">
        <v>621</v>
      </c>
      <c r="D456" s="424"/>
      <c r="E456" s="425"/>
      <c r="F456" s="425"/>
      <c r="G456" s="426"/>
      <c r="H456" s="427"/>
      <c r="I456" s="428"/>
    </row>
    <row r="457" spans="1:10" ht="25" hidden="1" customHeight="1">
      <c r="A457" s="289"/>
      <c r="B457" s="290" t="s">
        <v>622</v>
      </c>
      <c r="C457" s="339" t="s">
        <v>621</v>
      </c>
      <c r="D457" s="292" t="s">
        <v>63</v>
      </c>
      <c r="E457" s="293"/>
      <c r="F457" s="293" t="s">
        <v>31</v>
      </c>
      <c r="G457" s="294">
        <v>33000</v>
      </c>
      <c r="H457" s="325">
        <v>1</v>
      </c>
      <c r="I457" s="295"/>
      <c r="J457" s="260" t="s">
        <v>89</v>
      </c>
    </row>
    <row r="458" spans="1:10" ht="25" hidden="1" customHeight="1">
      <c r="A458" s="289"/>
      <c r="B458" s="290" t="s">
        <v>623</v>
      </c>
      <c r="C458" s="339" t="s">
        <v>621</v>
      </c>
      <c r="D458" s="292" t="s">
        <v>478</v>
      </c>
      <c r="E458" s="293">
        <v>4</v>
      </c>
      <c r="F458" s="293" t="s">
        <v>39</v>
      </c>
      <c r="G458" s="294">
        <v>33000</v>
      </c>
      <c r="H458" s="325">
        <v>1</v>
      </c>
      <c r="I458" s="295"/>
      <c r="J458" s="260" t="s">
        <v>89</v>
      </c>
    </row>
    <row r="459" spans="1:10" ht="25" hidden="1" customHeight="1">
      <c r="A459" s="289"/>
      <c r="B459" s="290" t="s">
        <v>624</v>
      </c>
      <c r="C459" s="339" t="s">
        <v>621</v>
      </c>
      <c r="D459" s="292" t="s">
        <v>625</v>
      </c>
      <c r="E459" s="293">
        <v>4</v>
      </c>
      <c r="F459" s="293" t="s">
        <v>39</v>
      </c>
      <c r="G459" s="294">
        <v>55000</v>
      </c>
      <c r="H459" s="325">
        <v>1</v>
      </c>
      <c r="I459" s="295"/>
      <c r="J459" s="260" t="s">
        <v>89</v>
      </c>
    </row>
    <row r="460" spans="1:10" ht="25" hidden="1" customHeight="1">
      <c r="A460" s="289"/>
      <c r="B460" s="290" t="s">
        <v>626</v>
      </c>
      <c r="C460" s="339" t="s">
        <v>621</v>
      </c>
      <c r="D460" s="292" t="s">
        <v>627</v>
      </c>
      <c r="E460" s="293">
        <v>5</v>
      </c>
      <c r="F460" s="293" t="s">
        <v>39</v>
      </c>
      <c r="G460" s="294">
        <v>80000</v>
      </c>
      <c r="H460" s="325">
        <v>1</v>
      </c>
      <c r="I460" s="295"/>
      <c r="J460" s="260" t="s">
        <v>89</v>
      </c>
    </row>
    <row r="461" spans="1:10" ht="25" hidden="1" customHeight="1">
      <c r="A461" s="289"/>
      <c r="B461" s="290" t="s">
        <v>628</v>
      </c>
      <c r="C461" s="339" t="s">
        <v>621</v>
      </c>
      <c r="D461" s="292" t="s">
        <v>629</v>
      </c>
      <c r="E461" s="293">
        <v>5</v>
      </c>
      <c r="F461" s="293" t="s">
        <v>39</v>
      </c>
      <c r="G461" s="294">
        <v>100000</v>
      </c>
      <c r="H461" s="325">
        <v>1</v>
      </c>
      <c r="I461" s="295"/>
      <c r="J461" s="260" t="s">
        <v>89</v>
      </c>
    </row>
    <row r="462" spans="1:10" ht="25" hidden="1" customHeight="1">
      <c r="A462" s="289"/>
      <c r="B462" s="290" t="s">
        <v>630</v>
      </c>
      <c r="C462" s="339" t="s">
        <v>621</v>
      </c>
      <c r="D462" s="292" t="s">
        <v>631</v>
      </c>
      <c r="E462" s="293">
        <v>5</v>
      </c>
      <c r="F462" s="293" t="s">
        <v>39</v>
      </c>
      <c r="G462" s="294">
        <v>200000</v>
      </c>
      <c r="H462" s="325">
        <v>1</v>
      </c>
      <c r="I462" s="295"/>
      <c r="J462" s="260" t="s">
        <v>89</v>
      </c>
    </row>
    <row r="463" spans="1:10" ht="25" hidden="1" customHeight="1">
      <c r="A463" s="289"/>
      <c r="B463" s="290" t="s">
        <v>632</v>
      </c>
      <c r="C463" s="339" t="s">
        <v>621</v>
      </c>
      <c r="D463" s="292" t="s">
        <v>633</v>
      </c>
      <c r="E463" s="293">
        <v>5</v>
      </c>
      <c r="F463" s="293" t="s">
        <v>39</v>
      </c>
      <c r="G463" s="294">
        <v>220000</v>
      </c>
      <c r="H463" s="325">
        <v>1</v>
      </c>
      <c r="I463" s="295"/>
      <c r="J463" s="260" t="s">
        <v>89</v>
      </c>
    </row>
    <row r="464" spans="1:10" ht="25" hidden="1" customHeight="1">
      <c r="A464" s="289"/>
      <c r="B464" s="290" t="s">
        <v>634</v>
      </c>
      <c r="C464" s="339" t="s">
        <v>635</v>
      </c>
      <c r="D464" s="292" t="s">
        <v>63</v>
      </c>
      <c r="E464" s="293"/>
      <c r="F464" s="293" t="s">
        <v>31</v>
      </c>
      <c r="G464" s="294">
        <v>33000</v>
      </c>
      <c r="H464" s="325">
        <v>0.5</v>
      </c>
      <c r="I464" s="295"/>
      <c r="J464" s="260" t="s">
        <v>89</v>
      </c>
    </row>
    <row r="465" spans="1:10" ht="25" hidden="1" customHeight="1">
      <c r="A465" s="289"/>
      <c r="B465" s="290" t="s">
        <v>636</v>
      </c>
      <c r="C465" s="339" t="s">
        <v>635</v>
      </c>
      <c r="D465" s="292" t="s">
        <v>478</v>
      </c>
      <c r="E465" s="293">
        <v>4</v>
      </c>
      <c r="F465" s="293" t="s">
        <v>39</v>
      </c>
      <c r="G465" s="294">
        <v>33000</v>
      </c>
      <c r="H465" s="325">
        <v>0.5</v>
      </c>
      <c r="I465" s="295"/>
      <c r="J465" s="260" t="s">
        <v>89</v>
      </c>
    </row>
    <row r="466" spans="1:10" ht="25" hidden="1" customHeight="1">
      <c r="A466" s="289"/>
      <c r="B466" s="290" t="s">
        <v>637</v>
      </c>
      <c r="C466" s="339" t="s">
        <v>635</v>
      </c>
      <c r="D466" s="292" t="s">
        <v>625</v>
      </c>
      <c r="E466" s="293">
        <v>4</v>
      </c>
      <c r="F466" s="293" t="s">
        <v>39</v>
      </c>
      <c r="G466" s="294">
        <v>55000</v>
      </c>
      <c r="H466" s="325">
        <v>0.5</v>
      </c>
      <c r="I466" s="295"/>
      <c r="J466" s="260" t="s">
        <v>89</v>
      </c>
    </row>
    <row r="467" spans="1:10" ht="25" hidden="1" customHeight="1">
      <c r="A467" s="289"/>
      <c r="B467" s="290" t="s">
        <v>638</v>
      </c>
      <c r="C467" s="339" t="s">
        <v>635</v>
      </c>
      <c r="D467" s="292" t="s">
        <v>627</v>
      </c>
      <c r="E467" s="293">
        <v>5</v>
      </c>
      <c r="F467" s="293" t="s">
        <v>39</v>
      </c>
      <c r="G467" s="294">
        <v>80000</v>
      </c>
      <c r="H467" s="325">
        <v>0.5</v>
      </c>
      <c r="I467" s="295"/>
      <c r="J467" s="260" t="s">
        <v>89</v>
      </c>
    </row>
    <row r="468" spans="1:10" ht="25" hidden="1" customHeight="1">
      <c r="A468" s="289"/>
      <c r="B468" s="290" t="s">
        <v>639</v>
      </c>
      <c r="C468" s="339" t="s">
        <v>635</v>
      </c>
      <c r="D468" s="292" t="s">
        <v>629</v>
      </c>
      <c r="E468" s="293">
        <v>5</v>
      </c>
      <c r="F468" s="293" t="s">
        <v>39</v>
      </c>
      <c r="G468" s="294">
        <v>100000</v>
      </c>
      <c r="H468" s="325">
        <v>0.5</v>
      </c>
      <c r="I468" s="295"/>
      <c r="J468" s="260" t="s">
        <v>89</v>
      </c>
    </row>
    <row r="469" spans="1:10" ht="25" hidden="1" customHeight="1">
      <c r="A469" s="289"/>
      <c r="B469" s="290" t="s">
        <v>640</v>
      </c>
      <c r="C469" s="339" t="s">
        <v>635</v>
      </c>
      <c r="D469" s="292" t="s">
        <v>631</v>
      </c>
      <c r="E469" s="293">
        <v>6.666666666666667</v>
      </c>
      <c r="F469" s="293" t="s">
        <v>39</v>
      </c>
      <c r="G469" s="294">
        <v>200000</v>
      </c>
      <c r="H469" s="325">
        <v>0.5</v>
      </c>
      <c r="I469" s="295"/>
      <c r="J469" s="260" t="s">
        <v>89</v>
      </c>
    </row>
    <row r="470" spans="1:10" ht="25" hidden="1" customHeight="1">
      <c r="A470" s="289"/>
      <c r="B470" s="290" t="s">
        <v>641</v>
      </c>
      <c r="C470" s="339" t="s">
        <v>635</v>
      </c>
      <c r="D470" s="292" t="s">
        <v>633</v>
      </c>
      <c r="E470" s="293">
        <v>6.666666666666667</v>
      </c>
      <c r="F470" s="293" t="s">
        <v>39</v>
      </c>
      <c r="G470" s="294">
        <v>220000</v>
      </c>
      <c r="H470" s="325">
        <v>0.5</v>
      </c>
      <c r="I470" s="295"/>
      <c r="J470" s="260" t="s">
        <v>89</v>
      </c>
    </row>
    <row r="471" spans="1:10" ht="25" hidden="1" customHeight="1">
      <c r="A471" s="274"/>
      <c r="B471" s="319"/>
      <c r="C471" s="418" t="s">
        <v>642</v>
      </c>
      <c r="D471" s="321"/>
      <c r="E471" s="277"/>
      <c r="F471" s="277"/>
      <c r="G471" s="322"/>
      <c r="H471" s="280"/>
      <c r="I471" s="279"/>
    </row>
    <row r="472" spans="1:10" ht="25" hidden="1" customHeight="1">
      <c r="A472" s="289"/>
      <c r="B472" s="290" t="s">
        <v>643</v>
      </c>
      <c r="C472" s="339" t="s">
        <v>644</v>
      </c>
      <c r="D472" s="292" t="s">
        <v>63</v>
      </c>
      <c r="E472" s="293"/>
      <c r="F472" s="293" t="s">
        <v>31</v>
      </c>
      <c r="G472" s="294">
        <v>33000</v>
      </c>
      <c r="H472" s="325">
        <v>1</v>
      </c>
      <c r="I472" s="295"/>
      <c r="J472" s="260" t="s">
        <v>89</v>
      </c>
    </row>
    <row r="473" spans="1:10" ht="25" hidden="1" customHeight="1">
      <c r="A473" s="289"/>
      <c r="B473" s="290" t="s">
        <v>645</v>
      </c>
      <c r="C473" s="339" t="s">
        <v>644</v>
      </c>
      <c r="D473" s="292" t="s">
        <v>478</v>
      </c>
      <c r="E473" s="293">
        <v>4</v>
      </c>
      <c r="F473" s="293" t="s">
        <v>39</v>
      </c>
      <c r="G473" s="294">
        <v>33000</v>
      </c>
      <c r="H473" s="325">
        <v>1</v>
      </c>
      <c r="I473" s="295"/>
      <c r="J473" s="260" t="s">
        <v>89</v>
      </c>
    </row>
    <row r="474" spans="1:10" ht="25" hidden="1" customHeight="1">
      <c r="A474" s="289"/>
      <c r="B474" s="290" t="s">
        <v>646</v>
      </c>
      <c r="C474" s="339" t="s">
        <v>644</v>
      </c>
      <c r="D474" s="292" t="s">
        <v>625</v>
      </c>
      <c r="E474" s="293">
        <v>4</v>
      </c>
      <c r="F474" s="293" t="s">
        <v>39</v>
      </c>
      <c r="G474" s="294">
        <v>55000</v>
      </c>
      <c r="H474" s="325">
        <v>1</v>
      </c>
      <c r="I474" s="295"/>
      <c r="J474" s="260" t="s">
        <v>89</v>
      </c>
    </row>
    <row r="475" spans="1:10" ht="25" hidden="1" customHeight="1">
      <c r="A475" s="289"/>
      <c r="B475" s="290" t="s">
        <v>647</v>
      </c>
      <c r="C475" s="339" t="s">
        <v>644</v>
      </c>
      <c r="D475" s="292" t="s">
        <v>627</v>
      </c>
      <c r="E475" s="293">
        <v>5</v>
      </c>
      <c r="F475" s="293" t="s">
        <v>39</v>
      </c>
      <c r="G475" s="294">
        <v>80000</v>
      </c>
      <c r="H475" s="325">
        <v>1</v>
      </c>
      <c r="I475" s="295"/>
      <c r="J475" s="260" t="s">
        <v>89</v>
      </c>
    </row>
    <row r="476" spans="1:10" ht="25" hidden="1" customHeight="1">
      <c r="A476" s="289"/>
      <c r="B476" s="290" t="s">
        <v>648</v>
      </c>
      <c r="C476" s="339" t="s">
        <v>644</v>
      </c>
      <c r="D476" s="292" t="s">
        <v>629</v>
      </c>
      <c r="E476" s="293">
        <v>5</v>
      </c>
      <c r="F476" s="293" t="s">
        <v>39</v>
      </c>
      <c r="G476" s="294">
        <v>100000</v>
      </c>
      <c r="H476" s="325">
        <v>1</v>
      </c>
      <c r="I476" s="295"/>
      <c r="J476" s="260" t="s">
        <v>89</v>
      </c>
    </row>
    <row r="477" spans="1:10" ht="25" hidden="1" customHeight="1">
      <c r="A477" s="289"/>
      <c r="B477" s="290" t="s">
        <v>649</v>
      </c>
      <c r="C477" s="339" t="s">
        <v>644</v>
      </c>
      <c r="D477" s="292" t="s">
        <v>631</v>
      </c>
      <c r="E477" s="293">
        <v>6.666666666666667</v>
      </c>
      <c r="F477" s="293" t="s">
        <v>39</v>
      </c>
      <c r="G477" s="294">
        <v>200000</v>
      </c>
      <c r="H477" s="325">
        <v>1</v>
      </c>
      <c r="I477" s="295"/>
      <c r="J477" s="260" t="s">
        <v>89</v>
      </c>
    </row>
    <row r="478" spans="1:10" ht="25" hidden="1" customHeight="1">
      <c r="A478" s="289"/>
      <c r="B478" s="290" t="s">
        <v>650</v>
      </c>
      <c r="C478" s="339" t="s">
        <v>644</v>
      </c>
      <c r="D478" s="292" t="s">
        <v>633</v>
      </c>
      <c r="E478" s="293">
        <v>6.666666666666667</v>
      </c>
      <c r="F478" s="293" t="s">
        <v>39</v>
      </c>
      <c r="G478" s="294">
        <v>220000</v>
      </c>
      <c r="H478" s="325">
        <v>1</v>
      </c>
      <c r="I478" s="295"/>
      <c r="J478" s="260" t="s">
        <v>89</v>
      </c>
    </row>
    <row r="479" spans="1:10" ht="25" hidden="1" customHeight="1">
      <c r="A479" s="289"/>
      <c r="B479" s="290" t="s">
        <v>651</v>
      </c>
      <c r="C479" s="339" t="s">
        <v>652</v>
      </c>
      <c r="D479" s="292" t="s">
        <v>63</v>
      </c>
      <c r="E479" s="293"/>
      <c r="F479" s="293" t="s">
        <v>31</v>
      </c>
      <c r="G479" s="294">
        <v>33000</v>
      </c>
      <c r="H479" s="325">
        <v>0.5</v>
      </c>
      <c r="I479" s="295"/>
      <c r="J479" s="260" t="s">
        <v>89</v>
      </c>
    </row>
    <row r="480" spans="1:10" ht="25" hidden="1" customHeight="1">
      <c r="A480" s="289"/>
      <c r="B480" s="290" t="s">
        <v>653</v>
      </c>
      <c r="C480" s="339" t="s">
        <v>652</v>
      </c>
      <c r="D480" s="292" t="s">
        <v>478</v>
      </c>
      <c r="E480" s="293">
        <v>4</v>
      </c>
      <c r="F480" s="293" t="s">
        <v>39</v>
      </c>
      <c r="G480" s="294">
        <v>33000</v>
      </c>
      <c r="H480" s="325">
        <v>0.5</v>
      </c>
      <c r="I480" s="295"/>
      <c r="J480" s="260" t="s">
        <v>89</v>
      </c>
    </row>
    <row r="481" spans="1:10" ht="25" hidden="1" customHeight="1">
      <c r="A481" s="289"/>
      <c r="B481" s="290" t="s">
        <v>654</v>
      </c>
      <c r="C481" s="339" t="s">
        <v>652</v>
      </c>
      <c r="D481" s="292" t="s">
        <v>625</v>
      </c>
      <c r="E481" s="293">
        <v>4</v>
      </c>
      <c r="F481" s="293" t="s">
        <v>39</v>
      </c>
      <c r="G481" s="294">
        <v>55000</v>
      </c>
      <c r="H481" s="325">
        <v>0.5</v>
      </c>
      <c r="I481" s="295"/>
      <c r="J481" s="260" t="s">
        <v>89</v>
      </c>
    </row>
    <row r="482" spans="1:10" ht="25" hidden="1" customHeight="1">
      <c r="A482" s="289"/>
      <c r="B482" s="290" t="s">
        <v>655</v>
      </c>
      <c r="C482" s="339" t="s">
        <v>652</v>
      </c>
      <c r="D482" s="292" t="s">
        <v>627</v>
      </c>
      <c r="E482" s="293">
        <v>5</v>
      </c>
      <c r="F482" s="293" t="s">
        <v>39</v>
      </c>
      <c r="G482" s="294">
        <v>80000</v>
      </c>
      <c r="H482" s="325">
        <v>0.5</v>
      </c>
      <c r="I482" s="295"/>
      <c r="J482" s="260" t="s">
        <v>89</v>
      </c>
    </row>
    <row r="483" spans="1:10" ht="25" hidden="1" customHeight="1">
      <c r="A483" s="289"/>
      <c r="B483" s="290" t="s">
        <v>656</v>
      </c>
      <c r="C483" s="339" t="s">
        <v>652</v>
      </c>
      <c r="D483" s="292" t="s">
        <v>629</v>
      </c>
      <c r="E483" s="293">
        <v>5</v>
      </c>
      <c r="F483" s="293" t="s">
        <v>39</v>
      </c>
      <c r="G483" s="294">
        <v>100000</v>
      </c>
      <c r="H483" s="325">
        <v>0.5</v>
      </c>
      <c r="I483" s="295"/>
      <c r="J483" s="260" t="s">
        <v>89</v>
      </c>
    </row>
    <row r="484" spans="1:10" ht="25" hidden="1" customHeight="1">
      <c r="A484" s="289"/>
      <c r="B484" s="290" t="s">
        <v>657</v>
      </c>
      <c r="C484" s="339" t="s">
        <v>652</v>
      </c>
      <c r="D484" s="292" t="s">
        <v>631</v>
      </c>
      <c r="E484" s="293">
        <v>5</v>
      </c>
      <c r="F484" s="293" t="s">
        <v>39</v>
      </c>
      <c r="G484" s="294">
        <v>200000</v>
      </c>
      <c r="H484" s="325">
        <v>0.5</v>
      </c>
      <c r="I484" s="295"/>
      <c r="J484" s="260" t="s">
        <v>89</v>
      </c>
    </row>
    <row r="485" spans="1:10" ht="25" hidden="1" customHeight="1">
      <c r="A485" s="289"/>
      <c r="B485" s="290" t="s">
        <v>658</v>
      </c>
      <c r="C485" s="339" t="s">
        <v>652</v>
      </c>
      <c r="D485" s="292" t="s">
        <v>633</v>
      </c>
      <c r="E485" s="293">
        <v>5</v>
      </c>
      <c r="F485" s="293" t="s">
        <v>39</v>
      </c>
      <c r="G485" s="294">
        <v>220000</v>
      </c>
      <c r="H485" s="325">
        <v>0.5</v>
      </c>
      <c r="I485" s="295"/>
      <c r="J485" s="260" t="s">
        <v>89</v>
      </c>
    </row>
    <row r="486" spans="1:10" ht="25" hidden="1" customHeight="1">
      <c r="A486" s="274"/>
      <c r="B486" s="319"/>
      <c r="C486" s="418" t="s">
        <v>659</v>
      </c>
      <c r="D486" s="321"/>
      <c r="E486" s="277"/>
      <c r="F486" s="277"/>
      <c r="G486" s="322"/>
      <c r="H486" s="280"/>
      <c r="I486" s="279"/>
    </row>
    <row r="487" spans="1:10" ht="25" hidden="1" customHeight="1">
      <c r="A487" s="281"/>
      <c r="B487" s="282" t="s">
        <v>660</v>
      </c>
      <c r="C487" s="338" t="s">
        <v>659</v>
      </c>
      <c r="D487" s="284" t="s">
        <v>584</v>
      </c>
      <c r="E487" s="285">
        <v>0.5</v>
      </c>
      <c r="F487" s="285" t="s">
        <v>39</v>
      </c>
      <c r="G487" s="286">
        <v>85000</v>
      </c>
      <c r="H487" s="287">
        <v>1</v>
      </c>
      <c r="I487" s="288"/>
      <c r="J487" s="260" t="s">
        <v>89</v>
      </c>
    </row>
    <row r="488" spans="1:10" ht="25" hidden="1" customHeight="1">
      <c r="A488" s="289"/>
      <c r="B488" s="290" t="s">
        <v>661</v>
      </c>
      <c r="C488" s="339" t="s">
        <v>659</v>
      </c>
      <c r="D488" s="292" t="s">
        <v>40</v>
      </c>
      <c r="E488" s="293">
        <v>1</v>
      </c>
      <c r="F488" s="293" t="s">
        <v>39</v>
      </c>
      <c r="G488" s="294">
        <v>110000</v>
      </c>
      <c r="H488" s="287">
        <v>1</v>
      </c>
      <c r="I488" s="295"/>
      <c r="J488" s="260" t="s">
        <v>89</v>
      </c>
    </row>
    <row r="489" spans="1:10" ht="25" hidden="1" customHeight="1">
      <c r="A489" s="289"/>
      <c r="B489" s="290" t="s">
        <v>662</v>
      </c>
      <c r="C489" s="339" t="s">
        <v>659</v>
      </c>
      <c r="D489" s="292" t="s">
        <v>587</v>
      </c>
      <c r="E489" s="293">
        <v>1.5</v>
      </c>
      <c r="F489" s="293" t="s">
        <v>39</v>
      </c>
      <c r="G489" s="294">
        <v>180000</v>
      </c>
      <c r="H489" s="287">
        <v>1</v>
      </c>
      <c r="I489" s="295"/>
      <c r="J489" s="260" t="s">
        <v>89</v>
      </c>
    </row>
    <row r="490" spans="1:10" ht="25" hidden="1" customHeight="1">
      <c r="A490" s="289"/>
      <c r="B490" s="290" t="s">
        <v>663</v>
      </c>
      <c r="C490" s="339" t="s">
        <v>659</v>
      </c>
      <c r="D490" s="292" t="s">
        <v>589</v>
      </c>
      <c r="E490" s="293">
        <v>2.5</v>
      </c>
      <c r="F490" s="293" t="s">
        <v>39</v>
      </c>
      <c r="G490" s="294">
        <v>320000</v>
      </c>
      <c r="H490" s="287">
        <v>1</v>
      </c>
      <c r="I490" s="295"/>
      <c r="J490" s="260" t="s">
        <v>89</v>
      </c>
    </row>
    <row r="491" spans="1:10" ht="25" hidden="1" customHeight="1">
      <c r="A491" s="296"/>
      <c r="B491" s="297" t="s">
        <v>664</v>
      </c>
      <c r="C491" s="340" t="s">
        <v>659</v>
      </c>
      <c r="D491" s="299" t="s">
        <v>665</v>
      </c>
      <c r="E491" s="300">
        <v>3</v>
      </c>
      <c r="F491" s="300" t="s">
        <v>39</v>
      </c>
      <c r="G491" s="301">
        <v>420000</v>
      </c>
      <c r="H491" s="287">
        <v>1</v>
      </c>
      <c r="I491" s="302"/>
      <c r="J491" s="260" t="s">
        <v>89</v>
      </c>
    </row>
    <row r="492" spans="1:10" ht="25" hidden="1" customHeight="1">
      <c r="A492" s="397"/>
      <c r="B492" s="398" t="s">
        <v>666</v>
      </c>
      <c r="C492" s="399" t="s">
        <v>667</v>
      </c>
      <c r="D492" s="385" t="s">
        <v>665</v>
      </c>
      <c r="E492" s="400">
        <v>3</v>
      </c>
      <c r="F492" s="400" t="s">
        <v>39</v>
      </c>
      <c r="G492" s="401">
        <v>420000</v>
      </c>
      <c r="H492" s="429">
        <v>0.3</v>
      </c>
      <c r="I492" s="419"/>
      <c r="J492" s="260" t="s">
        <v>89</v>
      </c>
    </row>
    <row r="493" spans="1:10" ht="25" hidden="1" customHeight="1">
      <c r="A493" s="281"/>
      <c r="B493" s="282" t="s">
        <v>668</v>
      </c>
      <c r="C493" s="338" t="s">
        <v>669</v>
      </c>
      <c r="D493" s="284" t="s">
        <v>584</v>
      </c>
      <c r="E493" s="285">
        <v>0.5</v>
      </c>
      <c r="F493" s="285" t="s">
        <v>39</v>
      </c>
      <c r="G493" s="286">
        <v>85000</v>
      </c>
      <c r="H493" s="287">
        <v>0.5</v>
      </c>
      <c r="I493" s="288"/>
      <c r="J493" s="260" t="s">
        <v>89</v>
      </c>
    </row>
    <row r="494" spans="1:10" ht="25" hidden="1" customHeight="1">
      <c r="A494" s="289"/>
      <c r="B494" s="290" t="s">
        <v>670</v>
      </c>
      <c r="C494" s="339" t="s">
        <v>669</v>
      </c>
      <c r="D494" s="292" t="s">
        <v>40</v>
      </c>
      <c r="E494" s="293">
        <v>1</v>
      </c>
      <c r="F494" s="293" t="s">
        <v>39</v>
      </c>
      <c r="G494" s="294">
        <v>110000</v>
      </c>
      <c r="H494" s="287">
        <v>0.5</v>
      </c>
      <c r="I494" s="295"/>
      <c r="J494" s="260" t="s">
        <v>89</v>
      </c>
    </row>
    <row r="495" spans="1:10" ht="25" hidden="1" customHeight="1">
      <c r="A495" s="289"/>
      <c r="B495" s="290" t="s">
        <v>671</v>
      </c>
      <c r="C495" s="339" t="s">
        <v>669</v>
      </c>
      <c r="D495" s="292" t="s">
        <v>587</v>
      </c>
      <c r="E495" s="293">
        <v>1.5</v>
      </c>
      <c r="F495" s="293" t="s">
        <v>39</v>
      </c>
      <c r="G495" s="294">
        <v>180000</v>
      </c>
      <c r="H495" s="287">
        <v>0.5</v>
      </c>
      <c r="I495" s="295"/>
      <c r="J495" s="260" t="s">
        <v>89</v>
      </c>
    </row>
    <row r="496" spans="1:10" ht="25" hidden="1" customHeight="1">
      <c r="A496" s="289"/>
      <c r="B496" s="290" t="s">
        <v>672</v>
      </c>
      <c r="C496" s="339" t="s">
        <v>669</v>
      </c>
      <c r="D496" s="292" t="s">
        <v>589</v>
      </c>
      <c r="E496" s="293">
        <v>2.5</v>
      </c>
      <c r="F496" s="293" t="s">
        <v>39</v>
      </c>
      <c r="G496" s="294">
        <v>320000</v>
      </c>
      <c r="H496" s="287">
        <v>0.5</v>
      </c>
      <c r="I496" s="295"/>
      <c r="J496" s="260" t="s">
        <v>89</v>
      </c>
    </row>
    <row r="497" spans="1:10" ht="25" hidden="1" customHeight="1">
      <c r="A497" s="296"/>
      <c r="B497" s="297" t="s">
        <v>673</v>
      </c>
      <c r="C497" s="340" t="s">
        <v>669</v>
      </c>
      <c r="D497" s="299" t="s">
        <v>665</v>
      </c>
      <c r="E497" s="300">
        <v>3</v>
      </c>
      <c r="F497" s="300" t="s">
        <v>39</v>
      </c>
      <c r="G497" s="301">
        <v>420000</v>
      </c>
      <c r="H497" s="287">
        <v>0.5</v>
      </c>
      <c r="I497" s="302"/>
      <c r="J497" s="260" t="s">
        <v>89</v>
      </c>
    </row>
    <row r="498" spans="1:10" ht="25" hidden="1" customHeight="1">
      <c r="A498" s="281"/>
      <c r="B498" s="282" t="s">
        <v>674</v>
      </c>
      <c r="C498" s="338" t="s">
        <v>675</v>
      </c>
      <c r="D498" s="284" t="s">
        <v>584</v>
      </c>
      <c r="E498" s="285">
        <v>0.5</v>
      </c>
      <c r="F498" s="285" t="s">
        <v>39</v>
      </c>
      <c r="G498" s="286">
        <v>85000</v>
      </c>
      <c r="H498" s="287">
        <v>0.3</v>
      </c>
      <c r="I498" s="288"/>
      <c r="J498" s="260" t="s">
        <v>89</v>
      </c>
    </row>
    <row r="499" spans="1:10" ht="25" hidden="1" customHeight="1">
      <c r="A499" s="289"/>
      <c r="B499" s="290" t="s">
        <v>676</v>
      </c>
      <c r="C499" s="339" t="s">
        <v>675</v>
      </c>
      <c r="D499" s="292" t="s">
        <v>40</v>
      </c>
      <c r="E499" s="293">
        <v>1</v>
      </c>
      <c r="F499" s="293" t="s">
        <v>39</v>
      </c>
      <c r="G499" s="294">
        <v>110000</v>
      </c>
      <c r="H499" s="325">
        <v>0.3</v>
      </c>
      <c r="I499" s="295"/>
      <c r="J499" s="260" t="s">
        <v>89</v>
      </c>
    </row>
    <row r="500" spans="1:10" ht="25" hidden="1" customHeight="1">
      <c r="A500" s="289"/>
      <c r="B500" s="290" t="s">
        <v>677</v>
      </c>
      <c r="C500" s="339" t="s">
        <v>675</v>
      </c>
      <c r="D500" s="292" t="s">
        <v>587</v>
      </c>
      <c r="E500" s="293">
        <v>1.5</v>
      </c>
      <c r="F500" s="293" t="s">
        <v>39</v>
      </c>
      <c r="G500" s="294">
        <v>180000</v>
      </c>
      <c r="H500" s="325">
        <v>0.3</v>
      </c>
      <c r="I500" s="295"/>
      <c r="J500" s="260" t="s">
        <v>89</v>
      </c>
    </row>
    <row r="501" spans="1:10" ht="25" hidden="1" customHeight="1">
      <c r="A501" s="289"/>
      <c r="B501" s="290" t="s">
        <v>678</v>
      </c>
      <c r="C501" s="339" t="s">
        <v>675</v>
      </c>
      <c r="D501" s="292" t="s">
        <v>589</v>
      </c>
      <c r="E501" s="293">
        <v>2.5</v>
      </c>
      <c r="F501" s="293" t="s">
        <v>39</v>
      </c>
      <c r="G501" s="294">
        <v>320000</v>
      </c>
      <c r="H501" s="325">
        <v>0.3</v>
      </c>
      <c r="I501" s="295"/>
      <c r="J501" s="260" t="s">
        <v>89</v>
      </c>
    </row>
    <row r="502" spans="1:10" ht="25" hidden="1" customHeight="1">
      <c r="A502" s="296"/>
      <c r="B502" s="297" t="s">
        <v>679</v>
      </c>
      <c r="C502" s="340" t="s">
        <v>675</v>
      </c>
      <c r="D502" s="299" t="s">
        <v>665</v>
      </c>
      <c r="E502" s="300">
        <v>3</v>
      </c>
      <c r="F502" s="300" t="s">
        <v>39</v>
      </c>
      <c r="G502" s="301">
        <v>420000</v>
      </c>
      <c r="H502" s="326">
        <v>0.3</v>
      </c>
      <c r="I502" s="302"/>
      <c r="J502" s="260" t="s">
        <v>89</v>
      </c>
    </row>
    <row r="503" spans="1:10" ht="25" hidden="1" customHeight="1">
      <c r="A503" s="358"/>
      <c r="B503" s="359" t="s">
        <v>680</v>
      </c>
      <c r="C503" s="405" t="s">
        <v>681</v>
      </c>
      <c r="D503" s="360" t="s">
        <v>665</v>
      </c>
      <c r="E503" s="406">
        <v>3</v>
      </c>
      <c r="F503" s="406" t="s">
        <v>39</v>
      </c>
      <c r="G503" s="430">
        <v>420000</v>
      </c>
      <c r="H503" s="387">
        <v>0.15</v>
      </c>
      <c r="I503" s="361"/>
    </row>
    <row r="504" spans="1:10" ht="25" hidden="1" customHeight="1">
      <c r="A504" s="289"/>
      <c r="B504" s="290" t="s">
        <v>682</v>
      </c>
      <c r="C504" s="339" t="s">
        <v>683</v>
      </c>
      <c r="D504" s="292" t="s">
        <v>587</v>
      </c>
      <c r="E504" s="293">
        <v>1</v>
      </c>
      <c r="F504" s="293" t="s">
        <v>39</v>
      </c>
      <c r="G504" s="294">
        <v>37500</v>
      </c>
      <c r="H504" s="325">
        <v>1</v>
      </c>
      <c r="I504" s="295"/>
    </row>
    <row r="505" spans="1:10" ht="25" hidden="1" customHeight="1">
      <c r="A505" s="289"/>
      <c r="B505" s="290" t="s">
        <v>684</v>
      </c>
      <c r="C505" s="339" t="s">
        <v>683</v>
      </c>
      <c r="D505" s="292" t="s">
        <v>589</v>
      </c>
      <c r="E505" s="293">
        <v>2</v>
      </c>
      <c r="F505" s="293" t="s">
        <v>39</v>
      </c>
      <c r="G505" s="294">
        <v>81500</v>
      </c>
      <c r="H505" s="325">
        <v>1</v>
      </c>
      <c r="I505" s="295"/>
    </row>
    <row r="506" spans="1:10" ht="25" hidden="1" customHeight="1">
      <c r="A506" s="289"/>
      <c r="B506" s="290" t="s">
        <v>685</v>
      </c>
      <c r="C506" s="339" t="s">
        <v>683</v>
      </c>
      <c r="D506" s="292" t="s">
        <v>665</v>
      </c>
      <c r="E506" s="293">
        <v>3</v>
      </c>
      <c r="F506" s="293" t="s">
        <v>39</v>
      </c>
      <c r="G506" s="294">
        <v>115000</v>
      </c>
      <c r="H506" s="325">
        <v>1</v>
      </c>
      <c r="I506" s="295"/>
    </row>
    <row r="507" spans="1:10" ht="25" hidden="1" customHeight="1">
      <c r="A507" s="274"/>
      <c r="B507" s="319"/>
      <c r="C507" s="418" t="s">
        <v>686</v>
      </c>
      <c r="D507" s="321"/>
      <c r="E507" s="277"/>
      <c r="F507" s="277"/>
      <c r="G507" s="322"/>
      <c r="H507" s="280"/>
      <c r="I507" s="279"/>
    </row>
    <row r="508" spans="1:10" ht="25" hidden="1" customHeight="1">
      <c r="A508" s="289"/>
      <c r="B508" s="290" t="s">
        <v>687</v>
      </c>
      <c r="C508" s="339" t="s">
        <v>686</v>
      </c>
      <c r="D508" s="292" t="s">
        <v>584</v>
      </c>
      <c r="E508" s="293">
        <v>0.5</v>
      </c>
      <c r="F508" s="293" t="s">
        <v>39</v>
      </c>
      <c r="G508" s="286">
        <v>85000</v>
      </c>
      <c r="H508" s="325">
        <v>1</v>
      </c>
      <c r="I508" s="295"/>
      <c r="J508" s="260" t="s">
        <v>89</v>
      </c>
    </row>
    <row r="509" spans="1:10" ht="25" hidden="1" customHeight="1">
      <c r="A509" s="289"/>
      <c r="B509" s="290" t="s">
        <v>688</v>
      </c>
      <c r="C509" s="339" t="s">
        <v>686</v>
      </c>
      <c r="D509" s="292" t="s">
        <v>40</v>
      </c>
      <c r="E509" s="293">
        <v>1</v>
      </c>
      <c r="F509" s="293" t="s">
        <v>39</v>
      </c>
      <c r="G509" s="294">
        <v>110000</v>
      </c>
      <c r="H509" s="325">
        <v>1</v>
      </c>
      <c r="I509" s="295"/>
      <c r="J509" s="260" t="s">
        <v>89</v>
      </c>
    </row>
    <row r="510" spans="1:10" ht="25" hidden="1" customHeight="1">
      <c r="A510" s="289"/>
      <c r="B510" s="290" t="s">
        <v>689</v>
      </c>
      <c r="C510" s="339" t="s">
        <v>686</v>
      </c>
      <c r="D510" s="292" t="s">
        <v>587</v>
      </c>
      <c r="E510" s="293">
        <v>1</v>
      </c>
      <c r="F510" s="293" t="s">
        <v>39</v>
      </c>
      <c r="G510" s="294">
        <v>180000</v>
      </c>
      <c r="H510" s="325">
        <v>1</v>
      </c>
      <c r="I510" s="295"/>
      <c r="J510" s="260" t="s">
        <v>89</v>
      </c>
    </row>
    <row r="511" spans="1:10" ht="25" hidden="1" customHeight="1">
      <c r="A511" s="289"/>
      <c r="B511" s="290" t="s">
        <v>690</v>
      </c>
      <c r="C511" s="339" t="s">
        <v>686</v>
      </c>
      <c r="D511" s="292" t="s">
        <v>589</v>
      </c>
      <c r="E511" s="293">
        <v>2</v>
      </c>
      <c r="F511" s="293" t="s">
        <v>39</v>
      </c>
      <c r="G511" s="294">
        <v>320000</v>
      </c>
      <c r="H511" s="325">
        <v>1</v>
      </c>
      <c r="I511" s="295"/>
      <c r="J511" s="260" t="s">
        <v>89</v>
      </c>
    </row>
    <row r="512" spans="1:10" ht="25" hidden="1" customHeight="1">
      <c r="A512" s="289"/>
      <c r="B512" s="290" t="s">
        <v>691</v>
      </c>
      <c r="C512" s="339" t="s">
        <v>686</v>
      </c>
      <c r="D512" s="292" t="s">
        <v>665</v>
      </c>
      <c r="E512" s="293">
        <v>3</v>
      </c>
      <c r="F512" s="293" t="s">
        <v>39</v>
      </c>
      <c r="G512" s="301">
        <v>420000</v>
      </c>
      <c r="H512" s="325">
        <v>1</v>
      </c>
      <c r="I512" s="295"/>
      <c r="J512" s="260" t="s">
        <v>89</v>
      </c>
    </row>
    <row r="513" spans="1:10" ht="25" hidden="1" customHeight="1">
      <c r="A513" s="289"/>
      <c r="B513" s="290" t="s">
        <v>692</v>
      </c>
      <c r="C513" s="339" t="s">
        <v>693</v>
      </c>
      <c r="D513" s="292" t="s">
        <v>584</v>
      </c>
      <c r="E513" s="293">
        <v>0.5</v>
      </c>
      <c r="F513" s="293" t="s">
        <v>39</v>
      </c>
      <c r="G513" s="286">
        <v>85000</v>
      </c>
      <c r="H513" s="325">
        <v>0.5</v>
      </c>
      <c r="I513" s="295"/>
      <c r="J513" s="260" t="s">
        <v>89</v>
      </c>
    </row>
    <row r="514" spans="1:10" ht="25" hidden="1" customHeight="1">
      <c r="A514" s="289"/>
      <c r="B514" s="290" t="s">
        <v>694</v>
      </c>
      <c r="C514" s="339" t="s">
        <v>693</v>
      </c>
      <c r="D514" s="292" t="s">
        <v>40</v>
      </c>
      <c r="E514" s="293">
        <v>1</v>
      </c>
      <c r="F514" s="293" t="s">
        <v>39</v>
      </c>
      <c r="G514" s="294">
        <v>110000</v>
      </c>
      <c r="H514" s="325">
        <v>0.5</v>
      </c>
      <c r="I514" s="295"/>
      <c r="J514" s="260" t="s">
        <v>89</v>
      </c>
    </row>
    <row r="515" spans="1:10" ht="25" hidden="1" customHeight="1">
      <c r="A515" s="289"/>
      <c r="B515" s="290" t="s">
        <v>695</v>
      </c>
      <c r="C515" s="339" t="s">
        <v>693</v>
      </c>
      <c r="D515" s="292" t="s">
        <v>587</v>
      </c>
      <c r="E515" s="293">
        <v>1</v>
      </c>
      <c r="F515" s="293" t="s">
        <v>39</v>
      </c>
      <c r="G515" s="294">
        <v>180000</v>
      </c>
      <c r="H515" s="325">
        <v>0.5</v>
      </c>
      <c r="I515" s="295"/>
      <c r="J515" s="260" t="s">
        <v>89</v>
      </c>
    </row>
    <row r="516" spans="1:10" ht="25" hidden="1" customHeight="1">
      <c r="A516" s="289"/>
      <c r="B516" s="290" t="s">
        <v>696</v>
      </c>
      <c r="C516" s="339" t="s">
        <v>693</v>
      </c>
      <c r="D516" s="292" t="s">
        <v>589</v>
      </c>
      <c r="E516" s="293">
        <v>2</v>
      </c>
      <c r="F516" s="293" t="s">
        <v>39</v>
      </c>
      <c r="G516" s="294">
        <v>320000</v>
      </c>
      <c r="H516" s="325">
        <v>0.5</v>
      </c>
      <c r="I516" s="295"/>
      <c r="J516" s="260" t="s">
        <v>89</v>
      </c>
    </row>
    <row r="517" spans="1:10" ht="25" hidden="1" customHeight="1">
      <c r="A517" s="289"/>
      <c r="B517" s="290" t="s">
        <v>697</v>
      </c>
      <c r="C517" s="339" t="s">
        <v>693</v>
      </c>
      <c r="D517" s="292" t="s">
        <v>665</v>
      </c>
      <c r="E517" s="293">
        <v>3</v>
      </c>
      <c r="F517" s="293" t="s">
        <v>39</v>
      </c>
      <c r="G517" s="301">
        <v>420000</v>
      </c>
      <c r="H517" s="325">
        <v>0.5</v>
      </c>
      <c r="I517" s="295"/>
      <c r="J517" s="260" t="s">
        <v>89</v>
      </c>
    </row>
    <row r="518" spans="1:10" ht="25" hidden="1" customHeight="1">
      <c r="A518" s="274"/>
      <c r="B518" s="319"/>
      <c r="C518" s="418" t="s">
        <v>698</v>
      </c>
      <c r="D518" s="321"/>
      <c r="E518" s="277"/>
      <c r="F518" s="277"/>
      <c r="G518" s="322"/>
      <c r="H518" s="280"/>
      <c r="I518" s="279"/>
    </row>
    <row r="519" spans="1:10" ht="25" hidden="1" customHeight="1">
      <c r="A519" s="289"/>
      <c r="B519" s="290" t="s">
        <v>699</v>
      </c>
      <c r="C519" s="339" t="s">
        <v>698</v>
      </c>
      <c r="D519" s="292" t="s">
        <v>63</v>
      </c>
      <c r="E519" s="293"/>
      <c r="F519" s="293" t="s">
        <v>31</v>
      </c>
      <c r="G519" s="431"/>
      <c r="H519" s="325">
        <v>1</v>
      </c>
      <c r="I519" s="295"/>
      <c r="J519" s="260" t="s">
        <v>700</v>
      </c>
    </row>
    <row r="520" spans="1:10" ht="25" hidden="1" customHeight="1">
      <c r="A520" s="289"/>
      <c r="B520" s="290" t="s">
        <v>701</v>
      </c>
      <c r="C520" s="339" t="s">
        <v>698</v>
      </c>
      <c r="D520" s="292" t="s">
        <v>584</v>
      </c>
      <c r="E520" s="293">
        <v>0.5</v>
      </c>
      <c r="F520" s="293" t="s">
        <v>39</v>
      </c>
      <c r="G520" s="432">
        <v>70000</v>
      </c>
      <c r="H520" s="325">
        <v>1</v>
      </c>
      <c r="I520" s="295"/>
      <c r="J520" s="260" t="s">
        <v>700</v>
      </c>
    </row>
    <row r="521" spans="1:10" ht="25" hidden="1" customHeight="1">
      <c r="A521" s="289"/>
      <c r="B521" s="290" t="s">
        <v>702</v>
      </c>
      <c r="C521" s="339" t="s">
        <v>698</v>
      </c>
      <c r="D521" s="292" t="s">
        <v>40</v>
      </c>
      <c r="E521" s="293">
        <v>1</v>
      </c>
      <c r="F521" s="293" t="s">
        <v>39</v>
      </c>
      <c r="G521" s="432">
        <v>90000</v>
      </c>
      <c r="H521" s="325">
        <v>1</v>
      </c>
      <c r="I521" s="295"/>
      <c r="J521" s="260" t="s">
        <v>700</v>
      </c>
    </row>
    <row r="522" spans="1:10" ht="25" hidden="1" customHeight="1">
      <c r="A522" s="289"/>
      <c r="B522" s="290" t="s">
        <v>703</v>
      </c>
      <c r="C522" s="339" t="s">
        <v>698</v>
      </c>
      <c r="D522" s="292" t="s">
        <v>587</v>
      </c>
      <c r="E522" s="293">
        <v>1</v>
      </c>
      <c r="F522" s="293" t="s">
        <v>39</v>
      </c>
      <c r="G522" s="432">
        <v>120000</v>
      </c>
      <c r="H522" s="325">
        <v>1</v>
      </c>
      <c r="I522" s="295"/>
      <c r="J522" s="260" t="s">
        <v>700</v>
      </c>
    </row>
    <row r="523" spans="1:10" ht="25" hidden="1" customHeight="1">
      <c r="A523" s="289"/>
      <c r="B523" s="290" t="s">
        <v>704</v>
      </c>
      <c r="C523" s="339" t="s">
        <v>698</v>
      </c>
      <c r="D523" s="292" t="s">
        <v>589</v>
      </c>
      <c r="E523" s="293">
        <v>2</v>
      </c>
      <c r="F523" s="293" t="s">
        <v>39</v>
      </c>
      <c r="G523" s="432">
        <v>250000</v>
      </c>
      <c r="H523" s="325">
        <v>1</v>
      </c>
      <c r="I523" s="295"/>
      <c r="J523" s="260" t="s">
        <v>700</v>
      </c>
    </row>
    <row r="524" spans="1:10" ht="25" hidden="1" customHeight="1">
      <c r="A524" s="289"/>
      <c r="B524" s="290" t="s">
        <v>705</v>
      </c>
      <c r="C524" s="339" t="s">
        <v>698</v>
      </c>
      <c r="D524" s="292" t="s">
        <v>429</v>
      </c>
      <c r="E524" s="293">
        <v>2</v>
      </c>
      <c r="F524" s="293" t="s">
        <v>39</v>
      </c>
      <c r="G524" s="432">
        <v>300000</v>
      </c>
      <c r="H524" s="325">
        <v>1</v>
      </c>
      <c r="I524" s="295"/>
      <c r="J524" s="260" t="s">
        <v>700</v>
      </c>
    </row>
    <row r="525" spans="1:10" ht="25" hidden="1" customHeight="1">
      <c r="A525" s="289"/>
      <c r="B525" s="290" t="s">
        <v>706</v>
      </c>
      <c r="C525" s="339" t="s">
        <v>698</v>
      </c>
      <c r="D525" s="292" t="s">
        <v>94</v>
      </c>
      <c r="E525" s="293">
        <v>2</v>
      </c>
      <c r="F525" s="293" t="s">
        <v>39</v>
      </c>
      <c r="G525" s="432">
        <v>350000</v>
      </c>
      <c r="H525" s="325">
        <v>1</v>
      </c>
      <c r="I525" s="295"/>
      <c r="J525" s="260" t="s">
        <v>700</v>
      </c>
    </row>
    <row r="526" spans="1:10" ht="25" hidden="1" customHeight="1">
      <c r="A526" s="289"/>
      <c r="B526" s="290" t="s">
        <v>707</v>
      </c>
      <c r="C526" s="339" t="s">
        <v>708</v>
      </c>
      <c r="D526" s="292" t="s">
        <v>584</v>
      </c>
      <c r="E526" s="293">
        <v>0.5</v>
      </c>
      <c r="F526" s="293" t="s">
        <v>39</v>
      </c>
      <c r="G526" s="432">
        <v>70000</v>
      </c>
      <c r="H526" s="325">
        <v>0.5</v>
      </c>
      <c r="I526" s="295"/>
      <c r="J526" s="260" t="s">
        <v>700</v>
      </c>
    </row>
    <row r="527" spans="1:10" ht="25" hidden="1" customHeight="1">
      <c r="A527" s="289"/>
      <c r="B527" s="290" t="s">
        <v>709</v>
      </c>
      <c r="C527" s="339" t="s">
        <v>708</v>
      </c>
      <c r="D527" s="292" t="s">
        <v>40</v>
      </c>
      <c r="E527" s="293">
        <v>1</v>
      </c>
      <c r="F527" s="293" t="s">
        <v>39</v>
      </c>
      <c r="G527" s="432">
        <v>90000</v>
      </c>
      <c r="H527" s="325">
        <v>0.5</v>
      </c>
      <c r="I527" s="295"/>
      <c r="J527" s="260" t="s">
        <v>700</v>
      </c>
    </row>
    <row r="528" spans="1:10" ht="25" hidden="1" customHeight="1">
      <c r="A528" s="289"/>
      <c r="B528" s="290" t="s">
        <v>710</v>
      </c>
      <c r="C528" s="339" t="s">
        <v>708</v>
      </c>
      <c r="D528" s="292" t="s">
        <v>587</v>
      </c>
      <c r="E528" s="293">
        <v>1</v>
      </c>
      <c r="F528" s="293" t="s">
        <v>39</v>
      </c>
      <c r="G528" s="432">
        <v>120000</v>
      </c>
      <c r="H528" s="325">
        <v>0.5</v>
      </c>
      <c r="I528" s="295"/>
      <c r="J528" s="260" t="s">
        <v>700</v>
      </c>
    </row>
    <row r="529" spans="1:10" ht="25" hidden="1" customHeight="1">
      <c r="A529" s="289"/>
      <c r="B529" s="290" t="s">
        <v>711</v>
      </c>
      <c r="C529" s="339" t="s">
        <v>708</v>
      </c>
      <c r="D529" s="292" t="s">
        <v>589</v>
      </c>
      <c r="E529" s="293">
        <v>2</v>
      </c>
      <c r="F529" s="293" t="s">
        <v>39</v>
      </c>
      <c r="G529" s="432">
        <v>250000</v>
      </c>
      <c r="H529" s="325">
        <v>0.5</v>
      </c>
      <c r="I529" s="295"/>
      <c r="J529" s="260" t="s">
        <v>700</v>
      </c>
    </row>
    <row r="530" spans="1:10" ht="25" hidden="1" customHeight="1">
      <c r="A530" s="289"/>
      <c r="B530" s="290" t="s">
        <v>712</v>
      </c>
      <c r="C530" s="339" t="s">
        <v>708</v>
      </c>
      <c r="D530" s="292" t="s">
        <v>429</v>
      </c>
      <c r="E530" s="293">
        <v>2</v>
      </c>
      <c r="F530" s="293" t="s">
        <v>39</v>
      </c>
      <c r="G530" s="432">
        <v>300000</v>
      </c>
      <c r="H530" s="325">
        <v>0.5</v>
      </c>
      <c r="I530" s="295"/>
      <c r="J530" s="260" t="s">
        <v>700</v>
      </c>
    </row>
    <row r="531" spans="1:10" ht="25" hidden="1" customHeight="1">
      <c r="A531" s="289"/>
      <c r="B531" s="290" t="s">
        <v>713</v>
      </c>
      <c r="C531" s="339" t="s">
        <v>708</v>
      </c>
      <c r="D531" s="292" t="s">
        <v>94</v>
      </c>
      <c r="E531" s="293">
        <v>2</v>
      </c>
      <c r="F531" s="293" t="s">
        <v>39</v>
      </c>
      <c r="G531" s="432">
        <v>350000</v>
      </c>
      <c r="H531" s="325">
        <v>0.5</v>
      </c>
      <c r="I531" s="295"/>
      <c r="J531" s="260" t="s">
        <v>700</v>
      </c>
    </row>
    <row r="532" spans="1:10" ht="25" hidden="1" customHeight="1">
      <c r="A532" s="274"/>
      <c r="B532" s="319"/>
      <c r="C532" s="418" t="s">
        <v>714</v>
      </c>
      <c r="D532" s="321"/>
      <c r="E532" s="277"/>
      <c r="F532" s="277"/>
      <c r="G532" s="322"/>
      <c r="H532" s="280"/>
      <c r="I532" s="279"/>
    </row>
    <row r="533" spans="1:10" ht="25" hidden="1" customHeight="1">
      <c r="A533" s="289"/>
      <c r="B533" s="290" t="s">
        <v>715</v>
      </c>
      <c r="C533" s="339" t="s">
        <v>714</v>
      </c>
      <c r="D533" s="284" t="s">
        <v>63</v>
      </c>
      <c r="E533" s="293"/>
      <c r="F533" s="293" t="s">
        <v>31</v>
      </c>
      <c r="G533" s="294">
        <v>50000</v>
      </c>
      <c r="H533" s="325">
        <v>1</v>
      </c>
      <c r="I533" s="295"/>
      <c r="J533" s="260" t="s">
        <v>89</v>
      </c>
    </row>
    <row r="534" spans="1:10" ht="25" hidden="1" customHeight="1">
      <c r="A534" s="289"/>
      <c r="B534" s="290" t="s">
        <v>716</v>
      </c>
      <c r="C534" s="339" t="s">
        <v>714</v>
      </c>
      <c r="D534" s="292" t="s">
        <v>584</v>
      </c>
      <c r="E534" s="293">
        <v>1</v>
      </c>
      <c r="F534" s="293" t="s">
        <v>39</v>
      </c>
      <c r="G534" s="294">
        <v>80000</v>
      </c>
      <c r="H534" s="325">
        <v>1</v>
      </c>
      <c r="I534" s="295"/>
      <c r="J534" s="260" t="s">
        <v>89</v>
      </c>
    </row>
    <row r="535" spans="1:10" ht="25" hidden="1" customHeight="1">
      <c r="A535" s="289"/>
      <c r="B535" s="290" t="s">
        <v>717</v>
      </c>
      <c r="C535" s="339" t="s">
        <v>714</v>
      </c>
      <c r="D535" s="292" t="s">
        <v>40</v>
      </c>
      <c r="E535" s="293">
        <v>1</v>
      </c>
      <c r="F535" s="293" t="s">
        <v>39</v>
      </c>
      <c r="G535" s="294">
        <v>100000</v>
      </c>
      <c r="H535" s="325">
        <v>1</v>
      </c>
      <c r="I535" s="295"/>
      <c r="J535" s="260" t="s">
        <v>89</v>
      </c>
    </row>
    <row r="536" spans="1:10" ht="25" hidden="1" customHeight="1">
      <c r="A536" s="289"/>
      <c r="B536" s="290" t="s">
        <v>718</v>
      </c>
      <c r="C536" s="339" t="s">
        <v>714</v>
      </c>
      <c r="D536" s="292" t="s">
        <v>587</v>
      </c>
      <c r="E536" s="293">
        <v>1</v>
      </c>
      <c r="F536" s="293" t="s">
        <v>39</v>
      </c>
      <c r="G536" s="294">
        <v>130000</v>
      </c>
      <c r="H536" s="325">
        <v>1</v>
      </c>
      <c r="I536" s="295"/>
      <c r="J536" s="260" t="s">
        <v>89</v>
      </c>
    </row>
    <row r="537" spans="1:10" ht="25" hidden="1" customHeight="1">
      <c r="A537" s="289"/>
      <c r="B537" s="290" t="s">
        <v>719</v>
      </c>
      <c r="C537" s="339" t="s">
        <v>714</v>
      </c>
      <c r="D537" s="292" t="s">
        <v>589</v>
      </c>
      <c r="E537" s="293">
        <v>2</v>
      </c>
      <c r="F537" s="293" t="s">
        <v>39</v>
      </c>
      <c r="G537" s="294">
        <v>280000</v>
      </c>
      <c r="H537" s="325">
        <v>1</v>
      </c>
      <c r="I537" s="295"/>
      <c r="J537" s="260" t="s">
        <v>89</v>
      </c>
    </row>
    <row r="538" spans="1:10" ht="25" hidden="1" customHeight="1">
      <c r="A538" s="289"/>
      <c r="B538" s="290" t="s">
        <v>720</v>
      </c>
      <c r="C538" s="339" t="s">
        <v>714</v>
      </c>
      <c r="D538" s="292" t="s">
        <v>665</v>
      </c>
      <c r="E538" s="293">
        <v>2.5</v>
      </c>
      <c r="F538" s="293" t="s">
        <v>39</v>
      </c>
      <c r="G538" s="294">
        <v>400000</v>
      </c>
      <c r="H538" s="325">
        <v>1</v>
      </c>
      <c r="I538" s="295"/>
      <c r="J538" s="260" t="s">
        <v>89</v>
      </c>
    </row>
    <row r="539" spans="1:10" ht="25" hidden="1" customHeight="1">
      <c r="A539" s="289"/>
      <c r="B539" s="290" t="s">
        <v>721</v>
      </c>
      <c r="C539" s="339" t="s">
        <v>722</v>
      </c>
      <c r="D539" s="284" t="s">
        <v>63</v>
      </c>
      <c r="E539" s="293"/>
      <c r="F539" s="293" t="s">
        <v>31</v>
      </c>
      <c r="G539" s="294">
        <v>50000</v>
      </c>
      <c r="H539" s="325">
        <v>0.5</v>
      </c>
      <c r="I539" s="295"/>
      <c r="J539" s="260" t="s">
        <v>89</v>
      </c>
    </row>
    <row r="540" spans="1:10" ht="25" hidden="1" customHeight="1">
      <c r="A540" s="289"/>
      <c r="B540" s="290" t="s">
        <v>723</v>
      </c>
      <c r="C540" s="339" t="s">
        <v>722</v>
      </c>
      <c r="D540" s="292" t="s">
        <v>584</v>
      </c>
      <c r="E540" s="293">
        <v>1</v>
      </c>
      <c r="F540" s="293" t="s">
        <v>39</v>
      </c>
      <c r="G540" s="294">
        <v>80000</v>
      </c>
      <c r="H540" s="325">
        <v>0.5</v>
      </c>
      <c r="I540" s="295"/>
      <c r="J540" s="260" t="s">
        <v>89</v>
      </c>
    </row>
    <row r="541" spans="1:10" ht="25" hidden="1" customHeight="1">
      <c r="A541" s="289"/>
      <c r="B541" s="290" t="s">
        <v>724</v>
      </c>
      <c r="C541" s="339" t="s">
        <v>722</v>
      </c>
      <c r="D541" s="292" t="s">
        <v>40</v>
      </c>
      <c r="E541" s="293">
        <v>1</v>
      </c>
      <c r="F541" s="293" t="s">
        <v>39</v>
      </c>
      <c r="G541" s="294">
        <v>100000</v>
      </c>
      <c r="H541" s="325">
        <v>0.5</v>
      </c>
      <c r="I541" s="295"/>
      <c r="J541" s="260" t="s">
        <v>89</v>
      </c>
    </row>
    <row r="542" spans="1:10" ht="25" hidden="1" customHeight="1">
      <c r="A542" s="289"/>
      <c r="B542" s="290" t="s">
        <v>725</v>
      </c>
      <c r="C542" s="339" t="s">
        <v>722</v>
      </c>
      <c r="D542" s="292" t="s">
        <v>587</v>
      </c>
      <c r="E542" s="293">
        <v>1</v>
      </c>
      <c r="F542" s="293" t="s">
        <v>39</v>
      </c>
      <c r="G542" s="294">
        <v>130000</v>
      </c>
      <c r="H542" s="325">
        <v>0.5</v>
      </c>
      <c r="I542" s="295"/>
      <c r="J542" s="260" t="s">
        <v>89</v>
      </c>
    </row>
    <row r="543" spans="1:10" ht="25" hidden="1" customHeight="1">
      <c r="A543" s="289"/>
      <c r="B543" s="290" t="s">
        <v>726</v>
      </c>
      <c r="C543" s="339" t="s">
        <v>722</v>
      </c>
      <c r="D543" s="292" t="s">
        <v>589</v>
      </c>
      <c r="E543" s="293">
        <v>2</v>
      </c>
      <c r="F543" s="293" t="s">
        <v>39</v>
      </c>
      <c r="G543" s="294">
        <v>280000</v>
      </c>
      <c r="H543" s="325">
        <v>0.5</v>
      </c>
      <c r="I543" s="295"/>
      <c r="J543" s="260" t="s">
        <v>89</v>
      </c>
    </row>
    <row r="544" spans="1:10" ht="25" hidden="1" customHeight="1">
      <c r="A544" s="289"/>
      <c r="B544" s="290" t="s">
        <v>727</v>
      </c>
      <c r="C544" s="339" t="s">
        <v>722</v>
      </c>
      <c r="D544" s="292" t="s">
        <v>665</v>
      </c>
      <c r="E544" s="293">
        <v>2.5</v>
      </c>
      <c r="F544" s="293" t="s">
        <v>39</v>
      </c>
      <c r="G544" s="294">
        <v>400000</v>
      </c>
      <c r="H544" s="325">
        <v>0.5</v>
      </c>
      <c r="I544" s="295"/>
      <c r="J544" s="260" t="s">
        <v>89</v>
      </c>
    </row>
    <row r="545" spans="1:10" ht="25" hidden="1" customHeight="1">
      <c r="A545" s="289"/>
      <c r="B545" s="290" t="s">
        <v>728</v>
      </c>
      <c r="C545" s="339" t="s">
        <v>729</v>
      </c>
      <c r="D545" s="292" t="s">
        <v>665</v>
      </c>
      <c r="E545" s="293">
        <v>2.5</v>
      </c>
      <c r="F545" s="293" t="s">
        <v>39</v>
      </c>
      <c r="G545" s="294">
        <v>400000</v>
      </c>
      <c r="H545" s="325">
        <v>0.3</v>
      </c>
      <c r="I545" s="295"/>
      <c r="J545" s="260" t="s">
        <v>89</v>
      </c>
    </row>
    <row r="546" spans="1:10" ht="25" hidden="1" customHeight="1">
      <c r="A546" s="289"/>
      <c r="B546" s="290" t="s">
        <v>730</v>
      </c>
      <c r="C546" s="339" t="s">
        <v>731</v>
      </c>
      <c r="D546" s="292" t="s">
        <v>665</v>
      </c>
      <c r="E546" s="293">
        <v>2.5</v>
      </c>
      <c r="F546" s="293" t="s">
        <v>39</v>
      </c>
      <c r="G546" s="294">
        <v>400000</v>
      </c>
      <c r="H546" s="325">
        <v>0.15</v>
      </c>
      <c r="I546" s="295"/>
      <c r="J546" s="260" t="s">
        <v>89</v>
      </c>
    </row>
    <row r="547" spans="1:10" ht="25" hidden="1" customHeight="1">
      <c r="A547" s="274"/>
      <c r="B547" s="319"/>
      <c r="C547" s="418" t="s">
        <v>732</v>
      </c>
      <c r="D547" s="321"/>
      <c r="E547" s="277"/>
      <c r="F547" s="277"/>
      <c r="G547" s="322"/>
      <c r="H547" s="280"/>
      <c r="I547" s="279"/>
      <c r="J547" s="260" t="s">
        <v>89</v>
      </c>
    </row>
    <row r="548" spans="1:10" ht="25" hidden="1" customHeight="1">
      <c r="A548" s="289"/>
      <c r="B548" s="290" t="s">
        <v>733</v>
      </c>
      <c r="C548" s="339" t="s">
        <v>732</v>
      </c>
      <c r="D548" s="284" t="s">
        <v>63</v>
      </c>
      <c r="E548" s="293"/>
      <c r="F548" s="293" t="s">
        <v>31</v>
      </c>
      <c r="G548" s="294">
        <v>50000</v>
      </c>
      <c r="H548" s="325">
        <v>1</v>
      </c>
      <c r="I548" s="295"/>
      <c r="J548" s="260" t="s">
        <v>89</v>
      </c>
    </row>
    <row r="549" spans="1:10" ht="25" hidden="1" customHeight="1">
      <c r="A549" s="289"/>
      <c r="B549" s="290" t="s">
        <v>734</v>
      </c>
      <c r="C549" s="339" t="s">
        <v>732</v>
      </c>
      <c r="D549" s="292" t="s">
        <v>584</v>
      </c>
      <c r="E549" s="293">
        <v>1</v>
      </c>
      <c r="F549" s="293" t="s">
        <v>39</v>
      </c>
      <c r="G549" s="294">
        <v>80000</v>
      </c>
      <c r="H549" s="325">
        <v>1</v>
      </c>
      <c r="I549" s="295"/>
      <c r="J549" s="260" t="s">
        <v>89</v>
      </c>
    </row>
    <row r="550" spans="1:10" ht="25" hidden="1" customHeight="1">
      <c r="A550" s="289"/>
      <c r="B550" s="290" t="s">
        <v>735</v>
      </c>
      <c r="C550" s="339" t="s">
        <v>732</v>
      </c>
      <c r="D550" s="292" t="s">
        <v>40</v>
      </c>
      <c r="E550" s="293">
        <v>1</v>
      </c>
      <c r="F550" s="293" t="s">
        <v>39</v>
      </c>
      <c r="G550" s="294">
        <v>100000</v>
      </c>
      <c r="H550" s="325">
        <v>1</v>
      </c>
      <c r="I550" s="295"/>
      <c r="J550" s="260" t="s">
        <v>89</v>
      </c>
    </row>
    <row r="551" spans="1:10" ht="25" hidden="1" customHeight="1">
      <c r="A551" s="289"/>
      <c r="B551" s="290" t="s">
        <v>736</v>
      </c>
      <c r="C551" s="339" t="s">
        <v>732</v>
      </c>
      <c r="D551" s="292" t="s">
        <v>587</v>
      </c>
      <c r="E551" s="293">
        <v>1</v>
      </c>
      <c r="F551" s="293" t="s">
        <v>39</v>
      </c>
      <c r="G551" s="294">
        <v>130000</v>
      </c>
      <c r="H551" s="325">
        <v>1</v>
      </c>
      <c r="I551" s="295"/>
      <c r="J551" s="260" t="s">
        <v>89</v>
      </c>
    </row>
    <row r="552" spans="1:10" ht="25" hidden="1" customHeight="1">
      <c r="A552" s="289"/>
      <c r="B552" s="290" t="s">
        <v>737</v>
      </c>
      <c r="C552" s="339" t="s">
        <v>732</v>
      </c>
      <c r="D552" s="292" t="s">
        <v>589</v>
      </c>
      <c r="E552" s="293">
        <v>2</v>
      </c>
      <c r="F552" s="293" t="s">
        <v>39</v>
      </c>
      <c r="G552" s="294">
        <v>280000</v>
      </c>
      <c r="H552" s="325">
        <v>1</v>
      </c>
      <c r="I552" s="295"/>
      <c r="J552" s="260" t="s">
        <v>89</v>
      </c>
    </row>
    <row r="553" spans="1:10" ht="25" hidden="1" customHeight="1">
      <c r="A553" s="289"/>
      <c r="B553" s="290" t="s">
        <v>738</v>
      </c>
      <c r="C553" s="339" t="s">
        <v>732</v>
      </c>
      <c r="D553" s="292" t="s">
        <v>665</v>
      </c>
      <c r="E553" s="293">
        <v>2.5</v>
      </c>
      <c r="F553" s="293" t="s">
        <v>39</v>
      </c>
      <c r="G553" s="294">
        <v>400000</v>
      </c>
      <c r="H553" s="325">
        <v>1</v>
      </c>
      <c r="I553" s="295"/>
      <c r="J553" s="260" t="s">
        <v>89</v>
      </c>
    </row>
    <row r="554" spans="1:10" ht="25" hidden="1" customHeight="1">
      <c r="A554" s="289"/>
      <c r="B554" s="290" t="s">
        <v>739</v>
      </c>
      <c r="C554" s="339" t="s">
        <v>740</v>
      </c>
      <c r="D554" s="284" t="s">
        <v>63</v>
      </c>
      <c r="E554" s="293"/>
      <c r="F554" s="293" t="s">
        <v>31</v>
      </c>
      <c r="G554" s="294">
        <v>50000</v>
      </c>
      <c r="H554" s="325">
        <v>0.5</v>
      </c>
      <c r="I554" s="295"/>
      <c r="J554" s="260" t="s">
        <v>89</v>
      </c>
    </row>
    <row r="555" spans="1:10" ht="25" hidden="1" customHeight="1">
      <c r="A555" s="289"/>
      <c r="B555" s="290" t="s">
        <v>741</v>
      </c>
      <c r="C555" s="339" t="s">
        <v>740</v>
      </c>
      <c r="D555" s="292" t="s">
        <v>584</v>
      </c>
      <c r="E555" s="293">
        <v>1</v>
      </c>
      <c r="F555" s="293" t="s">
        <v>39</v>
      </c>
      <c r="G555" s="294">
        <v>80000</v>
      </c>
      <c r="H555" s="325">
        <v>0.5</v>
      </c>
      <c r="I555" s="295"/>
      <c r="J555" s="260" t="s">
        <v>89</v>
      </c>
    </row>
    <row r="556" spans="1:10" ht="25" hidden="1" customHeight="1">
      <c r="A556" s="289"/>
      <c r="B556" s="290" t="s">
        <v>742</v>
      </c>
      <c r="C556" s="339" t="s">
        <v>740</v>
      </c>
      <c r="D556" s="292" t="s">
        <v>40</v>
      </c>
      <c r="E556" s="293">
        <v>1</v>
      </c>
      <c r="F556" s="293" t="s">
        <v>39</v>
      </c>
      <c r="G556" s="294">
        <v>100000</v>
      </c>
      <c r="H556" s="325">
        <v>0.5</v>
      </c>
      <c r="I556" s="295"/>
      <c r="J556" s="260" t="s">
        <v>89</v>
      </c>
    </row>
    <row r="557" spans="1:10" ht="25" hidden="1" customHeight="1">
      <c r="A557" s="289"/>
      <c r="B557" s="290" t="s">
        <v>743</v>
      </c>
      <c r="C557" s="339" t="s">
        <v>740</v>
      </c>
      <c r="D557" s="292" t="s">
        <v>587</v>
      </c>
      <c r="E557" s="293">
        <v>1</v>
      </c>
      <c r="F557" s="293" t="s">
        <v>39</v>
      </c>
      <c r="G557" s="294">
        <v>130000</v>
      </c>
      <c r="H557" s="325">
        <v>0.5</v>
      </c>
      <c r="I557" s="295"/>
      <c r="J557" s="260" t="s">
        <v>89</v>
      </c>
    </row>
    <row r="558" spans="1:10" ht="25" hidden="1" customHeight="1">
      <c r="A558" s="289"/>
      <c r="B558" s="290" t="s">
        <v>744</v>
      </c>
      <c r="C558" s="339" t="s">
        <v>740</v>
      </c>
      <c r="D558" s="292" t="s">
        <v>589</v>
      </c>
      <c r="E558" s="293">
        <v>2</v>
      </c>
      <c r="F558" s="293" t="s">
        <v>39</v>
      </c>
      <c r="G558" s="294">
        <v>280000</v>
      </c>
      <c r="H558" s="325">
        <v>0.5</v>
      </c>
      <c r="I558" s="295"/>
      <c r="J558" s="260" t="s">
        <v>89</v>
      </c>
    </row>
    <row r="559" spans="1:10" ht="25" hidden="1" customHeight="1">
      <c r="A559" s="289"/>
      <c r="B559" s="290" t="s">
        <v>745</v>
      </c>
      <c r="C559" s="339" t="s">
        <v>740</v>
      </c>
      <c r="D559" s="292" t="s">
        <v>665</v>
      </c>
      <c r="E559" s="293">
        <v>2.5</v>
      </c>
      <c r="F559" s="293" t="s">
        <v>39</v>
      </c>
      <c r="G559" s="294">
        <v>400000</v>
      </c>
      <c r="H559" s="325">
        <v>0.5</v>
      </c>
      <c r="I559" s="295"/>
      <c r="J559" s="260" t="s">
        <v>89</v>
      </c>
    </row>
    <row r="560" spans="1:10" ht="25" hidden="1" customHeight="1">
      <c r="A560" s="274"/>
      <c r="B560" s="319"/>
      <c r="C560" s="418" t="s">
        <v>746</v>
      </c>
      <c r="D560" s="321"/>
      <c r="E560" s="277"/>
      <c r="F560" s="277"/>
      <c r="G560" s="322"/>
      <c r="H560" s="280"/>
      <c r="I560" s="279"/>
    </row>
    <row r="561" spans="1:10" ht="25" hidden="1" customHeight="1">
      <c r="A561" s="289"/>
      <c r="B561" s="290" t="s">
        <v>747</v>
      </c>
      <c r="C561" s="339" t="s">
        <v>746</v>
      </c>
      <c r="D561" s="292" t="s">
        <v>478</v>
      </c>
      <c r="E561" s="293">
        <v>1</v>
      </c>
      <c r="F561" s="293" t="s">
        <v>39</v>
      </c>
      <c r="G561" s="433">
        <v>80000</v>
      </c>
      <c r="H561" s="325">
        <v>1</v>
      </c>
      <c r="I561" s="295"/>
      <c r="J561" s="260" t="s">
        <v>89</v>
      </c>
    </row>
    <row r="562" spans="1:10" ht="25" hidden="1" customHeight="1">
      <c r="A562" s="289"/>
      <c r="B562" s="290" t="s">
        <v>748</v>
      </c>
      <c r="C562" s="339" t="s">
        <v>746</v>
      </c>
      <c r="D562" s="292" t="s">
        <v>40</v>
      </c>
      <c r="E562" s="293">
        <v>1</v>
      </c>
      <c r="F562" s="293" t="s">
        <v>39</v>
      </c>
      <c r="G562" s="433">
        <v>100000</v>
      </c>
      <c r="H562" s="325">
        <v>1</v>
      </c>
      <c r="I562" s="295"/>
      <c r="J562" s="260" t="s">
        <v>89</v>
      </c>
    </row>
    <row r="563" spans="1:10" ht="25" hidden="1" customHeight="1">
      <c r="A563" s="289"/>
      <c r="B563" s="290" t="s">
        <v>749</v>
      </c>
      <c r="C563" s="339" t="s">
        <v>746</v>
      </c>
      <c r="D563" s="292" t="s">
        <v>587</v>
      </c>
      <c r="E563" s="293">
        <v>1.5</v>
      </c>
      <c r="F563" s="293" t="s">
        <v>39</v>
      </c>
      <c r="G563" s="433">
        <v>160000</v>
      </c>
      <c r="H563" s="325">
        <v>1</v>
      </c>
      <c r="I563" s="295"/>
      <c r="J563" s="260" t="s">
        <v>89</v>
      </c>
    </row>
    <row r="564" spans="1:10" ht="25" hidden="1" customHeight="1">
      <c r="A564" s="289"/>
      <c r="B564" s="290" t="s">
        <v>750</v>
      </c>
      <c r="C564" s="339" t="s">
        <v>746</v>
      </c>
      <c r="D564" s="292" t="s">
        <v>589</v>
      </c>
      <c r="E564" s="293">
        <v>2</v>
      </c>
      <c r="F564" s="293" t="s">
        <v>39</v>
      </c>
      <c r="G564" s="433">
        <v>280000</v>
      </c>
      <c r="H564" s="325">
        <v>1</v>
      </c>
      <c r="I564" s="295"/>
      <c r="J564" s="260" t="s">
        <v>89</v>
      </c>
    </row>
    <row r="565" spans="1:10" ht="25" hidden="1" customHeight="1">
      <c r="A565" s="289"/>
      <c r="B565" s="290" t="s">
        <v>751</v>
      </c>
      <c r="C565" s="339" t="s">
        <v>746</v>
      </c>
      <c r="D565" s="292" t="s">
        <v>429</v>
      </c>
      <c r="E565" s="293">
        <v>2.5</v>
      </c>
      <c r="F565" s="293" t="s">
        <v>39</v>
      </c>
      <c r="G565" s="433">
        <v>400000</v>
      </c>
      <c r="H565" s="325">
        <v>1</v>
      </c>
      <c r="I565" s="295"/>
      <c r="J565" s="260" t="s">
        <v>89</v>
      </c>
    </row>
    <row r="566" spans="1:10" ht="25" hidden="1" customHeight="1">
      <c r="A566" s="289"/>
      <c r="B566" s="290" t="s">
        <v>752</v>
      </c>
      <c r="C566" s="339" t="s">
        <v>746</v>
      </c>
      <c r="D566" s="292" t="s">
        <v>665</v>
      </c>
      <c r="E566" s="293">
        <v>3</v>
      </c>
      <c r="F566" s="293" t="s">
        <v>39</v>
      </c>
      <c r="G566" s="433">
        <v>520000</v>
      </c>
      <c r="H566" s="325">
        <v>1</v>
      </c>
      <c r="I566" s="295"/>
      <c r="J566" s="260" t="s">
        <v>89</v>
      </c>
    </row>
    <row r="567" spans="1:10" ht="25" hidden="1" customHeight="1">
      <c r="A567" s="289"/>
      <c r="B567" s="290" t="s">
        <v>753</v>
      </c>
      <c r="C567" s="339" t="s">
        <v>754</v>
      </c>
      <c r="D567" s="292" t="s">
        <v>478</v>
      </c>
      <c r="E567" s="293">
        <v>1</v>
      </c>
      <c r="F567" s="293" t="s">
        <v>39</v>
      </c>
      <c r="G567" s="433">
        <v>80000</v>
      </c>
      <c r="H567" s="325">
        <v>0.5</v>
      </c>
      <c r="I567" s="295"/>
      <c r="J567" s="260" t="s">
        <v>89</v>
      </c>
    </row>
    <row r="568" spans="1:10" ht="25" hidden="1" customHeight="1">
      <c r="A568" s="289"/>
      <c r="B568" s="290" t="s">
        <v>755</v>
      </c>
      <c r="C568" s="339" t="s">
        <v>754</v>
      </c>
      <c r="D568" s="292" t="s">
        <v>40</v>
      </c>
      <c r="E568" s="293">
        <v>1</v>
      </c>
      <c r="F568" s="293" t="s">
        <v>39</v>
      </c>
      <c r="G568" s="433">
        <v>100000</v>
      </c>
      <c r="H568" s="325">
        <v>0.5</v>
      </c>
      <c r="I568" s="295"/>
      <c r="J568" s="260" t="s">
        <v>89</v>
      </c>
    </row>
    <row r="569" spans="1:10" ht="25" hidden="1" customHeight="1">
      <c r="A569" s="289"/>
      <c r="B569" s="290" t="s">
        <v>756</v>
      </c>
      <c r="C569" s="339" t="s">
        <v>754</v>
      </c>
      <c r="D569" s="292" t="s">
        <v>587</v>
      </c>
      <c r="E569" s="293">
        <v>1.5</v>
      </c>
      <c r="F569" s="293" t="s">
        <v>39</v>
      </c>
      <c r="G569" s="433">
        <v>160000</v>
      </c>
      <c r="H569" s="325">
        <v>0.5</v>
      </c>
      <c r="I569" s="295"/>
      <c r="J569" s="260" t="s">
        <v>89</v>
      </c>
    </row>
    <row r="570" spans="1:10" ht="25" hidden="1" customHeight="1">
      <c r="A570" s="289"/>
      <c r="B570" s="290" t="s">
        <v>757</v>
      </c>
      <c r="C570" s="339" t="s">
        <v>754</v>
      </c>
      <c r="D570" s="292" t="s">
        <v>589</v>
      </c>
      <c r="E570" s="293">
        <v>2</v>
      </c>
      <c r="F570" s="293" t="s">
        <v>39</v>
      </c>
      <c r="G570" s="433">
        <v>280000</v>
      </c>
      <c r="H570" s="325">
        <v>0.5</v>
      </c>
      <c r="I570" s="295"/>
      <c r="J570" s="260" t="s">
        <v>89</v>
      </c>
    </row>
    <row r="571" spans="1:10" ht="25" hidden="1" customHeight="1">
      <c r="A571" s="289"/>
      <c r="B571" s="290" t="s">
        <v>758</v>
      </c>
      <c r="C571" s="339" t="s">
        <v>754</v>
      </c>
      <c r="D571" s="292" t="s">
        <v>429</v>
      </c>
      <c r="E571" s="293">
        <v>2.5</v>
      </c>
      <c r="F571" s="293" t="s">
        <v>39</v>
      </c>
      <c r="G571" s="433">
        <v>400000</v>
      </c>
      <c r="H571" s="325">
        <v>0.5</v>
      </c>
      <c r="I571" s="295"/>
      <c r="J571" s="260" t="s">
        <v>89</v>
      </c>
    </row>
    <row r="572" spans="1:10" ht="25" hidden="1" customHeight="1">
      <c r="A572" s="289"/>
      <c r="B572" s="290" t="s">
        <v>759</v>
      </c>
      <c r="C572" s="339" t="s">
        <v>754</v>
      </c>
      <c r="D572" s="292" t="s">
        <v>665</v>
      </c>
      <c r="E572" s="293">
        <v>3</v>
      </c>
      <c r="F572" s="293" t="s">
        <v>39</v>
      </c>
      <c r="G572" s="433">
        <v>520000</v>
      </c>
      <c r="H572" s="325">
        <v>0.5</v>
      </c>
      <c r="I572" s="295"/>
      <c r="J572" s="260" t="s">
        <v>89</v>
      </c>
    </row>
    <row r="573" spans="1:10" ht="25" hidden="1" customHeight="1">
      <c r="A573" s="274"/>
      <c r="B573" s="319"/>
      <c r="C573" s="418" t="s">
        <v>760</v>
      </c>
      <c r="D573" s="321"/>
      <c r="E573" s="277"/>
      <c r="F573" s="277"/>
      <c r="G573" s="322"/>
      <c r="H573" s="280"/>
      <c r="I573" s="279"/>
    </row>
    <row r="574" spans="1:10" ht="25" hidden="1" customHeight="1">
      <c r="A574" s="343"/>
      <c r="B574" s="290" t="s">
        <v>761</v>
      </c>
      <c r="C574" s="339" t="s">
        <v>760</v>
      </c>
      <c r="D574" s="292" t="s">
        <v>478</v>
      </c>
      <c r="E574" s="293">
        <v>1</v>
      </c>
      <c r="F574" s="293" t="s">
        <v>39</v>
      </c>
      <c r="G574" s="433">
        <v>80000</v>
      </c>
      <c r="H574" s="434">
        <v>1</v>
      </c>
      <c r="I574" s="417"/>
      <c r="J574" s="260" t="s">
        <v>89</v>
      </c>
    </row>
    <row r="575" spans="1:10" ht="25" hidden="1" customHeight="1">
      <c r="A575" s="289"/>
      <c r="B575" s="290" t="s">
        <v>762</v>
      </c>
      <c r="C575" s="339" t="s">
        <v>760</v>
      </c>
      <c r="D575" s="292" t="s">
        <v>40</v>
      </c>
      <c r="E575" s="293">
        <v>1</v>
      </c>
      <c r="F575" s="293" t="s">
        <v>39</v>
      </c>
      <c r="G575" s="433">
        <v>100000</v>
      </c>
      <c r="H575" s="434">
        <v>1</v>
      </c>
      <c r="I575" s="295"/>
      <c r="J575" s="260" t="s">
        <v>89</v>
      </c>
    </row>
    <row r="576" spans="1:10" ht="25" hidden="1" customHeight="1">
      <c r="A576" s="289"/>
      <c r="B576" s="290" t="s">
        <v>763</v>
      </c>
      <c r="C576" s="339" t="s">
        <v>760</v>
      </c>
      <c r="D576" s="292" t="s">
        <v>587</v>
      </c>
      <c r="E576" s="293">
        <v>1.5</v>
      </c>
      <c r="F576" s="293" t="s">
        <v>39</v>
      </c>
      <c r="G576" s="433">
        <v>160000</v>
      </c>
      <c r="H576" s="434">
        <v>1</v>
      </c>
      <c r="I576" s="295"/>
      <c r="J576" s="260" t="s">
        <v>89</v>
      </c>
    </row>
    <row r="577" spans="1:10" ht="25" hidden="1" customHeight="1">
      <c r="A577" s="289"/>
      <c r="B577" s="290" t="s">
        <v>764</v>
      </c>
      <c r="C577" s="339" t="s">
        <v>760</v>
      </c>
      <c r="D577" s="292" t="s">
        <v>589</v>
      </c>
      <c r="E577" s="293">
        <v>2</v>
      </c>
      <c r="F577" s="293" t="s">
        <v>39</v>
      </c>
      <c r="G577" s="433">
        <v>280000</v>
      </c>
      <c r="H577" s="434">
        <v>1</v>
      </c>
      <c r="I577" s="295"/>
      <c r="J577" s="260" t="s">
        <v>89</v>
      </c>
    </row>
    <row r="578" spans="1:10" ht="25" hidden="1" customHeight="1">
      <c r="A578" s="289"/>
      <c r="B578" s="290" t="s">
        <v>765</v>
      </c>
      <c r="C578" s="339" t="s">
        <v>760</v>
      </c>
      <c r="D578" s="292" t="s">
        <v>429</v>
      </c>
      <c r="E578" s="293">
        <v>2.5</v>
      </c>
      <c r="F578" s="293" t="s">
        <v>39</v>
      </c>
      <c r="G578" s="433">
        <v>400000</v>
      </c>
      <c r="H578" s="434">
        <v>1</v>
      </c>
      <c r="I578" s="295"/>
      <c r="J578" s="260" t="s">
        <v>89</v>
      </c>
    </row>
    <row r="579" spans="1:10" ht="25" hidden="1" customHeight="1">
      <c r="A579" s="289"/>
      <c r="B579" s="290" t="s">
        <v>766</v>
      </c>
      <c r="C579" s="339" t="s">
        <v>760</v>
      </c>
      <c r="D579" s="292" t="s">
        <v>94</v>
      </c>
      <c r="E579" s="293">
        <v>3</v>
      </c>
      <c r="F579" s="293" t="s">
        <v>39</v>
      </c>
      <c r="G579" s="433">
        <v>520000</v>
      </c>
      <c r="H579" s="434">
        <v>1</v>
      </c>
      <c r="I579" s="295"/>
      <c r="J579" s="260" t="s">
        <v>89</v>
      </c>
    </row>
    <row r="580" spans="1:10" ht="25" hidden="1" customHeight="1">
      <c r="A580" s="274"/>
      <c r="B580" s="319"/>
      <c r="C580" s="418" t="s">
        <v>767</v>
      </c>
      <c r="D580" s="321"/>
      <c r="E580" s="277">
        <f>10000/400</f>
        <v>25</v>
      </c>
      <c r="F580" s="277"/>
      <c r="G580" s="322"/>
      <c r="H580" s="280"/>
      <c r="I580" s="279"/>
    </row>
    <row r="581" spans="1:10" ht="25" hidden="1" customHeight="1">
      <c r="A581" s="289"/>
      <c r="B581" s="290" t="s">
        <v>768</v>
      </c>
      <c r="C581" s="339" t="s">
        <v>769</v>
      </c>
      <c r="D581" s="284" t="s">
        <v>63</v>
      </c>
      <c r="E581" s="277"/>
      <c r="F581" s="293" t="s">
        <v>31</v>
      </c>
      <c r="G581" s="294">
        <v>70000</v>
      </c>
      <c r="H581" s="325">
        <v>1</v>
      </c>
      <c r="I581" s="295"/>
      <c r="J581" s="260" t="s">
        <v>89</v>
      </c>
    </row>
    <row r="582" spans="1:10" ht="25" hidden="1" customHeight="1">
      <c r="A582" s="289"/>
      <c r="B582" s="290" t="s">
        <v>770</v>
      </c>
      <c r="C582" s="339" t="s">
        <v>769</v>
      </c>
      <c r="D582" s="292" t="s">
        <v>66</v>
      </c>
      <c r="E582" s="277">
        <f>10000/400</f>
        <v>25</v>
      </c>
      <c r="F582" s="293" t="s">
        <v>39</v>
      </c>
      <c r="G582" s="294">
        <v>130000</v>
      </c>
      <c r="H582" s="325">
        <v>1</v>
      </c>
      <c r="I582" s="295"/>
      <c r="J582" s="260" t="s">
        <v>89</v>
      </c>
    </row>
    <row r="583" spans="1:10" ht="25" hidden="1" customHeight="1">
      <c r="A583" s="289"/>
      <c r="B583" s="290" t="s">
        <v>771</v>
      </c>
      <c r="C583" s="339" t="s">
        <v>769</v>
      </c>
      <c r="D583" s="292" t="s">
        <v>68</v>
      </c>
      <c r="E583" s="277">
        <f>10000/400</f>
        <v>25</v>
      </c>
      <c r="F583" s="293" t="s">
        <v>39</v>
      </c>
      <c r="G583" s="294">
        <v>220000</v>
      </c>
      <c r="H583" s="325">
        <v>1</v>
      </c>
      <c r="I583" s="295"/>
      <c r="J583" s="260" t="s">
        <v>89</v>
      </c>
    </row>
    <row r="584" spans="1:10" ht="25" hidden="1" customHeight="1">
      <c r="A584" s="289"/>
      <c r="B584" s="290" t="s">
        <v>772</v>
      </c>
      <c r="C584" s="339" t="s">
        <v>769</v>
      </c>
      <c r="D584" s="292" t="s">
        <v>70</v>
      </c>
      <c r="E584" s="277">
        <f>10000/400</f>
        <v>25</v>
      </c>
      <c r="F584" s="293" t="s">
        <v>39</v>
      </c>
      <c r="G584" s="294">
        <v>330000</v>
      </c>
      <c r="H584" s="325">
        <v>1</v>
      </c>
      <c r="I584" s="295"/>
      <c r="J584" s="260" t="s">
        <v>89</v>
      </c>
    </row>
    <row r="585" spans="1:10" ht="25" hidden="1" customHeight="1">
      <c r="A585" s="289"/>
      <c r="B585" s="290" t="s">
        <v>773</v>
      </c>
      <c r="C585" s="339" t="s">
        <v>769</v>
      </c>
      <c r="D585" s="292" t="s">
        <v>72</v>
      </c>
      <c r="E585" s="277">
        <f>10000/400</f>
        <v>25</v>
      </c>
      <c r="F585" s="293" t="s">
        <v>39</v>
      </c>
      <c r="G585" s="294">
        <v>360000</v>
      </c>
      <c r="H585" s="325">
        <v>1</v>
      </c>
      <c r="I585" s="295"/>
      <c r="J585" s="260" t="s">
        <v>89</v>
      </c>
    </row>
    <row r="586" spans="1:10" ht="25" hidden="1" customHeight="1">
      <c r="A586" s="289"/>
      <c r="B586" s="290" t="s">
        <v>774</v>
      </c>
      <c r="C586" s="339" t="s">
        <v>769</v>
      </c>
      <c r="D586" s="299" t="s">
        <v>74</v>
      </c>
      <c r="E586" s="277">
        <f>10000/400</f>
        <v>25</v>
      </c>
      <c r="F586" s="293" t="s">
        <v>39</v>
      </c>
      <c r="G586" s="294">
        <v>500000</v>
      </c>
      <c r="H586" s="325">
        <v>1</v>
      </c>
      <c r="I586" s="295"/>
      <c r="J586" s="260" t="s">
        <v>89</v>
      </c>
    </row>
    <row r="587" spans="1:10" ht="25" hidden="1" customHeight="1">
      <c r="A587" s="289"/>
      <c r="B587" s="290" t="s">
        <v>775</v>
      </c>
      <c r="C587" s="339" t="s">
        <v>776</v>
      </c>
      <c r="D587" s="284" t="s">
        <v>63</v>
      </c>
      <c r="E587" s="277"/>
      <c r="F587" s="293" t="s">
        <v>31</v>
      </c>
      <c r="G587" s="294">
        <v>70000</v>
      </c>
      <c r="H587" s="325">
        <v>0.5</v>
      </c>
      <c r="I587" s="295"/>
      <c r="J587" s="260" t="s">
        <v>89</v>
      </c>
    </row>
    <row r="588" spans="1:10" ht="25" hidden="1" customHeight="1">
      <c r="A588" s="289"/>
      <c r="B588" s="290" t="s">
        <v>777</v>
      </c>
      <c r="C588" s="339" t="s">
        <v>776</v>
      </c>
      <c r="D588" s="292" t="s">
        <v>66</v>
      </c>
      <c r="E588" s="277">
        <f t="shared" ref="E588:E593" si="21">10000/400</f>
        <v>25</v>
      </c>
      <c r="F588" s="293" t="s">
        <v>39</v>
      </c>
      <c r="G588" s="294">
        <v>130000</v>
      </c>
      <c r="H588" s="325">
        <v>0.5</v>
      </c>
      <c r="I588" s="295"/>
      <c r="J588" s="260" t="s">
        <v>89</v>
      </c>
    </row>
    <row r="589" spans="1:10" ht="25" hidden="1" customHeight="1">
      <c r="A589" s="289"/>
      <c r="B589" s="290" t="s">
        <v>778</v>
      </c>
      <c r="C589" s="339" t="s">
        <v>776</v>
      </c>
      <c r="D589" s="292" t="s">
        <v>68</v>
      </c>
      <c r="E589" s="277">
        <f t="shared" si="21"/>
        <v>25</v>
      </c>
      <c r="F589" s="293" t="s">
        <v>39</v>
      </c>
      <c r="G589" s="294">
        <v>220000</v>
      </c>
      <c r="H589" s="325">
        <v>0.5</v>
      </c>
      <c r="I589" s="295"/>
      <c r="J589" s="260" t="s">
        <v>89</v>
      </c>
    </row>
    <row r="590" spans="1:10" ht="25" hidden="1" customHeight="1">
      <c r="A590" s="289"/>
      <c r="B590" s="290" t="s">
        <v>779</v>
      </c>
      <c r="C590" s="339" t="s">
        <v>776</v>
      </c>
      <c r="D590" s="292" t="s">
        <v>70</v>
      </c>
      <c r="E590" s="277">
        <f t="shared" si="21"/>
        <v>25</v>
      </c>
      <c r="F590" s="293" t="s">
        <v>39</v>
      </c>
      <c r="G590" s="294">
        <v>330000</v>
      </c>
      <c r="H590" s="325">
        <v>0.5</v>
      </c>
      <c r="I590" s="295"/>
      <c r="J590" s="260" t="s">
        <v>89</v>
      </c>
    </row>
    <row r="591" spans="1:10" ht="25" hidden="1" customHeight="1">
      <c r="A591" s="289"/>
      <c r="B591" s="290" t="s">
        <v>780</v>
      </c>
      <c r="C591" s="339" t="s">
        <v>776</v>
      </c>
      <c r="D591" s="292" t="s">
        <v>72</v>
      </c>
      <c r="E591" s="277">
        <f t="shared" si="21"/>
        <v>25</v>
      </c>
      <c r="F591" s="293" t="s">
        <v>39</v>
      </c>
      <c r="G591" s="294">
        <v>360000</v>
      </c>
      <c r="H591" s="325">
        <v>0.5</v>
      </c>
      <c r="I591" s="295"/>
      <c r="J591" s="260" t="s">
        <v>89</v>
      </c>
    </row>
    <row r="592" spans="1:10" ht="25" hidden="1" customHeight="1">
      <c r="A592" s="289"/>
      <c r="B592" s="290" t="s">
        <v>781</v>
      </c>
      <c r="C592" s="339" t="s">
        <v>776</v>
      </c>
      <c r="D592" s="299" t="s">
        <v>74</v>
      </c>
      <c r="E592" s="277">
        <f t="shared" si="21"/>
        <v>25</v>
      </c>
      <c r="F592" s="293" t="s">
        <v>39</v>
      </c>
      <c r="G592" s="294">
        <v>500000</v>
      </c>
      <c r="H592" s="325">
        <v>0.5</v>
      </c>
      <c r="I592" s="295"/>
      <c r="J592" s="260" t="s">
        <v>89</v>
      </c>
    </row>
    <row r="593" spans="1:10" ht="25" hidden="1" customHeight="1">
      <c r="A593" s="289"/>
      <c r="B593" s="290" t="s">
        <v>782</v>
      </c>
      <c r="C593" s="339" t="s">
        <v>783</v>
      </c>
      <c r="D593" s="292" t="s">
        <v>66</v>
      </c>
      <c r="E593" s="277">
        <f t="shared" si="21"/>
        <v>25</v>
      </c>
      <c r="F593" s="293" t="s">
        <v>39</v>
      </c>
      <c r="G593" s="294">
        <v>130000</v>
      </c>
      <c r="H593" s="325">
        <v>0.3</v>
      </c>
      <c r="I593" s="295"/>
      <c r="J593" s="260" t="s">
        <v>89</v>
      </c>
    </row>
    <row r="594" spans="1:10" ht="25" hidden="1" customHeight="1">
      <c r="A594" s="274"/>
      <c r="B594" s="319"/>
      <c r="C594" s="418" t="s">
        <v>784</v>
      </c>
      <c r="D594" s="321"/>
      <c r="E594" s="277"/>
      <c r="F594" s="277"/>
      <c r="G594" s="322"/>
      <c r="H594" s="280"/>
      <c r="I594" s="279"/>
      <c r="J594" s="260" t="s">
        <v>89</v>
      </c>
    </row>
    <row r="595" spans="1:10" ht="25" hidden="1" customHeight="1">
      <c r="A595" s="289"/>
      <c r="B595" s="319"/>
      <c r="C595" s="418" t="s">
        <v>784</v>
      </c>
      <c r="D595" s="321"/>
      <c r="E595" s="277"/>
      <c r="F595" s="277"/>
      <c r="G595" s="322"/>
      <c r="H595" s="280"/>
      <c r="I595" s="295"/>
      <c r="J595" s="260" t="s">
        <v>89</v>
      </c>
    </row>
    <row r="596" spans="1:10" ht="25" hidden="1" customHeight="1">
      <c r="A596" s="289"/>
      <c r="B596" s="290" t="s">
        <v>785</v>
      </c>
      <c r="C596" s="339" t="s">
        <v>784</v>
      </c>
      <c r="D596" s="284" t="s">
        <v>63</v>
      </c>
      <c r="E596" s="435"/>
      <c r="F596" s="293" t="s">
        <v>31</v>
      </c>
      <c r="G596" s="294">
        <v>70000</v>
      </c>
      <c r="H596" s="325">
        <v>1</v>
      </c>
      <c r="I596" s="295"/>
      <c r="J596" s="260" t="s">
        <v>89</v>
      </c>
    </row>
    <row r="597" spans="1:10" ht="25" hidden="1" customHeight="1">
      <c r="A597" s="289"/>
      <c r="B597" s="290" t="s">
        <v>786</v>
      </c>
      <c r="C597" s="339" t="s">
        <v>784</v>
      </c>
      <c r="D597" s="292" t="s">
        <v>66</v>
      </c>
      <c r="E597" s="435">
        <f>360/72</f>
        <v>5</v>
      </c>
      <c r="F597" s="293" t="s">
        <v>39</v>
      </c>
      <c r="G597" s="294">
        <v>130000</v>
      </c>
      <c r="H597" s="325">
        <v>1</v>
      </c>
      <c r="I597" s="295"/>
      <c r="J597" s="260" t="s">
        <v>89</v>
      </c>
    </row>
    <row r="598" spans="1:10" ht="25" hidden="1" customHeight="1">
      <c r="A598" s="289"/>
      <c r="B598" s="290" t="s">
        <v>787</v>
      </c>
      <c r="C598" s="339" t="s">
        <v>784</v>
      </c>
      <c r="D598" s="292" t="s">
        <v>68</v>
      </c>
      <c r="E598" s="435">
        <f>360/54</f>
        <v>6.666666666666667</v>
      </c>
      <c r="F598" s="293" t="s">
        <v>39</v>
      </c>
      <c r="G598" s="294">
        <v>220000</v>
      </c>
      <c r="H598" s="325">
        <v>1</v>
      </c>
      <c r="I598" s="295"/>
      <c r="J598" s="260" t="s">
        <v>89</v>
      </c>
    </row>
    <row r="599" spans="1:10" ht="25" hidden="1" customHeight="1">
      <c r="A599" s="289"/>
      <c r="B599" s="290" t="s">
        <v>788</v>
      </c>
      <c r="C599" s="339" t="s">
        <v>784</v>
      </c>
      <c r="D599" s="292" t="s">
        <v>70</v>
      </c>
      <c r="E599" s="435">
        <f>360/43</f>
        <v>8.3720930232558146</v>
      </c>
      <c r="F599" s="293" t="s">
        <v>39</v>
      </c>
      <c r="G599" s="294">
        <v>330000</v>
      </c>
      <c r="H599" s="325">
        <v>1</v>
      </c>
      <c r="I599" s="295"/>
      <c r="J599" s="260" t="s">
        <v>89</v>
      </c>
    </row>
    <row r="600" spans="1:10" ht="25" hidden="1" customHeight="1">
      <c r="A600" s="289"/>
      <c r="B600" s="290" t="s">
        <v>789</v>
      </c>
      <c r="C600" s="339" t="s">
        <v>784</v>
      </c>
      <c r="D600" s="292" t="s">
        <v>72</v>
      </c>
      <c r="E600" s="435">
        <f>360/43</f>
        <v>8.3720930232558146</v>
      </c>
      <c r="F600" s="293" t="s">
        <v>39</v>
      </c>
      <c r="G600" s="294">
        <v>360000</v>
      </c>
      <c r="H600" s="325">
        <v>1</v>
      </c>
      <c r="I600" s="295"/>
      <c r="J600" s="260" t="s">
        <v>89</v>
      </c>
    </row>
    <row r="601" spans="1:10" ht="25" hidden="1" customHeight="1">
      <c r="A601" s="289"/>
      <c r="B601" s="290" t="s">
        <v>790</v>
      </c>
      <c r="C601" s="339" t="s">
        <v>784</v>
      </c>
      <c r="D601" s="299" t="s">
        <v>74</v>
      </c>
      <c r="E601" s="435">
        <f>360/32</f>
        <v>11.25</v>
      </c>
      <c r="F601" s="293" t="s">
        <v>39</v>
      </c>
      <c r="G601" s="294">
        <v>500000</v>
      </c>
      <c r="H601" s="325">
        <v>1</v>
      </c>
      <c r="I601" s="295"/>
      <c r="J601" s="260" t="s">
        <v>89</v>
      </c>
    </row>
    <row r="602" spans="1:10" ht="25" hidden="1" customHeight="1">
      <c r="A602" s="289"/>
      <c r="B602" s="290" t="s">
        <v>791</v>
      </c>
      <c r="C602" s="339" t="s">
        <v>792</v>
      </c>
      <c r="D602" s="284" t="s">
        <v>63</v>
      </c>
      <c r="E602" s="435"/>
      <c r="F602" s="293" t="s">
        <v>31</v>
      </c>
      <c r="G602" s="294">
        <v>70000</v>
      </c>
      <c r="H602" s="325">
        <v>0.5</v>
      </c>
      <c r="I602" s="295"/>
      <c r="J602" s="260" t="s">
        <v>89</v>
      </c>
    </row>
    <row r="603" spans="1:10" ht="25" hidden="1" customHeight="1">
      <c r="A603" s="289"/>
      <c r="B603" s="290" t="s">
        <v>793</v>
      </c>
      <c r="C603" s="339" t="s">
        <v>792</v>
      </c>
      <c r="D603" s="292" t="s">
        <v>66</v>
      </c>
      <c r="E603" s="435">
        <f>360/72</f>
        <v>5</v>
      </c>
      <c r="F603" s="293" t="s">
        <v>39</v>
      </c>
      <c r="G603" s="294">
        <v>130000</v>
      </c>
      <c r="H603" s="325">
        <v>0.5</v>
      </c>
      <c r="I603" s="295"/>
      <c r="J603" s="260" t="s">
        <v>89</v>
      </c>
    </row>
    <row r="604" spans="1:10" ht="25" hidden="1" customHeight="1">
      <c r="A604" s="289"/>
      <c r="B604" s="290" t="s">
        <v>794</v>
      </c>
      <c r="C604" s="339" t="s">
        <v>792</v>
      </c>
      <c r="D604" s="292" t="s">
        <v>68</v>
      </c>
      <c r="E604" s="435">
        <f>360/54</f>
        <v>6.666666666666667</v>
      </c>
      <c r="F604" s="293" t="s">
        <v>39</v>
      </c>
      <c r="G604" s="294">
        <v>220000</v>
      </c>
      <c r="H604" s="325">
        <v>0.5</v>
      </c>
      <c r="I604" s="295"/>
      <c r="J604" s="260" t="s">
        <v>89</v>
      </c>
    </row>
    <row r="605" spans="1:10" ht="25" hidden="1" customHeight="1">
      <c r="A605" s="289"/>
      <c r="B605" s="290" t="s">
        <v>795</v>
      </c>
      <c r="C605" s="339" t="s">
        <v>792</v>
      </c>
      <c r="D605" s="292" t="s">
        <v>70</v>
      </c>
      <c r="E605" s="435">
        <f>360/43</f>
        <v>8.3720930232558146</v>
      </c>
      <c r="F605" s="293" t="s">
        <v>39</v>
      </c>
      <c r="G605" s="294">
        <v>330000</v>
      </c>
      <c r="H605" s="325">
        <v>0.5</v>
      </c>
      <c r="I605" s="295"/>
      <c r="J605" s="260" t="s">
        <v>89</v>
      </c>
    </row>
    <row r="606" spans="1:10" ht="25" hidden="1" customHeight="1">
      <c r="A606" s="289"/>
      <c r="B606" s="290" t="s">
        <v>796</v>
      </c>
      <c r="C606" s="339" t="s">
        <v>792</v>
      </c>
      <c r="D606" s="292" t="s">
        <v>72</v>
      </c>
      <c r="E606" s="435">
        <f>360/43</f>
        <v>8.3720930232558146</v>
      </c>
      <c r="F606" s="293" t="s">
        <v>39</v>
      </c>
      <c r="G606" s="294">
        <v>360000</v>
      </c>
      <c r="H606" s="325">
        <v>0.5</v>
      </c>
      <c r="I606" s="295"/>
      <c r="J606" s="260" t="s">
        <v>89</v>
      </c>
    </row>
    <row r="607" spans="1:10" ht="25" hidden="1" customHeight="1">
      <c r="A607" s="289"/>
      <c r="B607" s="290" t="s">
        <v>797</v>
      </c>
      <c r="C607" s="339" t="s">
        <v>792</v>
      </c>
      <c r="D607" s="299" t="s">
        <v>74</v>
      </c>
      <c r="E607" s="435">
        <f>360/32</f>
        <v>11.25</v>
      </c>
      <c r="F607" s="293" t="s">
        <v>39</v>
      </c>
      <c r="G607" s="294">
        <v>500000</v>
      </c>
      <c r="H607" s="325">
        <v>0.5</v>
      </c>
      <c r="I607" s="295"/>
      <c r="J607" s="260" t="s">
        <v>89</v>
      </c>
    </row>
    <row r="608" spans="1:10" ht="25" hidden="1" customHeight="1">
      <c r="A608" s="274"/>
      <c r="B608" s="290" t="s">
        <v>798</v>
      </c>
      <c r="C608" s="339" t="s">
        <v>799</v>
      </c>
      <c r="D608" s="292" t="s">
        <v>66</v>
      </c>
      <c r="E608" s="435">
        <v>5</v>
      </c>
      <c r="F608" s="293" t="s">
        <v>39</v>
      </c>
      <c r="G608" s="294">
        <v>130000</v>
      </c>
      <c r="H608" s="325">
        <v>0.3</v>
      </c>
      <c r="I608" s="279"/>
    </row>
    <row r="609" spans="1:10" ht="25" hidden="1" customHeight="1">
      <c r="A609" s="289"/>
      <c r="B609" s="290" t="s">
        <v>800</v>
      </c>
      <c r="C609" s="339" t="s">
        <v>801</v>
      </c>
      <c r="D609" s="284" t="s">
        <v>63</v>
      </c>
      <c r="E609" s="321" t="s">
        <v>802</v>
      </c>
      <c r="F609" s="293" t="s">
        <v>31</v>
      </c>
      <c r="G609" s="294">
        <v>70000</v>
      </c>
      <c r="H609" s="325">
        <v>1</v>
      </c>
      <c r="I609" s="295"/>
      <c r="J609" s="260" t="s">
        <v>89</v>
      </c>
    </row>
    <row r="610" spans="1:10" ht="25" hidden="1" customHeight="1">
      <c r="A610" s="289"/>
      <c r="B610" s="290" t="s">
        <v>803</v>
      </c>
      <c r="C610" s="339" t="s">
        <v>801</v>
      </c>
      <c r="D610" s="292" t="s">
        <v>66</v>
      </c>
      <c r="E610" s="321" t="s">
        <v>804</v>
      </c>
      <c r="F610" s="293" t="s">
        <v>39</v>
      </c>
      <c r="G610" s="294">
        <v>180000</v>
      </c>
      <c r="H610" s="325">
        <v>1</v>
      </c>
      <c r="I610" s="295"/>
      <c r="J610" s="260" t="s">
        <v>89</v>
      </c>
    </row>
    <row r="611" spans="1:10" ht="25" hidden="1" customHeight="1">
      <c r="A611" s="289"/>
      <c r="B611" s="290" t="s">
        <v>805</v>
      </c>
      <c r="C611" s="339" t="s">
        <v>801</v>
      </c>
      <c r="D611" s="292" t="s">
        <v>68</v>
      </c>
      <c r="E611" s="321" t="s">
        <v>804</v>
      </c>
      <c r="F611" s="293" t="s">
        <v>39</v>
      </c>
      <c r="G611" s="294">
        <v>300000</v>
      </c>
      <c r="H611" s="325">
        <v>1</v>
      </c>
      <c r="I611" s="295"/>
      <c r="J611" s="260" t="s">
        <v>89</v>
      </c>
    </row>
    <row r="612" spans="1:10" ht="25" hidden="1" customHeight="1">
      <c r="A612" s="289"/>
      <c r="B612" s="290" t="s">
        <v>806</v>
      </c>
      <c r="C612" s="339" t="s">
        <v>801</v>
      </c>
      <c r="D612" s="292" t="s">
        <v>70</v>
      </c>
      <c r="E612" s="321" t="s">
        <v>804</v>
      </c>
      <c r="F612" s="293" t="s">
        <v>39</v>
      </c>
      <c r="G612" s="294">
        <v>520000</v>
      </c>
      <c r="H612" s="325">
        <v>1</v>
      </c>
      <c r="I612" s="295"/>
      <c r="J612" s="260" t="s">
        <v>89</v>
      </c>
    </row>
    <row r="613" spans="1:10" ht="25" hidden="1" customHeight="1">
      <c r="A613" s="289"/>
      <c r="B613" s="290" t="s">
        <v>807</v>
      </c>
      <c r="C613" s="339" t="s">
        <v>801</v>
      </c>
      <c r="D613" s="292" t="s">
        <v>72</v>
      </c>
      <c r="E613" s="321" t="s">
        <v>804</v>
      </c>
      <c r="F613" s="293" t="s">
        <v>39</v>
      </c>
      <c r="G613" s="294">
        <v>700000</v>
      </c>
      <c r="H613" s="325">
        <v>1</v>
      </c>
      <c r="I613" s="295"/>
      <c r="J613" s="260" t="s">
        <v>89</v>
      </c>
    </row>
    <row r="614" spans="1:10" ht="25" hidden="1" customHeight="1">
      <c r="A614" s="296"/>
      <c r="B614" s="297" t="s">
        <v>808</v>
      </c>
      <c r="C614" s="340" t="s">
        <v>801</v>
      </c>
      <c r="D614" s="299" t="s">
        <v>74</v>
      </c>
      <c r="E614" s="321" t="s">
        <v>804</v>
      </c>
      <c r="F614" s="300" t="s">
        <v>39</v>
      </c>
      <c r="G614" s="301">
        <v>1000000</v>
      </c>
      <c r="H614" s="325">
        <v>1</v>
      </c>
      <c r="I614" s="302"/>
      <c r="J614" s="260" t="s">
        <v>89</v>
      </c>
    </row>
    <row r="615" spans="1:10" ht="25" hidden="1" customHeight="1">
      <c r="A615" s="358"/>
      <c r="B615" s="359" t="s">
        <v>809</v>
      </c>
      <c r="C615" s="405" t="s">
        <v>810</v>
      </c>
      <c r="D615" s="360" t="s">
        <v>63</v>
      </c>
      <c r="E615" s="321" t="s">
        <v>804</v>
      </c>
      <c r="F615" s="406" t="s">
        <v>31</v>
      </c>
      <c r="G615" s="430">
        <v>70000</v>
      </c>
      <c r="H615" s="387">
        <v>0.5</v>
      </c>
      <c r="I615" s="361"/>
      <c r="J615" s="260" t="s">
        <v>89</v>
      </c>
    </row>
    <row r="616" spans="1:10" ht="25" hidden="1" customHeight="1">
      <c r="A616" s="289"/>
      <c r="B616" s="290" t="s">
        <v>811</v>
      </c>
      <c r="C616" s="339" t="s">
        <v>810</v>
      </c>
      <c r="D616" s="292" t="s">
        <v>66</v>
      </c>
      <c r="E616" s="321" t="s">
        <v>804</v>
      </c>
      <c r="F616" s="293" t="s">
        <v>39</v>
      </c>
      <c r="G616" s="294">
        <v>180000</v>
      </c>
      <c r="H616" s="387">
        <v>0.5</v>
      </c>
      <c r="I616" s="295"/>
      <c r="J616" s="260" t="s">
        <v>89</v>
      </c>
    </row>
    <row r="617" spans="1:10" ht="25" hidden="1" customHeight="1">
      <c r="A617" s="289"/>
      <c r="B617" s="290" t="s">
        <v>812</v>
      </c>
      <c r="C617" s="339" t="s">
        <v>810</v>
      </c>
      <c r="D617" s="292" t="s">
        <v>68</v>
      </c>
      <c r="E617" s="321" t="s">
        <v>804</v>
      </c>
      <c r="F617" s="293" t="s">
        <v>39</v>
      </c>
      <c r="G617" s="294">
        <v>300000</v>
      </c>
      <c r="H617" s="387">
        <v>0.5</v>
      </c>
      <c r="I617" s="295"/>
      <c r="J617" s="260" t="s">
        <v>89</v>
      </c>
    </row>
    <row r="618" spans="1:10" ht="25" hidden="1" customHeight="1">
      <c r="A618" s="289"/>
      <c r="B618" s="290" t="s">
        <v>813</v>
      </c>
      <c r="C618" s="339" t="s">
        <v>810</v>
      </c>
      <c r="D618" s="292" t="s">
        <v>70</v>
      </c>
      <c r="E618" s="321" t="s">
        <v>804</v>
      </c>
      <c r="F618" s="293" t="s">
        <v>39</v>
      </c>
      <c r="G618" s="294">
        <v>520000</v>
      </c>
      <c r="H618" s="387">
        <v>0.5</v>
      </c>
      <c r="I618" s="295"/>
      <c r="J618" s="260" t="s">
        <v>89</v>
      </c>
    </row>
    <row r="619" spans="1:10" ht="25" hidden="1" customHeight="1">
      <c r="A619" s="289"/>
      <c r="B619" s="290" t="s">
        <v>814</v>
      </c>
      <c r="C619" s="339" t="s">
        <v>810</v>
      </c>
      <c r="D619" s="292" t="s">
        <v>72</v>
      </c>
      <c r="E619" s="321" t="s">
        <v>804</v>
      </c>
      <c r="F619" s="293" t="s">
        <v>39</v>
      </c>
      <c r="G619" s="294">
        <v>700000</v>
      </c>
      <c r="H619" s="387">
        <v>0.5</v>
      </c>
      <c r="I619" s="295"/>
      <c r="J619" s="260" t="s">
        <v>89</v>
      </c>
    </row>
    <row r="620" spans="1:10" ht="25" hidden="1" customHeight="1">
      <c r="A620" s="289"/>
      <c r="B620" s="290" t="s">
        <v>815</v>
      </c>
      <c r="C620" s="339" t="s">
        <v>810</v>
      </c>
      <c r="D620" s="299" t="s">
        <v>74</v>
      </c>
      <c r="E620" s="321" t="s">
        <v>804</v>
      </c>
      <c r="F620" s="293" t="s">
        <v>39</v>
      </c>
      <c r="G620" s="294">
        <v>1000000</v>
      </c>
      <c r="H620" s="387">
        <v>0.5</v>
      </c>
      <c r="I620" s="295"/>
      <c r="J620" s="260" t="s">
        <v>89</v>
      </c>
    </row>
    <row r="621" spans="1:10" ht="25" hidden="1" customHeight="1">
      <c r="A621" s="274"/>
      <c r="B621" s="319"/>
      <c r="C621" s="418" t="s">
        <v>816</v>
      </c>
      <c r="D621" s="321"/>
      <c r="E621" s="277">
        <f>10000/1100</f>
        <v>9.0909090909090917</v>
      </c>
      <c r="F621" s="277"/>
      <c r="G621" s="322"/>
      <c r="H621" s="280"/>
      <c r="I621" s="279"/>
    </row>
    <row r="622" spans="1:10" ht="25" hidden="1" customHeight="1">
      <c r="A622" s="289"/>
      <c r="B622" s="290" t="s">
        <v>817</v>
      </c>
      <c r="C622" s="339" t="s">
        <v>816</v>
      </c>
      <c r="D622" s="284" t="s">
        <v>63</v>
      </c>
      <c r="E622" s="293">
        <v>9.09</v>
      </c>
      <c r="F622" s="293" t="s">
        <v>31</v>
      </c>
      <c r="G622" s="294">
        <v>70000</v>
      </c>
      <c r="H622" s="325">
        <v>1</v>
      </c>
      <c r="I622" s="295"/>
      <c r="J622" s="260" t="s">
        <v>89</v>
      </c>
    </row>
    <row r="623" spans="1:10" ht="25" hidden="1" customHeight="1">
      <c r="A623" s="289"/>
      <c r="B623" s="290" t="s">
        <v>818</v>
      </c>
      <c r="C623" s="339" t="s">
        <v>816</v>
      </c>
      <c r="D623" s="292" t="s">
        <v>66</v>
      </c>
      <c r="E623" s="293">
        <v>9.09</v>
      </c>
      <c r="F623" s="293" t="s">
        <v>39</v>
      </c>
      <c r="G623" s="294">
        <v>130000</v>
      </c>
      <c r="H623" s="325">
        <v>1</v>
      </c>
      <c r="I623" s="295"/>
      <c r="J623" s="260" t="s">
        <v>89</v>
      </c>
    </row>
    <row r="624" spans="1:10" ht="25" hidden="1" customHeight="1">
      <c r="A624" s="289"/>
      <c r="B624" s="290" t="s">
        <v>819</v>
      </c>
      <c r="C624" s="339" t="s">
        <v>816</v>
      </c>
      <c r="D624" s="292" t="s">
        <v>68</v>
      </c>
      <c r="E624" s="293">
        <v>9.09</v>
      </c>
      <c r="F624" s="293" t="s">
        <v>39</v>
      </c>
      <c r="G624" s="294">
        <v>220000</v>
      </c>
      <c r="H624" s="325">
        <v>1</v>
      </c>
      <c r="I624" s="295"/>
      <c r="J624" s="260" t="s">
        <v>89</v>
      </c>
    </row>
    <row r="625" spans="1:10" ht="25" hidden="1" customHeight="1">
      <c r="A625" s="289"/>
      <c r="B625" s="290" t="s">
        <v>820</v>
      </c>
      <c r="C625" s="339" t="s">
        <v>816</v>
      </c>
      <c r="D625" s="292" t="s">
        <v>70</v>
      </c>
      <c r="E625" s="293">
        <v>9.09</v>
      </c>
      <c r="F625" s="293" t="s">
        <v>39</v>
      </c>
      <c r="G625" s="294">
        <v>330000</v>
      </c>
      <c r="H625" s="325">
        <v>1</v>
      </c>
      <c r="I625" s="295"/>
      <c r="J625" s="260" t="s">
        <v>89</v>
      </c>
    </row>
    <row r="626" spans="1:10" ht="25" hidden="1" customHeight="1">
      <c r="A626" s="289"/>
      <c r="B626" s="290" t="s">
        <v>821</v>
      </c>
      <c r="C626" s="339" t="s">
        <v>816</v>
      </c>
      <c r="D626" s="292" t="s">
        <v>72</v>
      </c>
      <c r="E626" s="293">
        <v>9.09</v>
      </c>
      <c r="F626" s="293" t="s">
        <v>39</v>
      </c>
      <c r="G626" s="294">
        <v>360000</v>
      </c>
      <c r="H626" s="325">
        <v>1</v>
      </c>
      <c r="I626" s="295"/>
      <c r="J626" s="260" t="s">
        <v>89</v>
      </c>
    </row>
    <row r="627" spans="1:10" ht="25" hidden="1" customHeight="1">
      <c r="A627" s="289"/>
      <c r="B627" s="290" t="s">
        <v>822</v>
      </c>
      <c r="C627" s="339" t="s">
        <v>816</v>
      </c>
      <c r="D627" s="299" t="s">
        <v>74</v>
      </c>
      <c r="E627" s="293">
        <v>9.09</v>
      </c>
      <c r="F627" s="293" t="s">
        <v>39</v>
      </c>
      <c r="G627" s="294">
        <v>500000</v>
      </c>
      <c r="H627" s="325">
        <v>1</v>
      </c>
      <c r="I627" s="295"/>
      <c r="J627" s="260" t="s">
        <v>89</v>
      </c>
    </row>
    <row r="628" spans="1:10" ht="25" hidden="1" customHeight="1">
      <c r="A628" s="289"/>
      <c r="B628" s="290" t="s">
        <v>823</v>
      </c>
      <c r="C628" s="339" t="s">
        <v>824</v>
      </c>
      <c r="D628" s="284" t="s">
        <v>63</v>
      </c>
      <c r="E628" s="293">
        <v>9.09</v>
      </c>
      <c r="F628" s="293" t="s">
        <v>31</v>
      </c>
      <c r="G628" s="294">
        <v>70000</v>
      </c>
      <c r="H628" s="325">
        <v>0.5</v>
      </c>
      <c r="I628" s="295"/>
      <c r="J628" s="260" t="s">
        <v>89</v>
      </c>
    </row>
    <row r="629" spans="1:10" ht="25" hidden="1" customHeight="1">
      <c r="A629" s="289"/>
      <c r="B629" s="290" t="s">
        <v>825</v>
      </c>
      <c r="C629" s="339" t="s">
        <v>824</v>
      </c>
      <c r="D629" s="292" t="s">
        <v>66</v>
      </c>
      <c r="E629" s="293">
        <v>9.09</v>
      </c>
      <c r="F629" s="293" t="s">
        <v>39</v>
      </c>
      <c r="G629" s="294">
        <v>130000</v>
      </c>
      <c r="H629" s="325">
        <v>0.5</v>
      </c>
      <c r="I629" s="295"/>
      <c r="J629" s="260" t="s">
        <v>89</v>
      </c>
    </row>
    <row r="630" spans="1:10" ht="25" hidden="1" customHeight="1">
      <c r="A630" s="289"/>
      <c r="B630" s="290" t="s">
        <v>826</v>
      </c>
      <c r="C630" s="339" t="s">
        <v>824</v>
      </c>
      <c r="D630" s="292" t="s">
        <v>68</v>
      </c>
      <c r="E630" s="293">
        <v>9.09</v>
      </c>
      <c r="F630" s="293" t="s">
        <v>39</v>
      </c>
      <c r="G630" s="294">
        <v>220000</v>
      </c>
      <c r="H630" s="325">
        <v>0.5</v>
      </c>
      <c r="I630" s="295"/>
      <c r="J630" s="260" t="s">
        <v>89</v>
      </c>
    </row>
    <row r="631" spans="1:10" ht="25" hidden="1" customHeight="1">
      <c r="A631" s="289"/>
      <c r="B631" s="290" t="s">
        <v>827</v>
      </c>
      <c r="C631" s="339" t="s">
        <v>824</v>
      </c>
      <c r="D631" s="292" t="s">
        <v>70</v>
      </c>
      <c r="E631" s="293">
        <v>9.09</v>
      </c>
      <c r="F631" s="293" t="s">
        <v>39</v>
      </c>
      <c r="G631" s="294">
        <v>330000</v>
      </c>
      <c r="H631" s="325">
        <v>0.5</v>
      </c>
      <c r="I631" s="295"/>
      <c r="J631" s="260" t="s">
        <v>89</v>
      </c>
    </row>
    <row r="632" spans="1:10" ht="25" hidden="1" customHeight="1">
      <c r="A632" s="289"/>
      <c r="B632" s="290" t="s">
        <v>828</v>
      </c>
      <c r="C632" s="339" t="s">
        <v>824</v>
      </c>
      <c r="D632" s="292" t="s">
        <v>72</v>
      </c>
      <c r="E632" s="293">
        <v>9.09</v>
      </c>
      <c r="F632" s="293" t="s">
        <v>39</v>
      </c>
      <c r="G632" s="294">
        <v>360000</v>
      </c>
      <c r="H632" s="325">
        <v>0.5</v>
      </c>
      <c r="I632" s="295"/>
      <c r="J632" s="260" t="s">
        <v>89</v>
      </c>
    </row>
    <row r="633" spans="1:10" ht="25" hidden="1" customHeight="1">
      <c r="A633" s="289"/>
      <c r="B633" s="290" t="s">
        <v>829</v>
      </c>
      <c r="C633" s="339" t="s">
        <v>824</v>
      </c>
      <c r="D633" s="299" t="s">
        <v>74</v>
      </c>
      <c r="E633" s="293">
        <v>9.09</v>
      </c>
      <c r="F633" s="293" t="s">
        <v>39</v>
      </c>
      <c r="G633" s="294">
        <v>500000</v>
      </c>
      <c r="H633" s="325">
        <v>0.5</v>
      </c>
      <c r="I633" s="295"/>
      <c r="J633" s="260" t="s">
        <v>89</v>
      </c>
    </row>
    <row r="634" spans="1:10" ht="25" hidden="1" customHeight="1">
      <c r="A634" s="289"/>
      <c r="B634" s="290" t="s">
        <v>830</v>
      </c>
      <c r="C634" s="339" t="s">
        <v>831</v>
      </c>
      <c r="D634" s="292" t="s">
        <v>66</v>
      </c>
      <c r="E634" s="293">
        <v>9.09</v>
      </c>
      <c r="F634" s="293" t="s">
        <v>39</v>
      </c>
      <c r="G634" s="294">
        <v>130000</v>
      </c>
      <c r="H634" s="325">
        <v>0.3</v>
      </c>
      <c r="I634" s="295"/>
      <c r="J634" s="260" t="s">
        <v>89</v>
      </c>
    </row>
    <row r="635" spans="1:10" ht="25" hidden="1" customHeight="1">
      <c r="A635" s="274"/>
      <c r="B635" s="319"/>
      <c r="C635" s="418" t="s">
        <v>832</v>
      </c>
      <c r="D635" s="321"/>
      <c r="E635" s="277"/>
      <c r="F635" s="277"/>
      <c r="G635" s="322"/>
      <c r="H635" s="280"/>
      <c r="I635" s="279"/>
    </row>
    <row r="636" spans="1:10" ht="25" hidden="1" customHeight="1">
      <c r="A636" s="289"/>
      <c r="B636" s="290" t="s">
        <v>833</v>
      </c>
      <c r="C636" s="339" t="s">
        <v>834</v>
      </c>
      <c r="D636" s="292" t="s">
        <v>63</v>
      </c>
      <c r="E636" s="293"/>
      <c r="F636" s="293" t="s">
        <v>31</v>
      </c>
      <c r="G636" s="294">
        <v>36000</v>
      </c>
      <c r="H636" s="325">
        <v>1</v>
      </c>
      <c r="I636" s="295"/>
      <c r="J636" s="260" t="s">
        <v>89</v>
      </c>
    </row>
    <row r="637" spans="1:10" ht="25" hidden="1" customHeight="1">
      <c r="A637" s="289"/>
      <c r="B637" s="290" t="s">
        <v>835</v>
      </c>
      <c r="C637" s="339" t="s">
        <v>834</v>
      </c>
      <c r="D637" s="292" t="s">
        <v>478</v>
      </c>
      <c r="E637" s="293">
        <v>4</v>
      </c>
      <c r="F637" s="293" t="s">
        <v>39</v>
      </c>
      <c r="G637" s="294">
        <v>48000</v>
      </c>
      <c r="H637" s="325">
        <v>1</v>
      </c>
      <c r="I637" s="295"/>
      <c r="J637" s="260" t="s">
        <v>89</v>
      </c>
    </row>
    <row r="638" spans="1:10" ht="25" hidden="1" customHeight="1">
      <c r="A638" s="289"/>
      <c r="B638" s="290" t="s">
        <v>836</v>
      </c>
      <c r="C638" s="339" t="s">
        <v>834</v>
      </c>
      <c r="D638" s="292" t="s">
        <v>480</v>
      </c>
      <c r="E638" s="293">
        <v>4</v>
      </c>
      <c r="F638" s="293" t="s">
        <v>39</v>
      </c>
      <c r="G638" s="294">
        <v>70000</v>
      </c>
      <c r="H638" s="325">
        <v>1</v>
      </c>
      <c r="I638" s="295"/>
      <c r="J638" s="260" t="s">
        <v>89</v>
      </c>
    </row>
    <row r="639" spans="1:10" ht="25" hidden="1" customHeight="1">
      <c r="A639" s="289"/>
      <c r="B639" s="290" t="s">
        <v>837</v>
      </c>
      <c r="C639" s="339" t="s">
        <v>834</v>
      </c>
      <c r="D639" s="292" t="s">
        <v>489</v>
      </c>
      <c r="E639" s="293">
        <v>5</v>
      </c>
      <c r="F639" s="293" t="s">
        <v>39</v>
      </c>
      <c r="G639" s="294">
        <v>95000</v>
      </c>
      <c r="H639" s="325">
        <v>1</v>
      </c>
      <c r="I639" s="295"/>
      <c r="J639" s="260" t="s">
        <v>89</v>
      </c>
    </row>
    <row r="640" spans="1:10" ht="25" hidden="1" customHeight="1">
      <c r="A640" s="289"/>
      <c r="B640" s="290" t="s">
        <v>838</v>
      </c>
      <c r="C640" s="339" t="s">
        <v>834</v>
      </c>
      <c r="D640" s="292" t="s">
        <v>491</v>
      </c>
      <c r="E640" s="293">
        <v>5</v>
      </c>
      <c r="F640" s="293" t="s">
        <v>39</v>
      </c>
      <c r="G640" s="294">
        <v>120000</v>
      </c>
      <c r="H640" s="325">
        <v>1</v>
      </c>
      <c r="I640" s="295"/>
      <c r="J640" s="260" t="s">
        <v>89</v>
      </c>
    </row>
    <row r="641" spans="1:10" ht="25" hidden="1" customHeight="1">
      <c r="A641" s="289"/>
      <c r="B641" s="290" t="s">
        <v>839</v>
      </c>
      <c r="C641" s="339" t="s">
        <v>834</v>
      </c>
      <c r="D641" s="292" t="s">
        <v>840</v>
      </c>
      <c r="E641" s="293">
        <v>6.666666666666667</v>
      </c>
      <c r="F641" s="293" t="s">
        <v>39</v>
      </c>
      <c r="G641" s="294">
        <v>165000</v>
      </c>
      <c r="H641" s="325">
        <v>1</v>
      </c>
      <c r="I641" s="295"/>
      <c r="J641" s="260" t="s">
        <v>89</v>
      </c>
    </row>
    <row r="642" spans="1:10" ht="25" hidden="1" customHeight="1">
      <c r="A642" s="289"/>
      <c r="B642" s="290" t="s">
        <v>841</v>
      </c>
      <c r="C642" s="339" t="s">
        <v>834</v>
      </c>
      <c r="D642" s="292" t="s">
        <v>842</v>
      </c>
      <c r="E642" s="293">
        <v>6.666666666666667</v>
      </c>
      <c r="F642" s="293" t="s">
        <v>39</v>
      </c>
      <c r="G642" s="294">
        <v>180000</v>
      </c>
      <c r="H642" s="325">
        <v>1</v>
      </c>
      <c r="I642" s="295"/>
      <c r="J642" s="260" t="s">
        <v>89</v>
      </c>
    </row>
    <row r="643" spans="1:10" ht="25" hidden="1" customHeight="1">
      <c r="A643" s="289"/>
      <c r="B643" s="290" t="s">
        <v>843</v>
      </c>
      <c r="C643" s="339" t="s">
        <v>844</v>
      </c>
      <c r="D643" s="292" t="s">
        <v>63</v>
      </c>
      <c r="E643" s="293"/>
      <c r="F643" s="293" t="s">
        <v>31</v>
      </c>
      <c r="G643" s="294">
        <v>36000</v>
      </c>
      <c r="H643" s="325">
        <v>0.5</v>
      </c>
      <c r="I643" s="295"/>
      <c r="J643" s="260" t="s">
        <v>89</v>
      </c>
    </row>
    <row r="644" spans="1:10" ht="25" hidden="1" customHeight="1">
      <c r="A644" s="289"/>
      <c r="B644" s="290" t="s">
        <v>845</v>
      </c>
      <c r="C644" s="339" t="s">
        <v>844</v>
      </c>
      <c r="D644" s="292" t="s">
        <v>478</v>
      </c>
      <c r="E644" s="293">
        <v>4</v>
      </c>
      <c r="F644" s="293" t="s">
        <v>39</v>
      </c>
      <c r="G644" s="294">
        <v>48000</v>
      </c>
      <c r="H644" s="325">
        <v>0.5</v>
      </c>
      <c r="I644" s="295"/>
      <c r="J644" s="260" t="s">
        <v>89</v>
      </c>
    </row>
    <row r="645" spans="1:10" ht="25" hidden="1" customHeight="1">
      <c r="A645" s="289"/>
      <c r="B645" s="290" t="s">
        <v>846</v>
      </c>
      <c r="C645" s="339" t="s">
        <v>844</v>
      </c>
      <c r="D645" s="292" t="s">
        <v>480</v>
      </c>
      <c r="E645" s="293">
        <v>4</v>
      </c>
      <c r="F645" s="293" t="s">
        <v>39</v>
      </c>
      <c r="G645" s="294">
        <v>70000</v>
      </c>
      <c r="H645" s="325">
        <v>0.5</v>
      </c>
      <c r="I645" s="295"/>
      <c r="J645" s="260" t="s">
        <v>89</v>
      </c>
    </row>
    <row r="646" spans="1:10" ht="25" hidden="1" customHeight="1">
      <c r="A646" s="289"/>
      <c r="B646" s="290" t="s">
        <v>847</v>
      </c>
      <c r="C646" s="339" t="s">
        <v>844</v>
      </c>
      <c r="D646" s="292" t="s">
        <v>489</v>
      </c>
      <c r="E646" s="293">
        <v>5</v>
      </c>
      <c r="F646" s="293" t="s">
        <v>39</v>
      </c>
      <c r="G646" s="294">
        <v>95000</v>
      </c>
      <c r="H646" s="325">
        <v>0.5</v>
      </c>
      <c r="I646" s="295"/>
      <c r="J646" s="260" t="s">
        <v>89</v>
      </c>
    </row>
    <row r="647" spans="1:10" ht="25" hidden="1" customHeight="1">
      <c r="A647" s="289"/>
      <c r="B647" s="290" t="s">
        <v>848</v>
      </c>
      <c r="C647" s="339" t="s">
        <v>844</v>
      </c>
      <c r="D647" s="292" t="s">
        <v>491</v>
      </c>
      <c r="E647" s="293">
        <v>5</v>
      </c>
      <c r="F647" s="293" t="s">
        <v>39</v>
      </c>
      <c r="G647" s="294">
        <v>120000</v>
      </c>
      <c r="H647" s="325">
        <v>0.5</v>
      </c>
      <c r="I647" s="295"/>
      <c r="J647" s="260" t="s">
        <v>89</v>
      </c>
    </row>
    <row r="648" spans="1:10" ht="25" hidden="1" customHeight="1">
      <c r="A648" s="289"/>
      <c r="B648" s="290" t="s">
        <v>849</v>
      </c>
      <c r="C648" s="339" t="s">
        <v>844</v>
      </c>
      <c r="D648" s="292" t="s">
        <v>840</v>
      </c>
      <c r="E648" s="293">
        <v>6.666666666666667</v>
      </c>
      <c r="F648" s="293" t="s">
        <v>39</v>
      </c>
      <c r="G648" s="294">
        <v>165000</v>
      </c>
      <c r="H648" s="325">
        <v>0.5</v>
      </c>
      <c r="I648" s="295"/>
      <c r="J648" s="260" t="s">
        <v>89</v>
      </c>
    </row>
    <row r="649" spans="1:10" ht="25" hidden="1" customHeight="1">
      <c r="A649" s="289"/>
      <c r="B649" s="290" t="s">
        <v>850</v>
      </c>
      <c r="C649" s="339" t="s">
        <v>844</v>
      </c>
      <c r="D649" s="292" t="s">
        <v>842</v>
      </c>
      <c r="E649" s="293">
        <v>6.666666666666667</v>
      </c>
      <c r="F649" s="293" t="s">
        <v>39</v>
      </c>
      <c r="G649" s="294">
        <v>180000</v>
      </c>
      <c r="H649" s="325">
        <v>0.5</v>
      </c>
      <c r="I649" s="295"/>
      <c r="J649" s="260" t="s">
        <v>89</v>
      </c>
    </row>
    <row r="650" spans="1:10" ht="25" hidden="1" customHeight="1">
      <c r="A650" s="289"/>
      <c r="B650" s="290" t="s">
        <v>851</v>
      </c>
      <c r="C650" s="339" t="s">
        <v>852</v>
      </c>
      <c r="D650" s="292" t="s">
        <v>840</v>
      </c>
      <c r="E650" s="293">
        <v>6.666666666666667</v>
      </c>
      <c r="F650" s="293" t="s">
        <v>39</v>
      </c>
      <c r="G650" s="294">
        <v>165000</v>
      </c>
      <c r="H650" s="325">
        <v>0.3</v>
      </c>
      <c r="I650" s="295"/>
      <c r="J650" s="260" t="s">
        <v>89</v>
      </c>
    </row>
    <row r="651" spans="1:10" ht="25" hidden="1" customHeight="1">
      <c r="A651" s="274"/>
      <c r="B651" s="319"/>
      <c r="C651" s="418" t="s">
        <v>853</v>
      </c>
      <c r="D651" s="321"/>
      <c r="E651" s="277"/>
      <c r="F651" s="277"/>
      <c r="G651" s="322"/>
      <c r="H651" s="280"/>
      <c r="I651" s="279"/>
    </row>
    <row r="652" spans="1:10" ht="25" hidden="1" customHeight="1">
      <c r="A652" s="289"/>
      <c r="B652" s="290" t="s">
        <v>854</v>
      </c>
      <c r="C652" s="339" t="s">
        <v>853</v>
      </c>
      <c r="D652" s="292" t="s">
        <v>63</v>
      </c>
      <c r="E652" s="293"/>
      <c r="F652" s="293" t="s">
        <v>31</v>
      </c>
      <c r="G652" s="294">
        <v>36000</v>
      </c>
      <c r="H652" s="325">
        <v>0.8</v>
      </c>
      <c r="I652" s="295"/>
      <c r="J652" s="260" t="s">
        <v>89</v>
      </c>
    </row>
    <row r="653" spans="1:10" ht="25" hidden="1" customHeight="1">
      <c r="A653" s="289"/>
      <c r="B653" s="290" t="s">
        <v>855</v>
      </c>
      <c r="C653" s="339" t="s">
        <v>853</v>
      </c>
      <c r="D653" s="292" t="s">
        <v>478</v>
      </c>
      <c r="E653" s="293">
        <v>4</v>
      </c>
      <c r="F653" s="293" t="s">
        <v>39</v>
      </c>
      <c r="G653" s="294">
        <v>48000</v>
      </c>
      <c r="H653" s="325">
        <v>1</v>
      </c>
      <c r="I653" s="295"/>
      <c r="J653" s="260" t="s">
        <v>89</v>
      </c>
    </row>
    <row r="654" spans="1:10" ht="25" hidden="1" customHeight="1">
      <c r="A654" s="289"/>
      <c r="B654" s="290" t="s">
        <v>856</v>
      </c>
      <c r="C654" s="339" t="s">
        <v>853</v>
      </c>
      <c r="D654" s="292" t="s">
        <v>480</v>
      </c>
      <c r="E654" s="293">
        <v>4</v>
      </c>
      <c r="F654" s="293" t="s">
        <v>39</v>
      </c>
      <c r="G654" s="294">
        <v>70000</v>
      </c>
      <c r="H654" s="325">
        <v>1</v>
      </c>
      <c r="I654" s="295"/>
      <c r="J654" s="260" t="s">
        <v>89</v>
      </c>
    </row>
    <row r="655" spans="1:10" ht="25" hidden="1" customHeight="1">
      <c r="A655" s="289"/>
      <c r="B655" s="290" t="s">
        <v>857</v>
      </c>
      <c r="C655" s="339" t="s">
        <v>853</v>
      </c>
      <c r="D655" s="292" t="s">
        <v>489</v>
      </c>
      <c r="E655" s="293">
        <v>5</v>
      </c>
      <c r="F655" s="293" t="s">
        <v>39</v>
      </c>
      <c r="G655" s="294">
        <v>95000</v>
      </c>
      <c r="H655" s="325">
        <v>1</v>
      </c>
      <c r="I655" s="295"/>
      <c r="J655" s="260" t="s">
        <v>89</v>
      </c>
    </row>
    <row r="656" spans="1:10" ht="25" hidden="1" customHeight="1">
      <c r="A656" s="289"/>
      <c r="B656" s="290" t="s">
        <v>858</v>
      </c>
      <c r="C656" s="339" t="s">
        <v>853</v>
      </c>
      <c r="D656" s="292" t="s">
        <v>491</v>
      </c>
      <c r="E656" s="293">
        <v>5</v>
      </c>
      <c r="F656" s="293" t="s">
        <v>39</v>
      </c>
      <c r="G656" s="294">
        <v>120000</v>
      </c>
      <c r="H656" s="325">
        <v>1</v>
      </c>
      <c r="I656" s="295"/>
      <c r="J656" s="260" t="s">
        <v>89</v>
      </c>
    </row>
    <row r="657" spans="1:10" ht="25" hidden="1" customHeight="1">
      <c r="A657" s="289"/>
      <c r="B657" s="290" t="s">
        <v>859</v>
      </c>
      <c r="C657" s="339" t="s">
        <v>853</v>
      </c>
      <c r="D657" s="292" t="s">
        <v>840</v>
      </c>
      <c r="E657" s="293">
        <v>6.666666666666667</v>
      </c>
      <c r="F657" s="293" t="s">
        <v>39</v>
      </c>
      <c r="G657" s="294">
        <v>165000</v>
      </c>
      <c r="H657" s="325">
        <v>1</v>
      </c>
      <c r="I657" s="295"/>
      <c r="J657" s="260" t="s">
        <v>89</v>
      </c>
    </row>
    <row r="658" spans="1:10" ht="25" hidden="1" customHeight="1">
      <c r="A658" s="289"/>
      <c r="B658" s="290" t="s">
        <v>860</v>
      </c>
      <c r="C658" s="339" t="s">
        <v>853</v>
      </c>
      <c r="D658" s="292" t="s">
        <v>842</v>
      </c>
      <c r="E658" s="293">
        <v>6.666666666666667</v>
      </c>
      <c r="F658" s="293" t="s">
        <v>39</v>
      </c>
      <c r="G658" s="294">
        <v>180000</v>
      </c>
      <c r="H658" s="325">
        <v>1</v>
      </c>
      <c r="I658" s="295"/>
      <c r="J658" s="260" t="s">
        <v>89</v>
      </c>
    </row>
    <row r="659" spans="1:10" ht="25" hidden="1" customHeight="1">
      <c r="A659" s="289"/>
      <c r="B659" s="290" t="s">
        <v>861</v>
      </c>
      <c r="C659" s="339" t="s">
        <v>862</v>
      </c>
      <c r="D659" s="292" t="s">
        <v>63</v>
      </c>
      <c r="E659" s="293"/>
      <c r="F659" s="293" t="s">
        <v>31</v>
      </c>
      <c r="G659" s="294">
        <v>36000</v>
      </c>
      <c r="H659" s="325">
        <v>0.5</v>
      </c>
      <c r="I659" s="295"/>
      <c r="J659" s="260" t="s">
        <v>89</v>
      </c>
    </row>
    <row r="660" spans="1:10" ht="25" hidden="1" customHeight="1">
      <c r="A660" s="289"/>
      <c r="B660" s="290" t="s">
        <v>863</v>
      </c>
      <c r="C660" s="339" t="s">
        <v>862</v>
      </c>
      <c r="D660" s="292" t="s">
        <v>478</v>
      </c>
      <c r="E660" s="293">
        <v>4</v>
      </c>
      <c r="F660" s="293" t="s">
        <v>39</v>
      </c>
      <c r="G660" s="294">
        <v>48000</v>
      </c>
      <c r="H660" s="325">
        <v>0.5</v>
      </c>
      <c r="I660" s="295"/>
      <c r="J660" s="260" t="s">
        <v>89</v>
      </c>
    </row>
    <row r="661" spans="1:10" ht="25" hidden="1" customHeight="1">
      <c r="A661" s="289"/>
      <c r="B661" s="290" t="s">
        <v>864</v>
      </c>
      <c r="C661" s="339" t="s">
        <v>862</v>
      </c>
      <c r="D661" s="292" t="s">
        <v>480</v>
      </c>
      <c r="E661" s="293">
        <v>4</v>
      </c>
      <c r="F661" s="293" t="s">
        <v>39</v>
      </c>
      <c r="G661" s="294">
        <v>70000</v>
      </c>
      <c r="H661" s="325">
        <v>0.5</v>
      </c>
      <c r="I661" s="295"/>
      <c r="J661" s="260" t="s">
        <v>89</v>
      </c>
    </row>
    <row r="662" spans="1:10" ht="25" hidden="1" customHeight="1">
      <c r="A662" s="289"/>
      <c r="B662" s="290" t="s">
        <v>865</v>
      </c>
      <c r="C662" s="339" t="s">
        <v>862</v>
      </c>
      <c r="D662" s="292" t="s">
        <v>489</v>
      </c>
      <c r="E662" s="293">
        <v>5</v>
      </c>
      <c r="F662" s="293" t="s">
        <v>39</v>
      </c>
      <c r="G662" s="294">
        <v>95000</v>
      </c>
      <c r="H662" s="325">
        <v>0.5</v>
      </c>
      <c r="I662" s="295"/>
      <c r="J662" s="260" t="s">
        <v>89</v>
      </c>
    </row>
    <row r="663" spans="1:10" ht="25" hidden="1" customHeight="1">
      <c r="A663" s="289"/>
      <c r="B663" s="290" t="s">
        <v>866</v>
      </c>
      <c r="C663" s="339" t="s">
        <v>862</v>
      </c>
      <c r="D663" s="292" t="s">
        <v>491</v>
      </c>
      <c r="E663" s="293">
        <v>5</v>
      </c>
      <c r="F663" s="293" t="s">
        <v>39</v>
      </c>
      <c r="G663" s="294">
        <v>120000</v>
      </c>
      <c r="H663" s="325">
        <v>0.5</v>
      </c>
      <c r="I663" s="295"/>
      <c r="J663" s="260" t="s">
        <v>89</v>
      </c>
    </row>
    <row r="664" spans="1:10" ht="25" hidden="1" customHeight="1">
      <c r="A664" s="289"/>
      <c r="B664" s="290" t="s">
        <v>867</v>
      </c>
      <c r="C664" s="339" t="s">
        <v>862</v>
      </c>
      <c r="D664" s="292" t="s">
        <v>840</v>
      </c>
      <c r="E664" s="293">
        <v>6.666666666666667</v>
      </c>
      <c r="F664" s="293" t="s">
        <v>39</v>
      </c>
      <c r="G664" s="294">
        <v>165000</v>
      </c>
      <c r="H664" s="325">
        <v>0.5</v>
      </c>
      <c r="I664" s="295"/>
      <c r="J664" s="260" t="s">
        <v>89</v>
      </c>
    </row>
    <row r="665" spans="1:10" ht="25" hidden="1" customHeight="1">
      <c r="A665" s="289"/>
      <c r="B665" s="290" t="s">
        <v>868</v>
      </c>
      <c r="C665" s="339" t="s">
        <v>862</v>
      </c>
      <c r="D665" s="292" t="s">
        <v>842</v>
      </c>
      <c r="E665" s="293">
        <v>6.666666666666667</v>
      </c>
      <c r="F665" s="293" t="s">
        <v>39</v>
      </c>
      <c r="G665" s="294">
        <v>180000</v>
      </c>
      <c r="H665" s="325">
        <v>0.5</v>
      </c>
      <c r="I665" s="295"/>
      <c r="J665" s="260" t="s">
        <v>89</v>
      </c>
    </row>
    <row r="666" spans="1:10" ht="25" hidden="1" customHeight="1">
      <c r="A666" s="274"/>
      <c r="B666" s="319"/>
      <c r="C666" s="418" t="s">
        <v>869</v>
      </c>
      <c r="D666" s="321"/>
      <c r="E666" s="277"/>
      <c r="F666" s="277"/>
      <c r="G666" s="322"/>
      <c r="H666" s="280"/>
      <c r="I666" s="279"/>
    </row>
    <row r="667" spans="1:10" ht="25" hidden="1" customHeight="1">
      <c r="A667" s="289"/>
      <c r="B667" s="290" t="s">
        <v>870</v>
      </c>
      <c r="C667" s="339" t="s">
        <v>871</v>
      </c>
      <c r="D667" s="292" t="s">
        <v>63</v>
      </c>
      <c r="E667" s="293"/>
      <c r="F667" s="293" t="s">
        <v>31</v>
      </c>
      <c r="G667" s="294"/>
      <c r="H667" s="325">
        <v>1</v>
      </c>
      <c r="I667" s="295"/>
    </row>
    <row r="668" spans="1:10" ht="25" hidden="1" customHeight="1">
      <c r="A668" s="289"/>
      <c r="B668" s="290" t="s">
        <v>872</v>
      </c>
      <c r="C668" s="339" t="s">
        <v>871</v>
      </c>
      <c r="D668" s="292" t="s">
        <v>478</v>
      </c>
      <c r="E668" s="293">
        <v>4</v>
      </c>
      <c r="F668" s="293" t="s">
        <v>39</v>
      </c>
      <c r="G668" s="294">
        <v>36000</v>
      </c>
      <c r="H668" s="325">
        <v>1</v>
      </c>
      <c r="I668" s="295"/>
      <c r="J668" s="260" t="s">
        <v>89</v>
      </c>
    </row>
    <row r="669" spans="1:10" ht="25" hidden="1" customHeight="1">
      <c r="A669" s="289"/>
      <c r="B669" s="290" t="s">
        <v>873</v>
      </c>
      <c r="C669" s="339" t="s">
        <v>871</v>
      </c>
      <c r="D669" s="292" t="s">
        <v>480</v>
      </c>
      <c r="E669" s="293">
        <v>4</v>
      </c>
      <c r="F669" s="293" t="s">
        <v>39</v>
      </c>
      <c r="G669" s="294">
        <v>60000</v>
      </c>
      <c r="H669" s="325">
        <v>1</v>
      </c>
      <c r="I669" s="295"/>
      <c r="J669" s="260" t="s">
        <v>89</v>
      </c>
    </row>
    <row r="670" spans="1:10" ht="25" hidden="1" customHeight="1">
      <c r="A670" s="289"/>
      <c r="B670" s="290" t="s">
        <v>874</v>
      </c>
      <c r="C670" s="339" t="s">
        <v>871</v>
      </c>
      <c r="D670" s="292" t="s">
        <v>489</v>
      </c>
      <c r="E670" s="293">
        <v>5</v>
      </c>
      <c r="F670" s="293" t="s">
        <v>39</v>
      </c>
      <c r="G670" s="294">
        <v>90000</v>
      </c>
      <c r="H670" s="325">
        <v>1</v>
      </c>
      <c r="I670" s="295"/>
      <c r="J670" s="260" t="s">
        <v>89</v>
      </c>
    </row>
    <row r="671" spans="1:10" ht="25" hidden="1" customHeight="1">
      <c r="A671" s="289"/>
      <c r="B671" s="290" t="s">
        <v>875</v>
      </c>
      <c r="C671" s="339" t="s">
        <v>871</v>
      </c>
      <c r="D671" s="292" t="s">
        <v>491</v>
      </c>
      <c r="E671" s="293">
        <v>5</v>
      </c>
      <c r="F671" s="293" t="s">
        <v>39</v>
      </c>
      <c r="G671" s="294">
        <v>120000</v>
      </c>
      <c r="H671" s="325">
        <v>1</v>
      </c>
      <c r="I671" s="295"/>
      <c r="J671" s="260" t="s">
        <v>89</v>
      </c>
    </row>
    <row r="672" spans="1:10" ht="25" hidden="1" customHeight="1">
      <c r="A672" s="289"/>
      <c r="B672" s="290" t="s">
        <v>876</v>
      </c>
      <c r="C672" s="339" t="s">
        <v>871</v>
      </c>
      <c r="D672" s="292" t="s">
        <v>840</v>
      </c>
      <c r="E672" s="293">
        <v>6.666666666666667</v>
      </c>
      <c r="F672" s="293" t="s">
        <v>39</v>
      </c>
      <c r="G672" s="294">
        <v>150000</v>
      </c>
      <c r="H672" s="325">
        <v>1</v>
      </c>
      <c r="I672" s="295"/>
      <c r="J672" s="260" t="s">
        <v>89</v>
      </c>
    </row>
    <row r="673" spans="1:10" ht="25" hidden="1" customHeight="1">
      <c r="A673" s="289"/>
      <c r="B673" s="290" t="s">
        <v>877</v>
      </c>
      <c r="C673" s="339" t="s">
        <v>871</v>
      </c>
      <c r="D673" s="292" t="s">
        <v>842</v>
      </c>
      <c r="E673" s="293">
        <v>6.666666666666667</v>
      </c>
      <c r="F673" s="293" t="s">
        <v>39</v>
      </c>
      <c r="G673" s="294">
        <v>220000</v>
      </c>
      <c r="H673" s="325">
        <v>1</v>
      </c>
      <c r="I673" s="295"/>
      <c r="J673" s="260" t="s">
        <v>89</v>
      </c>
    </row>
    <row r="674" spans="1:10" ht="25" hidden="1" customHeight="1">
      <c r="A674" s="289"/>
      <c r="B674" s="290" t="s">
        <v>878</v>
      </c>
      <c r="C674" s="339" t="s">
        <v>871</v>
      </c>
      <c r="D674" s="292" t="s">
        <v>63</v>
      </c>
      <c r="E674" s="293"/>
      <c r="F674" s="293" t="s">
        <v>31</v>
      </c>
      <c r="G674" s="294"/>
      <c r="H674" s="325">
        <v>0.5</v>
      </c>
      <c r="I674" s="295"/>
    </row>
    <row r="675" spans="1:10" ht="25" hidden="1" customHeight="1">
      <c r="A675" s="289"/>
      <c r="B675" s="290" t="s">
        <v>879</v>
      </c>
      <c r="C675" s="339" t="s">
        <v>880</v>
      </c>
      <c r="D675" s="292" t="s">
        <v>478</v>
      </c>
      <c r="E675" s="293">
        <v>4</v>
      </c>
      <c r="F675" s="293" t="s">
        <v>39</v>
      </c>
      <c r="G675" s="294">
        <v>36000</v>
      </c>
      <c r="H675" s="325">
        <v>0.5</v>
      </c>
      <c r="I675" s="295"/>
      <c r="J675" s="260" t="s">
        <v>89</v>
      </c>
    </row>
    <row r="676" spans="1:10" ht="25" hidden="1" customHeight="1">
      <c r="A676" s="289"/>
      <c r="B676" s="290" t="s">
        <v>881</v>
      </c>
      <c r="C676" s="339" t="s">
        <v>880</v>
      </c>
      <c r="D676" s="292" t="s">
        <v>480</v>
      </c>
      <c r="E676" s="293">
        <v>4</v>
      </c>
      <c r="F676" s="293" t="s">
        <v>39</v>
      </c>
      <c r="G676" s="294">
        <v>60000</v>
      </c>
      <c r="H676" s="325">
        <v>0.5</v>
      </c>
      <c r="I676" s="295"/>
      <c r="J676" s="260" t="s">
        <v>89</v>
      </c>
    </row>
    <row r="677" spans="1:10" ht="25" hidden="1" customHeight="1">
      <c r="A677" s="289"/>
      <c r="B677" s="290" t="s">
        <v>882</v>
      </c>
      <c r="C677" s="339" t="s">
        <v>880</v>
      </c>
      <c r="D677" s="292" t="s">
        <v>489</v>
      </c>
      <c r="E677" s="293">
        <v>5</v>
      </c>
      <c r="F677" s="293" t="s">
        <v>39</v>
      </c>
      <c r="G677" s="294">
        <v>90000</v>
      </c>
      <c r="H677" s="325">
        <v>0.5</v>
      </c>
      <c r="I677" s="295"/>
      <c r="J677" s="260" t="s">
        <v>89</v>
      </c>
    </row>
    <row r="678" spans="1:10" ht="25" hidden="1" customHeight="1">
      <c r="A678" s="289"/>
      <c r="B678" s="290" t="s">
        <v>883</v>
      </c>
      <c r="C678" s="339" t="s">
        <v>880</v>
      </c>
      <c r="D678" s="292" t="s">
        <v>491</v>
      </c>
      <c r="E678" s="293">
        <v>5</v>
      </c>
      <c r="F678" s="293" t="s">
        <v>39</v>
      </c>
      <c r="G678" s="294">
        <v>120000</v>
      </c>
      <c r="H678" s="325">
        <v>0.5</v>
      </c>
      <c r="I678" s="295"/>
      <c r="J678" s="260" t="s">
        <v>89</v>
      </c>
    </row>
    <row r="679" spans="1:10" ht="25" hidden="1" customHeight="1">
      <c r="A679" s="289"/>
      <c r="B679" s="290" t="s">
        <v>884</v>
      </c>
      <c r="C679" s="339" t="s">
        <v>880</v>
      </c>
      <c r="D679" s="292" t="s">
        <v>840</v>
      </c>
      <c r="E679" s="293">
        <v>6.666666666666667</v>
      </c>
      <c r="F679" s="293" t="s">
        <v>39</v>
      </c>
      <c r="G679" s="294">
        <v>150000</v>
      </c>
      <c r="H679" s="325">
        <v>0.5</v>
      </c>
      <c r="I679" s="295"/>
      <c r="J679" s="260" t="s">
        <v>89</v>
      </c>
    </row>
    <row r="680" spans="1:10" ht="25" hidden="1" customHeight="1">
      <c r="A680" s="289"/>
      <c r="B680" s="290" t="s">
        <v>885</v>
      </c>
      <c r="C680" s="339" t="s">
        <v>880</v>
      </c>
      <c r="D680" s="292" t="s">
        <v>842</v>
      </c>
      <c r="E680" s="293">
        <v>6.666666666666667</v>
      </c>
      <c r="F680" s="293" t="s">
        <v>39</v>
      </c>
      <c r="G680" s="294">
        <v>220000</v>
      </c>
      <c r="H680" s="325">
        <v>0.5</v>
      </c>
      <c r="I680" s="295"/>
      <c r="J680" s="260" t="s">
        <v>89</v>
      </c>
    </row>
    <row r="681" spans="1:10" ht="25" hidden="1" customHeight="1">
      <c r="A681" s="289"/>
      <c r="B681" s="290" t="s">
        <v>886</v>
      </c>
      <c r="C681" s="339" t="s">
        <v>887</v>
      </c>
      <c r="D681" s="292" t="s">
        <v>840</v>
      </c>
      <c r="E681" s="293">
        <v>6.666666666666667</v>
      </c>
      <c r="F681" s="293" t="s">
        <v>39</v>
      </c>
      <c r="G681" s="294">
        <v>150000</v>
      </c>
      <c r="H681" s="325">
        <v>0.3</v>
      </c>
      <c r="I681" s="295"/>
      <c r="J681" s="260" t="s">
        <v>89</v>
      </c>
    </row>
    <row r="682" spans="1:10" ht="25" hidden="1" customHeight="1">
      <c r="A682" s="289"/>
      <c r="B682" s="290" t="s">
        <v>888</v>
      </c>
      <c r="C682" s="339" t="s">
        <v>887</v>
      </c>
      <c r="D682" s="292" t="s">
        <v>489</v>
      </c>
      <c r="E682" s="293">
        <v>5</v>
      </c>
      <c r="F682" s="293" t="s">
        <v>39</v>
      </c>
      <c r="G682" s="294">
        <v>90000</v>
      </c>
      <c r="H682" s="325">
        <v>0.3</v>
      </c>
      <c r="I682" s="295"/>
      <c r="J682" s="260" t="s">
        <v>89</v>
      </c>
    </row>
    <row r="683" spans="1:10" ht="25" hidden="1" customHeight="1">
      <c r="A683" s="274"/>
      <c r="B683" s="319"/>
      <c r="C683" s="418" t="s">
        <v>889</v>
      </c>
      <c r="D683" s="321"/>
      <c r="E683" s="277"/>
      <c r="F683" s="277"/>
      <c r="G683" s="322"/>
      <c r="H683" s="280"/>
      <c r="I683" s="279"/>
    </row>
    <row r="684" spans="1:10" ht="25" hidden="1" customHeight="1">
      <c r="A684" s="289"/>
      <c r="B684" s="290" t="s">
        <v>890</v>
      </c>
      <c r="C684" s="339" t="s">
        <v>891</v>
      </c>
      <c r="D684" s="292" t="s">
        <v>63</v>
      </c>
      <c r="E684" s="293"/>
      <c r="F684" s="293" t="s">
        <v>31</v>
      </c>
      <c r="G684" s="294"/>
      <c r="H684" s="325">
        <v>1</v>
      </c>
      <c r="I684" s="295"/>
    </row>
    <row r="685" spans="1:10" ht="25" hidden="1" customHeight="1">
      <c r="A685" s="289"/>
      <c r="B685" s="290" t="s">
        <v>892</v>
      </c>
      <c r="C685" s="339" t="s">
        <v>891</v>
      </c>
      <c r="D685" s="292" t="s">
        <v>478</v>
      </c>
      <c r="E685" s="293">
        <v>4</v>
      </c>
      <c r="F685" s="293" t="s">
        <v>39</v>
      </c>
      <c r="G685" s="294">
        <v>36000</v>
      </c>
      <c r="H685" s="325">
        <v>1</v>
      </c>
      <c r="I685" s="295"/>
      <c r="J685" s="260" t="s">
        <v>89</v>
      </c>
    </row>
    <row r="686" spans="1:10" ht="25" hidden="1" customHeight="1">
      <c r="A686" s="289"/>
      <c r="B686" s="290" t="s">
        <v>893</v>
      </c>
      <c r="C686" s="339" t="s">
        <v>891</v>
      </c>
      <c r="D686" s="292" t="s">
        <v>480</v>
      </c>
      <c r="E686" s="293">
        <v>4</v>
      </c>
      <c r="F686" s="293" t="s">
        <v>39</v>
      </c>
      <c r="G686" s="294">
        <v>60000</v>
      </c>
      <c r="H686" s="325">
        <v>1</v>
      </c>
      <c r="I686" s="295"/>
      <c r="J686" s="260" t="s">
        <v>89</v>
      </c>
    </row>
    <row r="687" spans="1:10" ht="25" hidden="1" customHeight="1">
      <c r="A687" s="289"/>
      <c r="B687" s="290" t="s">
        <v>894</v>
      </c>
      <c r="C687" s="339" t="s">
        <v>891</v>
      </c>
      <c r="D687" s="292" t="s">
        <v>489</v>
      </c>
      <c r="E687" s="293">
        <v>5</v>
      </c>
      <c r="F687" s="293" t="s">
        <v>39</v>
      </c>
      <c r="G687" s="294">
        <v>90000</v>
      </c>
      <c r="H687" s="325">
        <v>1</v>
      </c>
      <c r="I687" s="295"/>
      <c r="J687" s="260" t="s">
        <v>89</v>
      </c>
    </row>
    <row r="688" spans="1:10" ht="25" hidden="1" customHeight="1">
      <c r="A688" s="289"/>
      <c r="B688" s="290" t="s">
        <v>895</v>
      </c>
      <c r="C688" s="339" t="s">
        <v>891</v>
      </c>
      <c r="D688" s="292" t="s">
        <v>491</v>
      </c>
      <c r="E688" s="293">
        <v>5</v>
      </c>
      <c r="F688" s="293" t="s">
        <v>39</v>
      </c>
      <c r="G688" s="294">
        <v>120000</v>
      </c>
      <c r="H688" s="325">
        <v>1</v>
      </c>
      <c r="I688" s="295"/>
      <c r="J688" s="260" t="s">
        <v>89</v>
      </c>
    </row>
    <row r="689" spans="1:10" ht="25" hidden="1" customHeight="1">
      <c r="A689" s="289"/>
      <c r="B689" s="290" t="s">
        <v>896</v>
      </c>
      <c r="C689" s="339" t="s">
        <v>891</v>
      </c>
      <c r="D689" s="292" t="s">
        <v>840</v>
      </c>
      <c r="E689" s="293">
        <v>6.666666666666667</v>
      </c>
      <c r="F689" s="293" t="s">
        <v>39</v>
      </c>
      <c r="G689" s="294">
        <v>150000</v>
      </c>
      <c r="H689" s="325">
        <v>1</v>
      </c>
      <c r="I689" s="295"/>
      <c r="J689" s="260" t="s">
        <v>89</v>
      </c>
    </row>
    <row r="690" spans="1:10" ht="25" hidden="1" customHeight="1">
      <c r="A690" s="289"/>
      <c r="B690" s="290" t="s">
        <v>897</v>
      </c>
      <c r="C690" s="339" t="s">
        <v>891</v>
      </c>
      <c r="D690" s="292" t="s">
        <v>842</v>
      </c>
      <c r="E690" s="293">
        <v>6.666666666666667</v>
      </c>
      <c r="F690" s="293" t="s">
        <v>39</v>
      </c>
      <c r="G690" s="294">
        <v>220000</v>
      </c>
      <c r="H690" s="325">
        <v>1</v>
      </c>
      <c r="I690" s="295"/>
      <c r="J690" s="260" t="s">
        <v>89</v>
      </c>
    </row>
    <row r="691" spans="1:10" ht="25" hidden="1" customHeight="1">
      <c r="A691" s="289"/>
      <c r="B691" s="290" t="s">
        <v>898</v>
      </c>
      <c r="C691" s="339" t="s">
        <v>891</v>
      </c>
      <c r="D691" s="292" t="s">
        <v>63</v>
      </c>
      <c r="E691" s="293"/>
      <c r="F691" s="293" t="s">
        <v>31</v>
      </c>
      <c r="G691" s="294"/>
      <c r="H691" s="325">
        <v>0.5</v>
      </c>
      <c r="I691" s="295"/>
    </row>
    <row r="692" spans="1:10" ht="25" hidden="1" customHeight="1">
      <c r="A692" s="289"/>
      <c r="B692" s="290" t="s">
        <v>899</v>
      </c>
      <c r="C692" s="339" t="s">
        <v>900</v>
      </c>
      <c r="D692" s="292" t="s">
        <v>478</v>
      </c>
      <c r="E692" s="293">
        <v>4</v>
      </c>
      <c r="F692" s="293" t="s">
        <v>39</v>
      </c>
      <c r="G692" s="294">
        <v>36000</v>
      </c>
      <c r="H692" s="325">
        <v>0.5</v>
      </c>
      <c r="I692" s="295"/>
      <c r="J692" s="260" t="s">
        <v>89</v>
      </c>
    </row>
    <row r="693" spans="1:10" ht="25" hidden="1" customHeight="1">
      <c r="A693" s="289"/>
      <c r="B693" s="290" t="s">
        <v>901</v>
      </c>
      <c r="C693" s="339" t="s">
        <v>900</v>
      </c>
      <c r="D693" s="292" t="s">
        <v>480</v>
      </c>
      <c r="E693" s="293">
        <v>4</v>
      </c>
      <c r="F693" s="293" t="s">
        <v>39</v>
      </c>
      <c r="G693" s="294">
        <v>60000</v>
      </c>
      <c r="H693" s="325">
        <v>0.5</v>
      </c>
      <c r="I693" s="295"/>
      <c r="J693" s="260" t="s">
        <v>89</v>
      </c>
    </row>
    <row r="694" spans="1:10" ht="25" hidden="1" customHeight="1">
      <c r="A694" s="289"/>
      <c r="B694" s="290" t="s">
        <v>902</v>
      </c>
      <c r="C694" s="339" t="s">
        <v>900</v>
      </c>
      <c r="D694" s="292" t="s">
        <v>489</v>
      </c>
      <c r="E694" s="293">
        <v>5</v>
      </c>
      <c r="F694" s="293" t="s">
        <v>39</v>
      </c>
      <c r="G694" s="294">
        <v>90000</v>
      </c>
      <c r="H694" s="325">
        <v>0.5</v>
      </c>
      <c r="I694" s="295"/>
      <c r="J694" s="260" t="s">
        <v>89</v>
      </c>
    </row>
    <row r="695" spans="1:10" ht="25" hidden="1" customHeight="1">
      <c r="A695" s="289"/>
      <c r="B695" s="290" t="s">
        <v>903</v>
      </c>
      <c r="C695" s="339" t="s">
        <v>900</v>
      </c>
      <c r="D695" s="292" t="s">
        <v>491</v>
      </c>
      <c r="E695" s="293">
        <v>5</v>
      </c>
      <c r="F695" s="293" t="s">
        <v>39</v>
      </c>
      <c r="G695" s="294">
        <v>120000</v>
      </c>
      <c r="H695" s="325">
        <v>0.5</v>
      </c>
      <c r="I695" s="295"/>
      <c r="J695" s="260" t="s">
        <v>89</v>
      </c>
    </row>
    <row r="696" spans="1:10" ht="25" hidden="1" customHeight="1">
      <c r="A696" s="289"/>
      <c r="B696" s="290" t="s">
        <v>904</v>
      </c>
      <c r="C696" s="339" t="s">
        <v>900</v>
      </c>
      <c r="D696" s="292" t="s">
        <v>840</v>
      </c>
      <c r="E696" s="293">
        <v>6.666666666666667</v>
      </c>
      <c r="F696" s="293" t="s">
        <v>39</v>
      </c>
      <c r="G696" s="294">
        <v>150000</v>
      </c>
      <c r="H696" s="325">
        <v>0.5</v>
      </c>
      <c r="I696" s="295"/>
      <c r="J696" s="260" t="s">
        <v>89</v>
      </c>
    </row>
    <row r="697" spans="1:10" ht="25" hidden="1" customHeight="1">
      <c r="A697" s="289"/>
      <c r="B697" s="290" t="s">
        <v>905</v>
      </c>
      <c r="C697" s="339" t="s">
        <v>900</v>
      </c>
      <c r="D697" s="292" t="s">
        <v>842</v>
      </c>
      <c r="E697" s="293">
        <v>6.666666666666667</v>
      </c>
      <c r="F697" s="293" t="s">
        <v>39</v>
      </c>
      <c r="G697" s="294">
        <v>220000</v>
      </c>
      <c r="H697" s="325">
        <v>0.5</v>
      </c>
      <c r="I697" s="295"/>
      <c r="J697" s="260" t="s">
        <v>89</v>
      </c>
    </row>
    <row r="698" spans="1:10" ht="25" hidden="1" customHeight="1">
      <c r="A698" s="274"/>
      <c r="B698" s="319"/>
      <c r="C698" s="418" t="s">
        <v>906</v>
      </c>
      <c r="D698" s="321"/>
      <c r="E698" s="277"/>
      <c r="F698" s="277"/>
      <c r="G698" s="322"/>
      <c r="H698" s="280"/>
      <c r="I698" s="279"/>
    </row>
    <row r="699" spans="1:10" ht="25" hidden="1" customHeight="1">
      <c r="A699" s="289"/>
      <c r="B699" s="290" t="s">
        <v>907</v>
      </c>
      <c r="C699" s="339" t="s">
        <v>906</v>
      </c>
      <c r="D699" s="292" t="s">
        <v>63</v>
      </c>
      <c r="E699" s="293"/>
      <c r="F699" s="293" t="s">
        <v>31</v>
      </c>
      <c r="G699" s="294"/>
      <c r="H699" s="325">
        <v>1</v>
      </c>
      <c r="I699" s="295"/>
    </row>
    <row r="700" spans="1:10" ht="25" hidden="1" customHeight="1">
      <c r="A700" s="289"/>
      <c r="B700" s="290" t="s">
        <v>908</v>
      </c>
      <c r="C700" s="339" t="s">
        <v>906</v>
      </c>
      <c r="D700" s="292" t="s">
        <v>478</v>
      </c>
      <c r="E700" s="293">
        <v>4</v>
      </c>
      <c r="F700" s="293" t="s">
        <v>39</v>
      </c>
      <c r="G700" s="294">
        <v>36000</v>
      </c>
      <c r="H700" s="325">
        <v>1</v>
      </c>
      <c r="I700" s="295"/>
      <c r="J700" s="260" t="s">
        <v>89</v>
      </c>
    </row>
    <row r="701" spans="1:10" ht="25" hidden="1" customHeight="1">
      <c r="A701" s="289"/>
      <c r="B701" s="290" t="s">
        <v>909</v>
      </c>
      <c r="C701" s="339" t="s">
        <v>906</v>
      </c>
      <c r="D701" s="292" t="s">
        <v>480</v>
      </c>
      <c r="E701" s="293">
        <v>4</v>
      </c>
      <c r="F701" s="293" t="s">
        <v>39</v>
      </c>
      <c r="G701" s="294">
        <v>60000</v>
      </c>
      <c r="H701" s="325">
        <v>1</v>
      </c>
      <c r="I701" s="295"/>
      <c r="J701" s="260" t="s">
        <v>89</v>
      </c>
    </row>
    <row r="702" spans="1:10" ht="25" hidden="1" customHeight="1">
      <c r="A702" s="289"/>
      <c r="B702" s="290" t="s">
        <v>910</v>
      </c>
      <c r="C702" s="339" t="s">
        <v>906</v>
      </c>
      <c r="D702" s="292" t="s">
        <v>489</v>
      </c>
      <c r="E702" s="293">
        <v>5</v>
      </c>
      <c r="F702" s="293" t="s">
        <v>39</v>
      </c>
      <c r="G702" s="294">
        <v>90000</v>
      </c>
      <c r="H702" s="325">
        <v>1</v>
      </c>
      <c r="I702" s="295"/>
      <c r="J702" s="260" t="s">
        <v>89</v>
      </c>
    </row>
    <row r="703" spans="1:10" ht="25" hidden="1" customHeight="1">
      <c r="A703" s="289"/>
      <c r="B703" s="290" t="s">
        <v>911</v>
      </c>
      <c r="C703" s="339" t="s">
        <v>906</v>
      </c>
      <c r="D703" s="292" t="s">
        <v>491</v>
      </c>
      <c r="E703" s="293">
        <v>5</v>
      </c>
      <c r="F703" s="293" t="s">
        <v>39</v>
      </c>
      <c r="G703" s="294">
        <v>120000</v>
      </c>
      <c r="H703" s="325">
        <v>1</v>
      </c>
      <c r="I703" s="295"/>
      <c r="J703" s="260" t="s">
        <v>89</v>
      </c>
    </row>
    <row r="704" spans="1:10" ht="25" hidden="1" customHeight="1">
      <c r="A704" s="289"/>
      <c r="B704" s="290" t="s">
        <v>912</v>
      </c>
      <c r="C704" s="339" t="s">
        <v>906</v>
      </c>
      <c r="D704" s="292" t="s">
        <v>840</v>
      </c>
      <c r="E704" s="293">
        <v>6.666666666666667</v>
      </c>
      <c r="F704" s="293" t="s">
        <v>39</v>
      </c>
      <c r="G704" s="294">
        <v>150000</v>
      </c>
      <c r="H704" s="325">
        <v>1</v>
      </c>
      <c r="I704" s="295"/>
      <c r="J704" s="260" t="s">
        <v>89</v>
      </c>
    </row>
    <row r="705" spans="1:10" ht="25" hidden="1" customHeight="1">
      <c r="A705" s="289"/>
      <c r="B705" s="290" t="s">
        <v>913</v>
      </c>
      <c r="C705" s="339" t="s">
        <v>906</v>
      </c>
      <c r="D705" s="292" t="s">
        <v>842</v>
      </c>
      <c r="E705" s="293">
        <v>6.666666666666667</v>
      </c>
      <c r="F705" s="293" t="s">
        <v>39</v>
      </c>
      <c r="G705" s="294">
        <v>220000</v>
      </c>
      <c r="H705" s="325">
        <v>1</v>
      </c>
      <c r="I705" s="295"/>
      <c r="J705" s="260" t="s">
        <v>89</v>
      </c>
    </row>
    <row r="706" spans="1:10" ht="25" hidden="1" customHeight="1">
      <c r="A706" s="289"/>
      <c r="B706" s="290" t="s">
        <v>914</v>
      </c>
      <c r="C706" s="339" t="s">
        <v>915</v>
      </c>
      <c r="D706" s="292" t="s">
        <v>63</v>
      </c>
      <c r="E706" s="293"/>
      <c r="F706" s="293" t="s">
        <v>31</v>
      </c>
      <c r="G706" s="294"/>
      <c r="H706" s="325">
        <v>0.5</v>
      </c>
      <c r="I706" s="295"/>
    </row>
    <row r="707" spans="1:10" ht="25" hidden="1" customHeight="1">
      <c r="A707" s="289"/>
      <c r="B707" s="290" t="s">
        <v>916</v>
      </c>
      <c r="C707" s="339" t="s">
        <v>915</v>
      </c>
      <c r="D707" s="292" t="s">
        <v>478</v>
      </c>
      <c r="E707" s="293">
        <v>4</v>
      </c>
      <c r="F707" s="293" t="s">
        <v>39</v>
      </c>
      <c r="G707" s="294">
        <v>36000</v>
      </c>
      <c r="H707" s="325">
        <v>0.5</v>
      </c>
      <c r="I707" s="295"/>
      <c r="J707" s="260" t="s">
        <v>89</v>
      </c>
    </row>
    <row r="708" spans="1:10" ht="25" hidden="1" customHeight="1">
      <c r="A708" s="289"/>
      <c r="B708" s="290" t="s">
        <v>917</v>
      </c>
      <c r="C708" s="339" t="s">
        <v>915</v>
      </c>
      <c r="D708" s="292" t="s">
        <v>480</v>
      </c>
      <c r="E708" s="293">
        <v>4</v>
      </c>
      <c r="F708" s="293" t="s">
        <v>39</v>
      </c>
      <c r="G708" s="294">
        <v>60000</v>
      </c>
      <c r="H708" s="325">
        <v>0.5</v>
      </c>
      <c r="I708" s="295"/>
      <c r="J708" s="260" t="s">
        <v>89</v>
      </c>
    </row>
    <row r="709" spans="1:10" ht="25" hidden="1" customHeight="1">
      <c r="A709" s="289"/>
      <c r="B709" s="290" t="s">
        <v>918</v>
      </c>
      <c r="C709" s="339" t="s">
        <v>915</v>
      </c>
      <c r="D709" s="292" t="s">
        <v>489</v>
      </c>
      <c r="E709" s="293">
        <v>5</v>
      </c>
      <c r="F709" s="293" t="s">
        <v>39</v>
      </c>
      <c r="G709" s="294">
        <v>90000</v>
      </c>
      <c r="H709" s="325">
        <v>0.5</v>
      </c>
      <c r="I709" s="295"/>
      <c r="J709" s="260" t="s">
        <v>89</v>
      </c>
    </row>
    <row r="710" spans="1:10" ht="25" hidden="1" customHeight="1">
      <c r="A710" s="289"/>
      <c r="B710" s="290" t="s">
        <v>919</v>
      </c>
      <c r="C710" s="339" t="s">
        <v>915</v>
      </c>
      <c r="D710" s="292" t="s">
        <v>491</v>
      </c>
      <c r="E710" s="293">
        <v>5</v>
      </c>
      <c r="F710" s="293" t="s">
        <v>39</v>
      </c>
      <c r="G710" s="294">
        <v>120000</v>
      </c>
      <c r="H710" s="325">
        <v>0.5</v>
      </c>
      <c r="I710" s="295"/>
      <c r="J710" s="260" t="s">
        <v>89</v>
      </c>
    </row>
    <row r="711" spans="1:10" ht="25" hidden="1" customHeight="1">
      <c r="A711" s="289"/>
      <c r="B711" s="290" t="s">
        <v>920</v>
      </c>
      <c r="C711" s="339" t="s">
        <v>915</v>
      </c>
      <c r="D711" s="292" t="s">
        <v>840</v>
      </c>
      <c r="E711" s="293">
        <v>6.666666666666667</v>
      </c>
      <c r="F711" s="293" t="s">
        <v>39</v>
      </c>
      <c r="G711" s="294">
        <v>150000</v>
      </c>
      <c r="H711" s="325">
        <v>0.5</v>
      </c>
      <c r="I711" s="295"/>
      <c r="J711" s="260" t="s">
        <v>89</v>
      </c>
    </row>
    <row r="712" spans="1:10" ht="25" hidden="1" customHeight="1">
      <c r="A712" s="289"/>
      <c r="B712" s="290" t="s">
        <v>921</v>
      </c>
      <c r="C712" s="339" t="s">
        <v>915</v>
      </c>
      <c r="D712" s="292" t="s">
        <v>842</v>
      </c>
      <c r="E712" s="293">
        <v>6.666666666666667</v>
      </c>
      <c r="F712" s="293" t="s">
        <v>39</v>
      </c>
      <c r="G712" s="294">
        <v>220000</v>
      </c>
      <c r="H712" s="325">
        <v>0.5</v>
      </c>
      <c r="I712" s="295"/>
      <c r="J712" s="260" t="s">
        <v>89</v>
      </c>
    </row>
    <row r="713" spans="1:10" ht="25" hidden="1" customHeight="1">
      <c r="A713" s="274"/>
      <c r="B713" s="319"/>
      <c r="C713" s="418" t="s">
        <v>922</v>
      </c>
      <c r="D713" s="321"/>
      <c r="E713" s="277"/>
      <c r="F713" s="277"/>
      <c r="G713" s="322"/>
      <c r="H713" s="280"/>
      <c r="I713" s="279"/>
    </row>
    <row r="714" spans="1:10" ht="25" hidden="1" customHeight="1">
      <c r="A714" s="289"/>
      <c r="B714" s="290" t="s">
        <v>923</v>
      </c>
      <c r="C714" s="339" t="s">
        <v>924</v>
      </c>
      <c r="D714" s="292" t="s">
        <v>63</v>
      </c>
      <c r="E714" s="293"/>
      <c r="F714" s="293" t="s">
        <v>31</v>
      </c>
      <c r="G714" s="294"/>
      <c r="H714" s="325">
        <v>1</v>
      </c>
      <c r="I714" s="295"/>
    </row>
    <row r="715" spans="1:10" ht="25" hidden="1" customHeight="1">
      <c r="A715" s="289"/>
      <c r="B715" s="290" t="s">
        <v>925</v>
      </c>
      <c r="C715" s="339" t="s">
        <v>924</v>
      </c>
      <c r="D715" s="292" t="s">
        <v>478</v>
      </c>
      <c r="E715" s="293">
        <v>4</v>
      </c>
      <c r="F715" s="293" t="s">
        <v>39</v>
      </c>
      <c r="G715" s="294">
        <v>36000</v>
      </c>
      <c r="H715" s="325">
        <v>1</v>
      </c>
      <c r="I715" s="295"/>
      <c r="J715" s="260" t="s">
        <v>89</v>
      </c>
    </row>
    <row r="716" spans="1:10" ht="25" hidden="1" customHeight="1">
      <c r="A716" s="289"/>
      <c r="B716" s="290" t="s">
        <v>926</v>
      </c>
      <c r="C716" s="339" t="s">
        <v>924</v>
      </c>
      <c r="D716" s="292" t="s">
        <v>480</v>
      </c>
      <c r="E716" s="293">
        <v>4</v>
      </c>
      <c r="F716" s="293" t="s">
        <v>39</v>
      </c>
      <c r="G716" s="294">
        <v>60000</v>
      </c>
      <c r="H716" s="325">
        <v>1</v>
      </c>
      <c r="I716" s="295"/>
      <c r="J716" s="260" t="s">
        <v>89</v>
      </c>
    </row>
    <row r="717" spans="1:10" ht="25" hidden="1" customHeight="1">
      <c r="A717" s="289"/>
      <c r="B717" s="290" t="s">
        <v>927</v>
      </c>
      <c r="C717" s="339" t="s">
        <v>924</v>
      </c>
      <c r="D717" s="292" t="s">
        <v>489</v>
      </c>
      <c r="E717" s="293">
        <v>5</v>
      </c>
      <c r="F717" s="293" t="s">
        <v>39</v>
      </c>
      <c r="G717" s="294">
        <v>90000</v>
      </c>
      <c r="H717" s="325">
        <v>1</v>
      </c>
      <c r="I717" s="295"/>
      <c r="J717" s="260" t="s">
        <v>89</v>
      </c>
    </row>
    <row r="718" spans="1:10" ht="25" hidden="1" customHeight="1">
      <c r="A718" s="289"/>
      <c r="B718" s="290" t="s">
        <v>928</v>
      </c>
      <c r="C718" s="339" t="s">
        <v>924</v>
      </c>
      <c r="D718" s="292" t="s">
        <v>491</v>
      </c>
      <c r="E718" s="293">
        <v>5</v>
      </c>
      <c r="F718" s="293" t="s">
        <v>39</v>
      </c>
      <c r="G718" s="294">
        <v>120000</v>
      </c>
      <c r="H718" s="325">
        <v>1</v>
      </c>
      <c r="I718" s="295"/>
      <c r="J718" s="260" t="s">
        <v>89</v>
      </c>
    </row>
    <row r="719" spans="1:10" ht="25" hidden="1" customHeight="1">
      <c r="A719" s="289"/>
      <c r="B719" s="290" t="s">
        <v>929</v>
      </c>
      <c r="C719" s="339" t="s">
        <v>924</v>
      </c>
      <c r="D719" s="292" t="s">
        <v>840</v>
      </c>
      <c r="E719" s="293">
        <v>6.666666666666667</v>
      </c>
      <c r="F719" s="293" t="s">
        <v>39</v>
      </c>
      <c r="G719" s="294">
        <v>150000</v>
      </c>
      <c r="H719" s="325">
        <v>1</v>
      </c>
      <c r="I719" s="295"/>
      <c r="J719" s="260" t="s">
        <v>89</v>
      </c>
    </row>
    <row r="720" spans="1:10" ht="25" hidden="1" customHeight="1">
      <c r="A720" s="289"/>
      <c r="B720" s="290" t="s">
        <v>930</v>
      </c>
      <c r="C720" s="339" t="s">
        <v>924</v>
      </c>
      <c r="D720" s="292" t="s">
        <v>842</v>
      </c>
      <c r="E720" s="293">
        <v>6.666666666666667</v>
      </c>
      <c r="F720" s="293" t="s">
        <v>39</v>
      </c>
      <c r="G720" s="294">
        <v>220000</v>
      </c>
      <c r="H720" s="325">
        <v>1</v>
      </c>
      <c r="I720" s="295"/>
      <c r="J720" s="260" t="s">
        <v>89</v>
      </c>
    </row>
    <row r="721" spans="1:10" ht="25" hidden="1" customHeight="1">
      <c r="A721" s="289"/>
      <c r="B721" s="290" t="s">
        <v>931</v>
      </c>
      <c r="C721" s="339" t="s">
        <v>932</v>
      </c>
      <c r="D721" s="292" t="s">
        <v>63</v>
      </c>
      <c r="E721" s="293"/>
      <c r="F721" s="293" t="s">
        <v>31</v>
      </c>
      <c r="G721" s="294"/>
      <c r="H721" s="325">
        <v>0.5</v>
      </c>
      <c r="I721" s="295"/>
    </row>
    <row r="722" spans="1:10" ht="25" hidden="1" customHeight="1">
      <c r="A722" s="289"/>
      <c r="B722" s="290" t="s">
        <v>933</v>
      </c>
      <c r="C722" s="339" t="s">
        <v>932</v>
      </c>
      <c r="D722" s="292" t="s">
        <v>478</v>
      </c>
      <c r="E722" s="293">
        <v>4</v>
      </c>
      <c r="F722" s="293" t="s">
        <v>39</v>
      </c>
      <c r="G722" s="294">
        <v>36000</v>
      </c>
      <c r="H722" s="325">
        <v>0.5</v>
      </c>
      <c r="I722" s="295"/>
      <c r="J722" s="260" t="s">
        <v>89</v>
      </c>
    </row>
    <row r="723" spans="1:10" ht="25" hidden="1" customHeight="1">
      <c r="A723" s="289"/>
      <c r="B723" s="290" t="s">
        <v>934</v>
      </c>
      <c r="C723" s="339" t="s">
        <v>932</v>
      </c>
      <c r="D723" s="292" t="s">
        <v>480</v>
      </c>
      <c r="E723" s="293">
        <v>4</v>
      </c>
      <c r="F723" s="293" t="s">
        <v>39</v>
      </c>
      <c r="G723" s="294">
        <v>60000</v>
      </c>
      <c r="H723" s="325">
        <v>0.5</v>
      </c>
      <c r="I723" s="295"/>
      <c r="J723" s="260" t="s">
        <v>89</v>
      </c>
    </row>
    <row r="724" spans="1:10" ht="25" hidden="1" customHeight="1">
      <c r="A724" s="289"/>
      <c r="B724" s="290" t="s">
        <v>935</v>
      </c>
      <c r="C724" s="339" t="s">
        <v>932</v>
      </c>
      <c r="D724" s="292" t="s">
        <v>489</v>
      </c>
      <c r="E724" s="293">
        <v>5</v>
      </c>
      <c r="F724" s="293" t="s">
        <v>39</v>
      </c>
      <c r="G724" s="294">
        <v>90000</v>
      </c>
      <c r="H724" s="325">
        <v>0.5</v>
      </c>
      <c r="I724" s="295"/>
      <c r="J724" s="260" t="s">
        <v>89</v>
      </c>
    </row>
    <row r="725" spans="1:10" ht="25" hidden="1" customHeight="1">
      <c r="A725" s="289"/>
      <c r="B725" s="290" t="s">
        <v>936</v>
      </c>
      <c r="C725" s="339" t="s">
        <v>932</v>
      </c>
      <c r="D725" s="292" t="s">
        <v>491</v>
      </c>
      <c r="E725" s="293">
        <v>5</v>
      </c>
      <c r="F725" s="293" t="s">
        <v>39</v>
      </c>
      <c r="G725" s="294">
        <v>120000</v>
      </c>
      <c r="H725" s="325">
        <v>0.5</v>
      </c>
      <c r="I725" s="295"/>
      <c r="J725" s="260" t="s">
        <v>89</v>
      </c>
    </row>
    <row r="726" spans="1:10" ht="25" hidden="1" customHeight="1">
      <c r="A726" s="289"/>
      <c r="B726" s="290" t="s">
        <v>937</v>
      </c>
      <c r="C726" s="339" t="s">
        <v>932</v>
      </c>
      <c r="D726" s="292" t="s">
        <v>840</v>
      </c>
      <c r="E726" s="293">
        <v>6.666666666666667</v>
      </c>
      <c r="F726" s="293" t="s">
        <v>39</v>
      </c>
      <c r="G726" s="294">
        <v>150000</v>
      </c>
      <c r="H726" s="325">
        <v>0.5</v>
      </c>
      <c r="I726" s="295"/>
      <c r="J726" s="260" t="s">
        <v>89</v>
      </c>
    </row>
    <row r="727" spans="1:10" ht="25" hidden="1" customHeight="1">
      <c r="A727" s="289"/>
      <c r="B727" s="290" t="s">
        <v>938</v>
      </c>
      <c r="C727" s="339" t="s">
        <v>932</v>
      </c>
      <c r="D727" s="292" t="s">
        <v>842</v>
      </c>
      <c r="E727" s="293">
        <v>6.666666666666667</v>
      </c>
      <c r="F727" s="293" t="s">
        <v>39</v>
      </c>
      <c r="G727" s="294">
        <v>220000</v>
      </c>
      <c r="H727" s="325">
        <v>0.5</v>
      </c>
      <c r="I727" s="295"/>
      <c r="J727" s="260" t="s">
        <v>89</v>
      </c>
    </row>
    <row r="728" spans="1:10" ht="25" hidden="1" customHeight="1">
      <c r="A728" s="274"/>
      <c r="B728" s="319"/>
      <c r="C728" s="418" t="s">
        <v>939</v>
      </c>
      <c r="D728" s="321"/>
      <c r="E728" s="277"/>
      <c r="F728" s="277"/>
      <c r="G728" s="322"/>
      <c r="H728" s="280"/>
      <c r="I728" s="279"/>
    </row>
    <row r="729" spans="1:10" ht="25" hidden="1" customHeight="1">
      <c r="A729" s="289"/>
      <c r="B729" s="290" t="s">
        <v>940</v>
      </c>
      <c r="C729" s="339" t="s">
        <v>941</v>
      </c>
      <c r="D729" s="284" t="s">
        <v>63</v>
      </c>
      <c r="E729" s="293"/>
      <c r="F729" s="293" t="s">
        <v>31</v>
      </c>
      <c r="G729" s="294">
        <v>36000</v>
      </c>
      <c r="H729" s="325">
        <v>1</v>
      </c>
      <c r="I729" s="295"/>
      <c r="J729" s="260" t="s">
        <v>89</v>
      </c>
    </row>
    <row r="730" spans="1:10" ht="25" hidden="1" customHeight="1">
      <c r="A730" s="289"/>
      <c r="B730" s="290" t="s">
        <v>942</v>
      </c>
      <c r="C730" s="339" t="s">
        <v>941</v>
      </c>
      <c r="D730" s="292" t="s">
        <v>66</v>
      </c>
      <c r="E730" s="293">
        <v>5</v>
      </c>
      <c r="F730" s="293" t="s">
        <v>39</v>
      </c>
      <c r="G730" s="294">
        <v>45000</v>
      </c>
      <c r="H730" s="325">
        <v>1</v>
      </c>
      <c r="I730" s="295"/>
      <c r="J730" s="260" t="s">
        <v>89</v>
      </c>
    </row>
    <row r="731" spans="1:10" ht="25" hidden="1" customHeight="1">
      <c r="A731" s="289"/>
      <c r="B731" s="290" t="s">
        <v>943</v>
      </c>
      <c r="C731" s="339" t="s">
        <v>941</v>
      </c>
      <c r="D731" s="292" t="s">
        <v>68</v>
      </c>
      <c r="E731" s="293">
        <v>6.666666666666667</v>
      </c>
      <c r="F731" s="293" t="s">
        <v>39</v>
      </c>
      <c r="G731" s="294">
        <v>80000</v>
      </c>
      <c r="H731" s="325">
        <v>1</v>
      </c>
      <c r="I731" s="295"/>
      <c r="J731" s="260" t="s">
        <v>89</v>
      </c>
    </row>
    <row r="732" spans="1:10" ht="25" hidden="1" customHeight="1">
      <c r="A732" s="289"/>
      <c r="B732" s="290" t="s">
        <v>944</v>
      </c>
      <c r="C732" s="339" t="s">
        <v>941</v>
      </c>
      <c r="D732" s="292" t="s">
        <v>70</v>
      </c>
      <c r="E732" s="293">
        <v>8.3720930232558146</v>
      </c>
      <c r="F732" s="293" t="s">
        <v>39</v>
      </c>
      <c r="G732" s="294">
        <v>110000</v>
      </c>
      <c r="H732" s="325">
        <v>1</v>
      </c>
      <c r="I732" s="295"/>
      <c r="J732" s="260" t="s">
        <v>89</v>
      </c>
    </row>
    <row r="733" spans="1:10" ht="25" hidden="1" customHeight="1">
      <c r="A733" s="289"/>
      <c r="B733" s="290" t="s">
        <v>945</v>
      </c>
      <c r="C733" s="339" t="s">
        <v>941</v>
      </c>
      <c r="D733" s="292" t="s">
        <v>72</v>
      </c>
      <c r="E733" s="293">
        <v>8.3720930232558146</v>
      </c>
      <c r="F733" s="293" t="s">
        <v>39</v>
      </c>
      <c r="G733" s="294">
        <v>150000</v>
      </c>
      <c r="H733" s="325">
        <v>1</v>
      </c>
      <c r="I733" s="295"/>
      <c r="J733" s="260" t="s">
        <v>89</v>
      </c>
    </row>
    <row r="734" spans="1:10" ht="25" hidden="1" customHeight="1">
      <c r="A734" s="289"/>
      <c r="B734" s="290" t="s">
        <v>946</v>
      </c>
      <c r="C734" s="339" t="s">
        <v>941</v>
      </c>
      <c r="D734" s="299" t="s">
        <v>74</v>
      </c>
      <c r="E734" s="293">
        <v>16.363636363636363</v>
      </c>
      <c r="F734" s="293" t="s">
        <v>39</v>
      </c>
      <c r="G734" s="294">
        <v>220000</v>
      </c>
      <c r="H734" s="325">
        <v>1</v>
      </c>
      <c r="I734" s="295"/>
      <c r="J734" s="260" t="s">
        <v>89</v>
      </c>
    </row>
    <row r="735" spans="1:10" ht="25" hidden="1" customHeight="1">
      <c r="A735" s="289"/>
      <c r="B735" s="290" t="s">
        <v>947</v>
      </c>
      <c r="C735" s="339" t="s">
        <v>948</v>
      </c>
      <c r="D735" s="284" t="s">
        <v>63</v>
      </c>
      <c r="E735" s="293"/>
      <c r="F735" s="293" t="s">
        <v>31</v>
      </c>
      <c r="G735" s="294">
        <v>36000</v>
      </c>
      <c r="H735" s="325">
        <v>0.5</v>
      </c>
      <c r="I735" s="295"/>
      <c r="J735" s="260" t="s">
        <v>89</v>
      </c>
    </row>
    <row r="736" spans="1:10" ht="25" hidden="1" customHeight="1">
      <c r="A736" s="289"/>
      <c r="B736" s="290" t="s">
        <v>949</v>
      </c>
      <c r="C736" s="339" t="s">
        <v>948</v>
      </c>
      <c r="D736" s="292" t="s">
        <v>66</v>
      </c>
      <c r="E736" s="293">
        <v>5</v>
      </c>
      <c r="F736" s="293" t="s">
        <v>39</v>
      </c>
      <c r="G736" s="294">
        <v>45000</v>
      </c>
      <c r="H736" s="325">
        <v>0.5</v>
      </c>
      <c r="I736" s="295"/>
      <c r="J736" s="260" t="s">
        <v>89</v>
      </c>
    </row>
    <row r="737" spans="1:10" ht="25" hidden="1" customHeight="1">
      <c r="A737" s="289"/>
      <c r="B737" s="290" t="s">
        <v>950</v>
      </c>
      <c r="C737" s="339" t="s">
        <v>948</v>
      </c>
      <c r="D737" s="292" t="s">
        <v>68</v>
      </c>
      <c r="E737" s="293">
        <v>6.666666666666667</v>
      </c>
      <c r="F737" s="293" t="s">
        <v>39</v>
      </c>
      <c r="G737" s="294">
        <v>80000</v>
      </c>
      <c r="H737" s="325">
        <v>0.5</v>
      </c>
      <c r="I737" s="295"/>
      <c r="J737" s="260" t="s">
        <v>89</v>
      </c>
    </row>
    <row r="738" spans="1:10" ht="25" hidden="1" customHeight="1">
      <c r="A738" s="289"/>
      <c r="B738" s="290" t="s">
        <v>951</v>
      </c>
      <c r="C738" s="339" t="s">
        <v>948</v>
      </c>
      <c r="D738" s="292" t="s">
        <v>70</v>
      </c>
      <c r="E738" s="293">
        <v>8.3720930232558146</v>
      </c>
      <c r="F738" s="293" t="s">
        <v>39</v>
      </c>
      <c r="G738" s="294">
        <v>110000</v>
      </c>
      <c r="H738" s="325">
        <v>0.5</v>
      </c>
      <c r="I738" s="295"/>
      <c r="J738" s="260" t="s">
        <v>89</v>
      </c>
    </row>
    <row r="739" spans="1:10" ht="25" hidden="1" customHeight="1">
      <c r="A739" s="289"/>
      <c r="B739" s="290" t="s">
        <v>952</v>
      </c>
      <c r="C739" s="339" t="s">
        <v>948</v>
      </c>
      <c r="D739" s="292" t="s">
        <v>72</v>
      </c>
      <c r="E739" s="293">
        <v>8.3720930232558146</v>
      </c>
      <c r="F739" s="293" t="s">
        <v>39</v>
      </c>
      <c r="G739" s="294">
        <v>150000</v>
      </c>
      <c r="H739" s="325">
        <v>0.5</v>
      </c>
      <c r="I739" s="295"/>
      <c r="J739" s="260" t="s">
        <v>89</v>
      </c>
    </row>
    <row r="740" spans="1:10" ht="25" hidden="1" customHeight="1">
      <c r="A740" s="289"/>
      <c r="B740" s="290" t="s">
        <v>953</v>
      </c>
      <c r="C740" s="339" t="s">
        <v>948</v>
      </c>
      <c r="D740" s="299" t="s">
        <v>74</v>
      </c>
      <c r="E740" s="293">
        <v>16.363636363636363</v>
      </c>
      <c r="F740" s="293" t="s">
        <v>39</v>
      </c>
      <c r="G740" s="294">
        <v>220000</v>
      </c>
      <c r="H740" s="325">
        <v>0.5</v>
      </c>
      <c r="I740" s="295"/>
      <c r="J740" s="260" t="s">
        <v>89</v>
      </c>
    </row>
    <row r="741" spans="1:10" ht="25" hidden="1" customHeight="1">
      <c r="A741" s="274"/>
      <c r="B741" s="319"/>
      <c r="C741" s="418" t="s">
        <v>954</v>
      </c>
      <c r="D741" s="321"/>
      <c r="E741" s="277"/>
      <c r="F741" s="277"/>
      <c r="G741" s="322"/>
      <c r="H741" s="280"/>
      <c r="I741" s="279"/>
    </row>
    <row r="742" spans="1:10" ht="25" hidden="1" customHeight="1">
      <c r="A742" s="289"/>
      <c r="B742" s="290" t="s">
        <v>955</v>
      </c>
      <c r="C742" s="339" t="s">
        <v>954</v>
      </c>
      <c r="D742" s="292" t="s">
        <v>63</v>
      </c>
      <c r="E742" s="293"/>
      <c r="F742" s="293" t="s">
        <v>31</v>
      </c>
      <c r="G742" s="294">
        <v>36000</v>
      </c>
      <c r="H742" s="325">
        <v>1</v>
      </c>
      <c r="I742" s="295"/>
    </row>
    <row r="743" spans="1:10" ht="25" hidden="1" customHeight="1">
      <c r="A743" s="289"/>
      <c r="B743" s="290" t="s">
        <v>956</v>
      </c>
      <c r="C743" s="339" t="s">
        <v>954</v>
      </c>
      <c r="D743" s="292" t="s">
        <v>478</v>
      </c>
      <c r="E743" s="293">
        <v>4</v>
      </c>
      <c r="F743" s="293" t="s">
        <v>39</v>
      </c>
      <c r="G743" s="294">
        <v>48000</v>
      </c>
      <c r="H743" s="325">
        <v>1</v>
      </c>
      <c r="I743" s="295"/>
    </row>
    <row r="744" spans="1:10" ht="25" hidden="1" customHeight="1">
      <c r="A744" s="289"/>
      <c r="B744" s="290" t="s">
        <v>957</v>
      </c>
      <c r="C744" s="339" t="s">
        <v>954</v>
      </c>
      <c r="D744" s="292" t="s">
        <v>480</v>
      </c>
      <c r="E744" s="293">
        <v>4</v>
      </c>
      <c r="F744" s="293" t="s">
        <v>39</v>
      </c>
      <c r="G744" s="294">
        <v>70000</v>
      </c>
      <c r="H744" s="325">
        <v>1</v>
      </c>
      <c r="I744" s="295"/>
    </row>
    <row r="745" spans="1:10" ht="25" hidden="1" customHeight="1">
      <c r="A745" s="289"/>
      <c r="B745" s="290" t="s">
        <v>958</v>
      </c>
      <c r="C745" s="339" t="s">
        <v>954</v>
      </c>
      <c r="D745" s="292" t="s">
        <v>489</v>
      </c>
      <c r="E745" s="293">
        <v>5</v>
      </c>
      <c r="F745" s="293" t="s">
        <v>39</v>
      </c>
      <c r="G745" s="294">
        <v>95000</v>
      </c>
      <c r="H745" s="325">
        <v>1</v>
      </c>
      <c r="I745" s="295"/>
    </row>
    <row r="746" spans="1:10" ht="25" hidden="1" customHeight="1">
      <c r="A746" s="289"/>
      <c r="B746" s="290" t="s">
        <v>959</v>
      </c>
      <c r="C746" s="339" t="s">
        <v>954</v>
      </c>
      <c r="D746" s="292" t="s">
        <v>491</v>
      </c>
      <c r="E746" s="293">
        <v>5</v>
      </c>
      <c r="F746" s="293" t="s">
        <v>39</v>
      </c>
      <c r="G746" s="294">
        <v>120000</v>
      </c>
      <c r="H746" s="325">
        <v>1</v>
      </c>
      <c r="I746" s="295"/>
    </row>
    <row r="747" spans="1:10" ht="25" hidden="1" customHeight="1">
      <c r="A747" s="289"/>
      <c r="B747" s="290" t="s">
        <v>960</v>
      </c>
      <c r="C747" s="339" t="s">
        <v>954</v>
      </c>
      <c r="D747" s="292" t="s">
        <v>840</v>
      </c>
      <c r="E747" s="293">
        <v>6.666666666666667</v>
      </c>
      <c r="F747" s="293" t="s">
        <v>39</v>
      </c>
      <c r="G747" s="294">
        <v>145000</v>
      </c>
      <c r="H747" s="325">
        <v>1</v>
      </c>
      <c r="I747" s="295"/>
    </row>
    <row r="748" spans="1:10" ht="25" hidden="1" customHeight="1">
      <c r="A748" s="289"/>
      <c r="B748" s="290" t="s">
        <v>961</v>
      </c>
      <c r="C748" s="339" t="s">
        <v>954</v>
      </c>
      <c r="D748" s="292" t="s">
        <v>842</v>
      </c>
      <c r="E748" s="293">
        <v>6.666666666666667</v>
      </c>
      <c r="F748" s="293" t="s">
        <v>39</v>
      </c>
      <c r="G748" s="294">
        <v>180000</v>
      </c>
      <c r="H748" s="325">
        <v>1</v>
      </c>
      <c r="I748" s="295"/>
    </row>
    <row r="749" spans="1:10" ht="25" hidden="1" customHeight="1">
      <c r="A749" s="274"/>
      <c r="B749" s="319"/>
      <c r="C749" s="418" t="s">
        <v>962</v>
      </c>
      <c r="D749" s="321"/>
      <c r="E749" s="277"/>
      <c r="F749" s="277"/>
      <c r="G749" s="322"/>
      <c r="H749" s="280"/>
      <c r="I749" s="279"/>
    </row>
    <row r="750" spans="1:10" ht="25" hidden="1" customHeight="1">
      <c r="A750" s="343"/>
      <c r="B750" s="344" t="s">
        <v>963</v>
      </c>
      <c r="C750" s="345" t="s">
        <v>964</v>
      </c>
      <c r="D750" s="436"/>
      <c r="E750" s="347"/>
      <c r="F750" s="293" t="s">
        <v>31</v>
      </c>
      <c r="G750" s="432">
        <v>40000</v>
      </c>
      <c r="H750" s="434">
        <v>1</v>
      </c>
      <c r="I750" s="417"/>
    </row>
    <row r="751" spans="1:10" ht="25" hidden="1" customHeight="1">
      <c r="A751" s="343"/>
      <c r="B751" s="344" t="s">
        <v>965</v>
      </c>
      <c r="C751" s="345" t="s">
        <v>966</v>
      </c>
      <c r="D751" s="436"/>
      <c r="E751" s="347"/>
      <c r="F751" s="293" t="s">
        <v>31</v>
      </c>
      <c r="G751" s="432">
        <v>40000</v>
      </c>
      <c r="H751" s="434">
        <v>0.5</v>
      </c>
      <c r="I751" s="417"/>
    </row>
    <row r="752" spans="1:10" ht="25" hidden="1" customHeight="1">
      <c r="A752" s="343"/>
      <c r="B752" s="344" t="s">
        <v>967</v>
      </c>
      <c r="C752" s="345" t="s">
        <v>964</v>
      </c>
      <c r="D752" s="292" t="s">
        <v>968</v>
      </c>
      <c r="E752" s="347"/>
      <c r="F752" s="293" t="s">
        <v>31</v>
      </c>
      <c r="G752" s="432">
        <v>40000</v>
      </c>
      <c r="H752" s="434">
        <v>1</v>
      </c>
      <c r="I752" s="417"/>
      <c r="J752" s="260" t="s">
        <v>969</v>
      </c>
    </row>
    <row r="753" spans="1:10" ht="25" hidden="1" customHeight="1">
      <c r="A753" s="343"/>
      <c r="B753" s="344" t="s">
        <v>970</v>
      </c>
      <c r="C753" s="345" t="s">
        <v>964</v>
      </c>
      <c r="D753" s="292" t="s">
        <v>971</v>
      </c>
      <c r="E753" s="347"/>
      <c r="F753" s="293" t="s">
        <v>31</v>
      </c>
      <c r="G753" s="432">
        <v>40000</v>
      </c>
      <c r="H753" s="434">
        <v>1</v>
      </c>
      <c r="I753" s="417"/>
      <c r="J753" s="260" t="s">
        <v>969</v>
      </c>
    </row>
    <row r="754" spans="1:10" ht="25" hidden="1" customHeight="1">
      <c r="A754" s="343"/>
      <c r="B754" s="344" t="s">
        <v>972</v>
      </c>
      <c r="C754" s="345" t="s">
        <v>973</v>
      </c>
      <c r="D754" s="292" t="s">
        <v>968</v>
      </c>
      <c r="E754" s="347"/>
      <c r="F754" s="293" t="s">
        <v>31</v>
      </c>
      <c r="G754" s="432">
        <v>40000</v>
      </c>
      <c r="H754" s="434">
        <v>1</v>
      </c>
      <c r="I754" s="417"/>
      <c r="J754" s="260" t="s">
        <v>969</v>
      </c>
    </row>
    <row r="755" spans="1:10" ht="25" hidden="1" customHeight="1">
      <c r="A755" s="343"/>
      <c r="B755" s="344" t="s">
        <v>974</v>
      </c>
      <c r="C755" s="345" t="s">
        <v>975</v>
      </c>
      <c r="D755" s="292"/>
      <c r="E755" s="347"/>
      <c r="F755" s="293" t="s">
        <v>31</v>
      </c>
      <c r="G755" s="432">
        <v>40000</v>
      </c>
      <c r="H755" s="434">
        <v>1</v>
      </c>
      <c r="I755" s="417"/>
    </row>
    <row r="756" spans="1:10" ht="25" hidden="1" customHeight="1">
      <c r="A756" s="343"/>
      <c r="B756" s="344" t="s">
        <v>976</v>
      </c>
      <c r="C756" s="345" t="s">
        <v>975</v>
      </c>
      <c r="D756" s="292" t="s">
        <v>968</v>
      </c>
      <c r="E756" s="347"/>
      <c r="F756" s="293" t="s">
        <v>31</v>
      </c>
      <c r="G756" s="432">
        <v>40000</v>
      </c>
      <c r="H756" s="434">
        <v>1</v>
      </c>
      <c r="I756" s="417"/>
      <c r="J756" s="260" t="s">
        <v>969</v>
      </c>
    </row>
    <row r="757" spans="1:10" ht="25" hidden="1" customHeight="1">
      <c r="A757" s="343"/>
      <c r="B757" s="344" t="s">
        <v>977</v>
      </c>
      <c r="C757" s="345" t="s">
        <v>975</v>
      </c>
      <c r="D757" s="292" t="s">
        <v>971</v>
      </c>
      <c r="E757" s="347"/>
      <c r="F757" s="293" t="s">
        <v>31</v>
      </c>
      <c r="G757" s="432">
        <v>40000</v>
      </c>
      <c r="H757" s="434">
        <v>1</v>
      </c>
      <c r="I757" s="417"/>
      <c r="J757" s="260" t="s">
        <v>969</v>
      </c>
    </row>
    <row r="758" spans="1:10" ht="25" hidden="1" customHeight="1">
      <c r="A758" s="343"/>
      <c r="B758" s="344" t="s">
        <v>978</v>
      </c>
      <c r="C758" s="345" t="s">
        <v>979</v>
      </c>
      <c r="D758" s="292" t="s">
        <v>968</v>
      </c>
      <c r="E758" s="347"/>
      <c r="F758" s="293" t="s">
        <v>31</v>
      </c>
      <c r="G758" s="432">
        <v>40000</v>
      </c>
      <c r="H758" s="434">
        <v>1</v>
      </c>
      <c r="I758" s="417"/>
      <c r="J758" s="260" t="s">
        <v>969</v>
      </c>
    </row>
    <row r="759" spans="1:10" ht="25" hidden="1" customHeight="1">
      <c r="A759" s="343"/>
      <c r="B759" s="344" t="s">
        <v>980</v>
      </c>
      <c r="C759" s="345" t="s">
        <v>981</v>
      </c>
      <c r="D759" s="292" t="s">
        <v>982</v>
      </c>
      <c r="E759" s="347"/>
      <c r="F759" s="293" t="s">
        <v>31</v>
      </c>
      <c r="G759" s="432">
        <v>40000</v>
      </c>
      <c r="H759" s="434">
        <v>1</v>
      </c>
      <c r="I759" s="417"/>
      <c r="J759" s="260" t="s">
        <v>969</v>
      </c>
    </row>
    <row r="760" spans="1:10" ht="25" hidden="1" customHeight="1">
      <c r="A760" s="343"/>
      <c r="B760" s="344" t="s">
        <v>983</v>
      </c>
      <c r="C760" s="345" t="s">
        <v>981</v>
      </c>
      <c r="D760" s="292" t="s">
        <v>984</v>
      </c>
      <c r="E760" s="347"/>
      <c r="F760" s="293" t="s">
        <v>31</v>
      </c>
      <c r="G760" s="432">
        <v>40000</v>
      </c>
      <c r="H760" s="434">
        <v>1</v>
      </c>
      <c r="I760" s="417"/>
      <c r="J760" s="260" t="s">
        <v>969</v>
      </c>
    </row>
    <row r="761" spans="1:10" ht="25" hidden="1" customHeight="1">
      <c r="A761" s="343"/>
      <c r="B761" s="344" t="s">
        <v>985</v>
      </c>
      <c r="C761" s="345" t="s">
        <v>981</v>
      </c>
      <c r="D761" s="292" t="s">
        <v>986</v>
      </c>
      <c r="E761" s="347"/>
      <c r="F761" s="293" t="s">
        <v>31</v>
      </c>
      <c r="G761" s="432">
        <v>40000</v>
      </c>
      <c r="H761" s="434">
        <v>1</v>
      </c>
      <c r="I761" s="417"/>
      <c r="J761" s="260" t="s">
        <v>969</v>
      </c>
    </row>
    <row r="762" spans="1:10" ht="25" hidden="1" customHeight="1">
      <c r="A762" s="343"/>
      <c r="B762" s="344" t="s">
        <v>987</v>
      </c>
      <c r="C762" s="345" t="s">
        <v>988</v>
      </c>
      <c r="D762" s="292" t="s">
        <v>984</v>
      </c>
      <c r="E762" s="347"/>
      <c r="F762" s="293" t="s">
        <v>31</v>
      </c>
      <c r="G762" s="432">
        <v>40000</v>
      </c>
      <c r="H762" s="434">
        <v>1</v>
      </c>
      <c r="I762" s="417"/>
      <c r="J762" s="260" t="s">
        <v>969</v>
      </c>
    </row>
    <row r="763" spans="1:10" ht="25" hidden="1" customHeight="1">
      <c r="A763" s="343"/>
      <c r="B763" s="344" t="s">
        <v>989</v>
      </c>
      <c r="C763" s="345" t="s">
        <v>990</v>
      </c>
      <c r="D763" s="436"/>
      <c r="E763" s="347"/>
      <c r="F763" s="293" t="s">
        <v>31</v>
      </c>
      <c r="G763" s="432">
        <v>40000</v>
      </c>
      <c r="H763" s="434">
        <v>1</v>
      </c>
      <c r="I763" s="417"/>
    </row>
    <row r="764" spans="1:10" ht="25" hidden="1" customHeight="1">
      <c r="A764" s="274"/>
      <c r="B764" s="319"/>
      <c r="C764" s="418" t="s">
        <v>991</v>
      </c>
      <c r="D764" s="321"/>
      <c r="E764" s="277"/>
      <c r="F764" s="277"/>
      <c r="G764" s="322"/>
      <c r="H764" s="280"/>
      <c r="I764" s="279"/>
    </row>
    <row r="765" spans="1:10" ht="25" hidden="1" customHeight="1">
      <c r="A765" s="289"/>
      <c r="B765" s="290" t="s">
        <v>992</v>
      </c>
      <c r="C765" s="339" t="s">
        <v>993</v>
      </c>
      <c r="D765" s="292" t="s">
        <v>63</v>
      </c>
      <c r="E765" s="293"/>
      <c r="F765" s="293" t="s">
        <v>31</v>
      </c>
      <c r="G765" s="294">
        <v>30000</v>
      </c>
      <c r="H765" s="434">
        <v>1</v>
      </c>
      <c r="I765" s="295"/>
      <c r="J765" s="260" t="s">
        <v>119</v>
      </c>
    </row>
    <row r="766" spans="1:10" ht="25" hidden="1" customHeight="1">
      <c r="A766" s="289"/>
      <c r="B766" s="290" t="s">
        <v>994</v>
      </c>
      <c r="C766" s="339" t="s">
        <v>993</v>
      </c>
      <c r="D766" s="292" t="s">
        <v>263</v>
      </c>
      <c r="E766" s="293">
        <v>0.5</v>
      </c>
      <c r="F766" s="293" t="s">
        <v>39</v>
      </c>
      <c r="G766" s="294">
        <v>70000</v>
      </c>
      <c r="H766" s="434">
        <v>1</v>
      </c>
      <c r="I766" s="295"/>
      <c r="J766" s="260" t="s">
        <v>89</v>
      </c>
    </row>
    <row r="767" spans="1:10" ht="25" hidden="1" customHeight="1">
      <c r="A767" s="289"/>
      <c r="B767" s="290" t="s">
        <v>995</v>
      </c>
      <c r="C767" s="339" t="s">
        <v>993</v>
      </c>
      <c r="D767" s="292" t="s">
        <v>40</v>
      </c>
      <c r="E767" s="293">
        <v>1</v>
      </c>
      <c r="F767" s="293" t="s">
        <v>39</v>
      </c>
      <c r="G767" s="294">
        <v>150000</v>
      </c>
      <c r="H767" s="434">
        <v>1</v>
      </c>
      <c r="I767" s="295"/>
      <c r="J767" s="260" t="s">
        <v>89</v>
      </c>
    </row>
    <row r="768" spans="1:10" ht="25" hidden="1" customHeight="1">
      <c r="A768" s="289"/>
      <c r="B768" s="290" t="s">
        <v>996</v>
      </c>
      <c r="C768" s="339" t="s">
        <v>993</v>
      </c>
      <c r="D768" s="292" t="s">
        <v>587</v>
      </c>
      <c r="E768" s="293">
        <v>1</v>
      </c>
      <c r="F768" s="293" t="s">
        <v>39</v>
      </c>
      <c r="G768" s="294">
        <v>200000</v>
      </c>
      <c r="H768" s="434">
        <v>1</v>
      </c>
      <c r="I768" s="295"/>
      <c r="J768" s="260" t="s">
        <v>89</v>
      </c>
    </row>
    <row r="769" spans="1:10" ht="25" hidden="1" customHeight="1">
      <c r="A769" s="296"/>
      <c r="B769" s="297" t="s">
        <v>997</v>
      </c>
      <c r="C769" s="340" t="s">
        <v>993</v>
      </c>
      <c r="D769" s="299" t="s">
        <v>998</v>
      </c>
      <c r="E769" s="300">
        <v>2</v>
      </c>
      <c r="F769" s="300" t="s">
        <v>39</v>
      </c>
      <c r="G769" s="301">
        <v>420000</v>
      </c>
      <c r="H769" s="434">
        <v>1</v>
      </c>
      <c r="I769" s="302"/>
      <c r="J769" s="260" t="s">
        <v>89</v>
      </c>
    </row>
    <row r="770" spans="1:10" ht="25" hidden="1" customHeight="1">
      <c r="A770" s="289"/>
      <c r="B770" s="290" t="s">
        <v>999</v>
      </c>
      <c r="C770" s="339" t="s">
        <v>1000</v>
      </c>
      <c r="D770" s="292" t="s">
        <v>263</v>
      </c>
      <c r="E770" s="293">
        <v>0.5</v>
      </c>
      <c r="F770" s="293" t="s">
        <v>39</v>
      </c>
      <c r="G770" s="294">
        <v>70000</v>
      </c>
      <c r="H770" s="434">
        <v>0.5</v>
      </c>
      <c r="I770" s="295"/>
      <c r="J770" s="260" t="s">
        <v>89</v>
      </c>
    </row>
    <row r="771" spans="1:10" ht="25" hidden="1" customHeight="1">
      <c r="A771" s="289"/>
      <c r="B771" s="290" t="s">
        <v>1001</v>
      </c>
      <c r="C771" s="339" t="s">
        <v>1000</v>
      </c>
      <c r="D771" s="292" t="s">
        <v>40</v>
      </c>
      <c r="E771" s="293">
        <v>1</v>
      </c>
      <c r="F771" s="293" t="s">
        <v>39</v>
      </c>
      <c r="G771" s="294">
        <v>150000</v>
      </c>
      <c r="H771" s="434">
        <v>0.5</v>
      </c>
      <c r="I771" s="295"/>
      <c r="J771" s="260" t="s">
        <v>89</v>
      </c>
    </row>
    <row r="772" spans="1:10" ht="25" hidden="1" customHeight="1">
      <c r="A772" s="289"/>
      <c r="B772" s="290" t="s">
        <v>1002</v>
      </c>
      <c r="C772" s="339" t="s">
        <v>1000</v>
      </c>
      <c r="D772" s="292" t="s">
        <v>587</v>
      </c>
      <c r="E772" s="293">
        <v>1</v>
      </c>
      <c r="F772" s="293" t="s">
        <v>39</v>
      </c>
      <c r="G772" s="294">
        <v>200000</v>
      </c>
      <c r="H772" s="434">
        <v>0.5</v>
      </c>
      <c r="I772" s="295"/>
      <c r="J772" s="260" t="s">
        <v>89</v>
      </c>
    </row>
    <row r="773" spans="1:10" ht="25" hidden="1" customHeight="1">
      <c r="A773" s="289"/>
      <c r="B773" s="290" t="s">
        <v>1003</v>
      </c>
      <c r="C773" s="339" t="s">
        <v>1000</v>
      </c>
      <c r="D773" s="292" t="s">
        <v>998</v>
      </c>
      <c r="E773" s="300">
        <v>2</v>
      </c>
      <c r="F773" s="293" t="s">
        <v>39</v>
      </c>
      <c r="G773" s="294">
        <v>420000</v>
      </c>
      <c r="H773" s="434">
        <v>0.5</v>
      </c>
      <c r="I773" s="295"/>
      <c r="J773" s="260" t="s">
        <v>89</v>
      </c>
    </row>
    <row r="774" spans="1:10" ht="25" hidden="1" customHeight="1">
      <c r="A774" s="274"/>
      <c r="B774" s="319"/>
      <c r="C774" s="418" t="s">
        <v>1004</v>
      </c>
      <c r="D774" s="321"/>
      <c r="E774" s="277"/>
      <c r="F774" s="277"/>
      <c r="G774" s="322"/>
      <c r="H774" s="280"/>
      <c r="I774" s="279"/>
    </row>
    <row r="775" spans="1:10" ht="25" hidden="1" customHeight="1">
      <c r="A775" s="289"/>
      <c r="B775" s="290" t="s">
        <v>1005</v>
      </c>
      <c r="C775" s="339" t="s">
        <v>1006</v>
      </c>
      <c r="D775" s="292" t="s">
        <v>63</v>
      </c>
      <c r="E775" s="293"/>
      <c r="F775" s="293" t="s">
        <v>31</v>
      </c>
      <c r="G775" s="432">
        <v>30000</v>
      </c>
      <c r="H775" s="434">
        <v>1</v>
      </c>
      <c r="I775" s="417"/>
      <c r="J775" s="260" t="s">
        <v>119</v>
      </c>
    </row>
    <row r="776" spans="1:10" ht="25" hidden="1" customHeight="1">
      <c r="A776" s="289"/>
      <c r="B776" s="290" t="s">
        <v>1007</v>
      </c>
      <c r="C776" s="339" t="s">
        <v>1006</v>
      </c>
      <c r="D776" s="292" t="s">
        <v>263</v>
      </c>
      <c r="E776" s="293">
        <v>0.5</v>
      </c>
      <c r="F776" s="293" t="s">
        <v>39</v>
      </c>
      <c r="G776" s="294">
        <v>70000</v>
      </c>
      <c r="H776" s="434">
        <v>1</v>
      </c>
      <c r="I776" s="295"/>
      <c r="J776" s="260" t="s">
        <v>89</v>
      </c>
    </row>
    <row r="777" spans="1:10" ht="25" hidden="1" customHeight="1">
      <c r="A777" s="289"/>
      <c r="B777" s="290" t="s">
        <v>1008</v>
      </c>
      <c r="C777" s="339" t="s">
        <v>1006</v>
      </c>
      <c r="D777" s="292" t="s">
        <v>40</v>
      </c>
      <c r="E777" s="293">
        <v>1</v>
      </c>
      <c r="F777" s="293" t="s">
        <v>39</v>
      </c>
      <c r="G777" s="294">
        <v>150000</v>
      </c>
      <c r="H777" s="434">
        <v>1</v>
      </c>
      <c r="I777" s="295"/>
      <c r="J777" s="260" t="s">
        <v>89</v>
      </c>
    </row>
    <row r="778" spans="1:10" ht="25" hidden="1" customHeight="1">
      <c r="A778" s="289"/>
      <c r="B778" s="290" t="s">
        <v>1009</v>
      </c>
      <c r="C778" s="339" t="s">
        <v>1006</v>
      </c>
      <c r="D778" s="292" t="s">
        <v>587</v>
      </c>
      <c r="E778" s="293">
        <v>1</v>
      </c>
      <c r="F778" s="293" t="s">
        <v>39</v>
      </c>
      <c r="G778" s="294">
        <v>200000</v>
      </c>
      <c r="H778" s="434">
        <v>1</v>
      </c>
      <c r="I778" s="295"/>
      <c r="J778" s="260" t="s">
        <v>89</v>
      </c>
    </row>
    <row r="779" spans="1:10" ht="25" hidden="1" customHeight="1">
      <c r="A779" s="296"/>
      <c r="B779" s="297" t="s">
        <v>1010</v>
      </c>
      <c r="C779" s="340" t="s">
        <v>1006</v>
      </c>
      <c r="D779" s="299" t="s">
        <v>998</v>
      </c>
      <c r="E779" s="300">
        <v>2</v>
      </c>
      <c r="F779" s="300" t="s">
        <v>39</v>
      </c>
      <c r="G779" s="301">
        <v>420000</v>
      </c>
      <c r="H779" s="434">
        <v>1</v>
      </c>
      <c r="I779" s="302"/>
      <c r="J779" s="260" t="s">
        <v>89</v>
      </c>
    </row>
    <row r="780" spans="1:10" ht="25" hidden="1" customHeight="1">
      <c r="A780" s="358"/>
      <c r="B780" s="359" t="s">
        <v>1011</v>
      </c>
      <c r="C780" s="405" t="s">
        <v>1012</v>
      </c>
      <c r="D780" s="360" t="s">
        <v>263</v>
      </c>
      <c r="E780" s="406">
        <v>0.5</v>
      </c>
      <c r="F780" s="406" t="s">
        <v>39</v>
      </c>
      <c r="G780" s="430">
        <v>70000</v>
      </c>
      <c r="H780" s="408">
        <v>0.5</v>
      </c>
      <c r="I780" s="361"/>
      <c r="J780" s="260" t="s">
        <v>89</v>
      </c>
    </row>
    <row r="781" spans="1:10" ht="25" hidden="1" customHeight="1">
      <c r="A781" s="289"/>
      <c r="B781" s="290" t="s">
        <v>1013</v>
      </c>
      <c r="C781" s="339" t="s">
        <v>1012</v>
      </c>
      <c r="D781" s="292" t="s">
        <v>40</v>
      </c>
      <c r="E781" s="293">
        <v>1</v>
      </c>
      <c r="F781" s="293" t="s">
        <v>39</v>
      </c>
      <c r="G781" s="294">
        <v>150000</v>
      </c>
      <c r="H781" s="408">
        <v>0.5</v>
      </c>
      <c r="I781" s="295"/>
      <c r="J781" s="260" t="s">
        <v>89</v>
      </c>
    </row>
    <row r="782" spans="1:10" ht="25" hidden="1" customHeight="1">
      <c r="A782" s="289"/>
      <c r="B782" s="290" t="s">
        <v>1014</v>
      </c>
      <c r="C782" s="339" t="s">
        <v>1012</v>
      </c>
      <c r="D782" s="292" t="s">
        <v>587</v>
      </c>
      <c r="E782" s="293">
        <v>1</v>
      </c>
      <c r="F782" s="293" t="s">
        <v>39</v>
      </c>
      <c r="G782" s="294">
        <v>200000</v>
      </c>
      <c r="H782" s="408">
        <v>0.5</v>
      </c>
      <c r="I782" s="295"/>
      <c r="J782" s="260" t="s">
        <v>89</v>
      </c>
    </row>
    <row r="783" spans="1:10" ht="25" hidden="1" customHeight="1">
      <c r="A783" s="289"/>
      <c r="B783" s="290" t="s">
        <v>1015</v>
      </c>
      <c r="C783" s="339" t="s">
        <v>1012</v>
      </c>
      <c r="D783" s="292" t="s">
        <v>998</v>
      </c>
      <c r="E783" s="293">
        <v>2</v>
      </c>
      <c r="F783" s="293" t="s">
        <v>39</v>
      </c>
      <c r="G783" s="294">
        <v>420000</v>
      </c>
      <c r="H783" s="408">
        <v>0.5</v>
      </c>
      <c r="I783" s="295"/>
      <c r="J783" s="260" t="s">
        <v>89</v>
      </c>
    </row>
    <row r="784" spans="1:10" ht="25" hidden="1" customHeight="1">
      <c r="A784" s="289"/>
      <c r="B784" s="290" t="s">
        <v>1016</v>
      </c>
      <c r="C784" s="339" t="s">
        <v>1017</v>
      </c>
      <c r="D784" s="292" t="s">
        <v>263</v>
      </c>
      <c r="E784" s="293">
        <v>0.5</v>
      </c>
      <c r="F784" s="293" t="s">
        <v>39</v>
      </c>
      <c r="G784" s="294">
        <v>15000</v>
      </c>
      <c r="H784" s="434">
        <v>1</v>
      </c>
      <c r="I784" s="295"/>
      <c r="J784" s="260" t="s">
        <v>89</v>
      </c>
    </row>
    <row r="785" spans="1:10" ht="25" hidden="1" customHeight="1">
      <c r="A785" s="274"/>
      <c r="B785" s="274"/>
      <c r="C785" s="418" t="s">
        <v>1018</v>
      </c>
      <c r="D785" s="321"/>
      <c r="E785" s="277"/>
      <c r="F785" s="277"/>
      <c r="G785" s="322"/>
      <c r="H785" s="280"/>
      <c r="I785" s="279"/>
    </row>
    <row r="786" spans="1:10" ht="25" hidden="1" customHeight="1">
      <c r="A786" s="289"/>
      <c r="B786" s="290" t="s">
        <v>1019</v>
      </c>
      <c r="C786" s="339" t="s">
        <v>1020</v>
      </c>
      <c r="D786" s="292" t="s">
        <v>63</v>
      </c>
      <c r="E786" s="293"/>
      <c r="F786" s="293" t="s">
        <v>31</v>
      </c>
      <c r="G786" s="437">
        <v>30000</v>
      </c>
      <c r="H786" s="434">
        <v>1</v>
      </c>
      <c r="I786" s="295"/>
      <c r="J786" s="260" t="s">
        <v>89</v>
      </c>
    </row>
    <row r="787" spans="1:10" ht="25" hidden="1" customHeight="1">
      <c r="A787" s="289"/>
      <c r="B787" s="290" t="s">
        <v>1021</v>
      </c>
      <c r="C787" s="339" t="s">
        <v>1020</v>
      </c>
      <c r="D787" s="292" t="s">
        <v>1022</v>
      </c>
      <c r="E787" s="293"/>
      <c r="F787" s="293" t="s">
        <v>31</v>
      </c>
      <c r="G787" s="437">
        <v>40000</v>
      </c>
      <c r="H787" s="434">
        <v>1</v>
      </c>
      <c r="I787" s="295"/>
    </row>
    <row r="788" spans="1:10" ht="25" hidden="1" customHeight="1">
      <c r="A788" s="289"/>
      <c r="B788" s="290" t="s">
        <v>1023</v>
      </c>
      <c r="C788" s="339" t="s">
        <v>1020</v>
      </c>
      <c r="D788" s="292" t="s">
        <v>263</v>
      </c>
      <c r="E788" s="293">
        <v>0.5</v>
      </c>
      <c r="F788" s="293" t="s">
        <v>39</v>
      </c>
      <c r="G788" s="294">
        <v>70000</v>
      </c>
      <c r="H788" s="434">
        <v>1</v>
      </c>
      <c r="I788" s="295"/>
      <c r="J788" s="260" t="s">
        <v>89</v>
      </c>
    </row>
    <row r="789" spans="1:10" ht="25" hidden="1" customHeight="1">
      <c r="A789" s="289"/>
      <c r="B789" s="290" t="s">
        <v>1024</v>
      </c>
      <c r="C789" s="339" t="s">
        <v>1020</v>
      </c>
      <c r="D789" s="292" t="s">
        <v>40</v>
      </c>
      <c r="E789" s="293">
        <v>1</v>
      </c>
      <c r="F789" s="293" t="s">
        <v>39</v>
      </c>
      <c r="G789" s="294">
        <v>150000</v>
      </c>
      <c r="H789" s="434">
        <v>1</v>
      </c>
      <c r="I789" s="295"/>
      <c r="J789" s="260" t="s">
        <v>89</v>
      </c>
    </row>
    <row r="790" spans="1:10" ht="25" hidden="1" customHeight="1">
      <c r="A790" s="352"/>
      <c r="B790" s="290" t="s">
        <v>1025</v>
      </c>
      <c r="C790" s="339" t="s">
        <v>1020</v>
      </c>
      <c r="D790" s="292" t="s">
        <v>587</v>
      </c>
      <c r="E790" s="293">
        <v>1</v>
      </c>
      <c r="F790" s="293" t="s">
        <v>39</v>
      </c>
      <c r="G790" s="294">
        <v>200000</v>
      </c>
      <c r="H790" s="434">
        <v>1</v>
      </c>
      <c r="I790" s="356"/>
      <c r="J790" s="260" t="s">
        <v>89</v>
      </c>
    </row>
    <row r="791" spans="1:10" ht="25" hidden="1" customHeight="1">
      <c r="A791" s="352"/>
      <c r="B791" s="290" t="s">
        <v>1026</v>
      </c>
      <c r="C791" s="339" t="s">
        <v>1020</v>
      </c>
      <c r="D791" s="292" t="s">
        <v>998</v>
      </c>
      <c r="E791" s="300">
        <v>2</v>
      </c>
      <c r="F791" s="300" t="s">
        <v>39</v>
      </c>
      <c r="G791" s="301">
        <v>420000</v>
      </c>
      <c r="H791" s="434">
        <v>1</v>
      </c>
      <c r="I791" s="356"/>
      <c r="J791" s="260" t="s">
        <v>89</v>
      </c>
    </row>
    <row r="792" spans="1:10" ht="25" hidden="1" customHeight="1">
      <c r="A792" s="289"/>
      <c r="B792" s="290" t="s">
        <v>1027</v>
      </c>
      <c r="C792" s="339" t="s">
        <v>1028</v>
      </c>
      <c r="D792" s="292" t="s">
        <v>63</v>
      </c>
      <c r="E792" s="293"/>
      <c r="F792" s="293" t="s">
        <v>31</v>
      </c>
      <c r="G792" s="437">
        <v>30000</v>
      </c>
      <c r="H792" s="434">
        <v>0.5</v>
      </c>
      <c r="I792" s="295"/>
      <c r="J792" s="260" t="s">
        <v>89</v>
      </c>
    </row>
    <row r="793" spans="1:10" ht="25" hidden="1" customHeight="1">
      <c r="A793" s="289"/>
      <c r="B793" s="290" t="s">
        <v>1029</v>
      </c>
      <c r="C793" s="339" t="s">
        <v>1028</v>
      </c>
      <c r="D793" s="292" t="s">
        <v>263</v>
      </c>
      <c r="E793" s="293">
        <v>0.5</v>
      </c>
      <c r="F793" s="293" t="s">
        <v>39</v>
      </c>
      <c r="G793" s="294">
        <v>70000</v>
      </c>
      <c r="H793" s="434">
        <v>0.5</v>
      </c>
      <c r="I793" s="295"/>
      <c r="J793" s="260" t="s">
        <v>89</v>
      </c>
    </row>
    <row r="794" spans="1:10" ht="25" hidden="1" customHeight="1">
      <c r="A794" s="289"/>
      <c r="B794" s="290" t="s">
        <v>1030</v>
      </c>
      <c r="C794" s="339" t="s">
        <v>1028</v>
      </c>
      <c r="D794" s="292" t="s">
        <v>40</v>
      </c>
      <c r="E794" s="293">
        <v>1</v>
      </c>
      <c r="F794" s="293" t="s">
        <v>39</v>
      </c>
      <c r="G794" s="294">
        <v>150000</v>
      </c>
      <c r="H794" s="434">
        <v>0.5</v>
      </c>
      <c r="I794" s="295"/>
      <c r="J794" s="260" t="s">
        <v>89</v>
      </c>
    </row>
    <row r="795" spans="1:10" ht="25" hidden="1" customHeight="1">
      <c r="A795" s="352"/>
      <c r="B795" s="290" t="s">
        <v>1031</v>
      </c>
      <c r="C795" s="339" t="s">
        <v>1028</v>
      </c>
      <c r="D795" s="292" t="s">
        <v>587</v>
      </c>
      <c r="E795" s="293">
        <v>1</v>
      </c>
      <c r="F795" s="293" t="s">
        <v>39</v>
      </c>
      <c r="G795" s="294">
        <v>200000</v>
      </c>
      <c r="H795" s="434">
        <v>0.5</v>
      </c>
      <c r="I795" s="356"/>
      <c r="J795" s="260" t="s">
        <v>89</v>
      </c>
    </row>
    <row r="796" spans="1:10" ht="25" hidden="1" customHeight="1">
      <c r="A796" s="352"/>
      <c r="B796" s="290" t="s">
        <v>1032</v>
      </c>
      <c r="C796" s="339" t="s">
        <v>1028</v>
      </c>
      <c r="D796" s="292" t="s">
        <v>998</v>
      </c>
      <c r="E796" s="300">
        <v>2</v>
      </c>
      <c r="F796" s="300" t="s">
        <v>39</v>
      </c>
      <c r="G796" s="301">
        <v>420000</v>
      </c>
      <c r="H796" s="434">
        <v>0.5</v>
      </c>
      <c r="I796" s="356"/>
      <c r="J796" s="260" t="s">
        <v>89</v>
      </c>
    </row>
    <row r="797" spans="1:10" ht="25" hidden="1" customHeight="1">
      <c r="A797" s="274"/>
      <c r="B797" s="319"/>
      <c r="C797" s="418" t="s">
        <v>1033</v>
      </c>
      <c r="D797" s="321"/>
      <c r="E797" s="277"/>
      <c r="F797" s="277"/>
      <c r="G797" s="322"/>
      <c r="H797" s="280"/>
      <c r="I797" s="279"/>
    </row>
    <row r="798" spans="1:10" ht="25" hidden="1" customHeight="1">
      <c r="A798" s="289"/>
      <c r="B798" s="290" t="s">
        <v>1034</v>
      </c>
      <c r="C798" s="339" t="s">
        <v>1033</v>
      </c>
      <c r="D798" s="292" t="s">
        <v>478</v>
      </c>
      <c r="E798" s="293">
        <v>1</v>
      </c>
      <c r="F798" s="293" t="s">
        <v>39</v>
      </c>
      <c r="G798" s="294">
        <v>80000</v>
      </c>
      <c r="H798" s="434">
        <v>1</v>
      </c>
      <c r="I798" s="295"/>
      <c r="J798" s="260" t="s">
        <v>89</v>
      </c>
    </row>
    <row r="799" spans="1:10" ht="25" hidden="1" customHeight="1">
      <c r="A799" s="289"/>
      <c r="B799" s="290" t="s">
        <v>1035</v>
      </c>
      <c r="C799" s="339" t="s">
        <v>1033</v>
      </c>
      <c r="D799" s="292" t="s">
        <v>40</v>
      </c>
      <c r="E799" s="293">
        <v>1</v>
      </c>
      <c r="F799" s="293" t="s">
        <v>39</v>
      </c>
      <c r="G799" s="294">
        <v>100000</v>
      </c>
      <c r="H799" s="434">
        <v>1</v>
      </c>
      <c r="I799" s="295"/>
      <c r="J799" s="260" t="s">
        <v>89</v>
      </c>
    </row>
    <row r="800" spans="1:10" ht="25" hidden="1" customHeight="1">
      <c r="A800" s="352"/>
      <c r="B800" s="290" t="s">
        <v>1036</v>
      </c>
      <c r="C800" s="339" t="s">
        <v>1033</v>
      </c>
      <c r="D800" s="292" t="s">
        <v>587</v>
      </c>
      <c r="E800" s="293">
        <v>1.5</v>
      </c>
      <c r="F800" s="293" t="s">
        <v>39</v>
      </c>
      <c r="G800" s="294">
        <v>160000</v>
      </c>
      <c r="H800" s="434">
        <v>1</v>
      </c>
      <c r="I800" s="356"/>
      <c r="J800" s="260" t="s">
        <v>89</v>
      </c>
    </row>
    <row r="801" spans="1:10" ht="25" hidden="1" customHeight="1">
      <c r="A801" s="352"/>
      <c r="B801" s="290" t="s">
        <v>1037</v>
      </c>
      <c r="C801" s="339" t="s">
        <v>1033</v>
      </c>
      <c r="D801" s="292" t="s">
        <v>589</v>
      </c>
      <c r="E801" s="293">
        <v>2</v>
      </c>
      <c r="F801" s="293" t="s">
        <v>39</v>
      </c>
      <c r="G801" s="294">
        <v>280000</v>
      </c>
      <c r="H801" s="434">
        <v>1</v>
      </c>
      <c r="I801" s="356"/>
      <c r="J801" s="260" t="s">
        <v>89</v>
      </c>
    </row>
    <row r="802" spans="1:10" ht="25" hidden="1" customHeight="1">
      <c r="A802" s="352"/>
      <c r="B802" s="290" t="s">
        <v>1038</v>
      </c>
      <c r="C802" s="339" t="s">
        <v>1033</v>
      </c>
      <c r="D802" s="292" t="s">
        <v>429</v>
      </c>
      <c r="E802" s="293">
        <v>2.5</v>
      </c>
      <c r="F802" s="293" t="s">
        <v>39</v>
      </c>
      <c r="G802" s="294">
        <v>400000</v>
      </c>
      <c r="H802" s="434">
        <v>1</v>
      </c>
      <c r="I802" s="356"/>
      <c r="J802" s="260" t="s">
        <v>89</v>
      </c>
    </row>
    <row r="803" spans="1:10" ht="25" hidden="1" customHeight="1">
      <c r="A803" s="352"/>
      <c r="B803" s="290" t="s">
        <v>1039</v>
      </c>
      <c r="C803" s="339" t="s">
        <v>1033</v>
      </c>
      <c r="D803" s="292" t="s">
        <v>94</v>
      </c>
      <c r="E803" s="293">
        <v>3</v>
      </c>
      <c r="F803" s="293" t="s">
        <v>39</v>
      </c>
      <c r="G803" s="294">
        <v>520000</v>
      </c>
      <c r="H803" s="434">
        <v>1</v>
      </c>
      <c r="I803" s="356"/>
      <c r="J803" s="260" t="s">
        <v>89</v>
      </c>
    </row>
    <row r="804" spans="1:10" ht="25" hidden="1" customHeight="1">
      <c r="A804" s="289"/>
      <c r="B804" s="290" t="s">
        <v>1040</v>
      </c>
      <c r="C804" s="339" t="s">
        <v>1041</v>
      </c>
      <c r="D804" s="292" t="s">
        <v>478</v>
      </c>
      <c r="E804" s="293">
        <v>1</v>
      </c>
      <c r="F804" s="293" t="s">
        <v>39</v>
      </c>
      <c r="G804" s="294">
        <v>80000</v>
      </c>
      <c r="H804" s="434">
        <v>0.5</v>
      </c>
      <c r="I804" s="295"/>
      <c r="J804" s="260" t="s">
        <v>89</v>
      </c>
    </row>
    <row r="805" spans="1:10" ht="25" hidden="1" customHeight="1">
      <c r="A805" s="289"/>
      <c r="B805" s="290" t="s">
        <v>1042</v>
      </c>
      <c r="C805" s="339" t="s">
        <v>1041</v>
      </c>
      <c r="D805" s="292" t="s">
        <v>40</v>
      </c>
      <c r="E805" s="293">
        <v>1</v>
      </c>
      <c r="F805" s="293" t="s">
        <v>39</v>
      </c>
      <c r="G805" s="294">
        <v>100000</v>
      </c>
      <c r="H805" s="434">
        <v>0.5</v>
      </c>
      <c r="I805" s="295"/>
      <c r="J805" s="260" t="s">
        <v>89</v>
      </c>
    </row>
    <row r="806" spans="1:10" ht="25" hidden="1" customHeight="1">
      <c r="A806" s="352"/>
      <c r="B806" s="290" t="s">
        <v>1043</v>
      </c>
      <c r="C806" s="339" t="s">
        <v>1041</v>
      </c>
      <c r="D806" s="292" t="s">
        <v>587</v>
      </c>
      <c r="E806" s="293">
        <v>1.5</v>
      </c>
      <c r="F806" s="293" t="s">
        <v>39</v>
      </c>
      <c r="G806" s="294">
        <v>160000</v>
      </c>
      <c r="H806" s="434">
        <v>0.5</v>
      </c>
      <c r="I806" s="356"/>
      <c r="J806" s="260" t="s">
        <v>89</v>
      </c>
    </row>
    <row r="807" spans="1:10" ht="25" hidden="1" customHeight="1">
      <c r="A807" s="352"/>
      <c r="B807" s="290" t="s">
        <v>1044</v>
      </c>
      <c r="C807" s="339" t="s">
        <v>1041</v>
      </c>
      <c r="D807" s="292" t="s">
        <v>589</v>
      </c>
      <c r="E807" s="293">
        <v>2</v>
      </c>
      <c r="F807" s="293" t="s">
        <v>39</v>
      </c>
      <c r="G807" s="294">
        <v>280000</v>
      </c>
      <c r="H807" s="434">
        <v>0.5</v>
      </c>
      <c r="I807" s="356"/>
      <c r="J807" s="260" t="s">
        <v>89</v>
      </c>
    </row>
    <row r="808" spans="1:10" ht="25" hidden="1" customHeight="1">
      <c r="A808" s="352"/>
      <c r="B808" s="290" t="s">
        <v>1045</v>
      </c>
      <c r="C808" s="339" t="s">
        <v>1041</v>
      </c>
      <c r="D808" s="292" t="s">
        <v>429</v>
      </c>
      <c r="E808" s="293">
        <v>2.5</v>
      </c>
      <c r="F808" s="293" t="s">
        <v>39</v>
      </c>
      <c r="G808" s="294">
        <v>400000</v>
      </c>
      <c r="H808" s="434">
        <v>0.5</v>
      </c>
      <c r="I808" s="356"/>
      <c r="J808" s="260" t="s">
        <v>89</v>
      </c>
    </row>
    <row r="809" spans="1:10" ht="25" hidden="1" customHeight="1">
      <c r="A809" s="352"/>
      <c r="B809" s="290" t="s">
        <v>1046</v>
      </c>
      <c r="C809" s="339" t="s">
        <v>1041</v>
      </c>
      <c r="D809" s="292" t="s">
        <v>94</v>
      </c>
      <c r="E809" s="293">
        <v>3</v>
      </c>
      <c r="F809" s="293" t="s">
        <v>39</v>
      </c>
      <c r="G809" s="294">
        <v>520000</v>
      </c>
      <c r="H809" s="434">
        <v>0.5</v>
      </c>
      <c r="I809" s="356"/>
      <c r="J809" s="260" t="s">
        <v>89</v>
      </c>
    </row>
    <row r="810" spans="1:10" ht="25" hidden="1" customHeight="1">
      <c r="A810" s="274"/>
      <c r="B810" s="319"/>
      <c r="C810" s="418" t="s">
        <v>1047</v>
      </c>
      <c r="D810" s="321"/>
      <c r="E810" s="277"/>
      <c r="F810" s="277"/>
      <c r="G810" s="322"/>
      <c r="H810" s="280"/>
      <c r="I810" s="279"/>
    </row>
    <row r="811" spans="1:10" ht="25" hidden="1" customHeight="1">
      <c r="A811" s="289"/>
      <c r="B811" s="290" t="s">
        <v>1048</v>
      </c>
      <c r="C811" s="339" t="s">
        <v>1047</v>
      </c>
      <c r="D811" s="292" t="s">
        <v>478</v>
      </c>
      <c r="E811" s="293">
        <v>1</v>
      </c>
      <c r="F811" s="293" t="s">
        <v>39</v>
      </c>
      <c r="G811" s="294">
        <v>80000</v>
      </c>
      <c r="H811" s="434">
        <v>1</v>
      </c>
      <c r="I811" s="295"/>
      <c r="J811" s="260" t="s">
        <v>89</v>
      </c>
    </row>
    <row r="812" spans="1:10" ht="25" hidden="1" customHeight="1">
      <c r="A812" s="289"/>
      <c r="B812" s="290" t="s">
        <v>1049</v>
      </c>
      <c r="C812" s="339" t="s">
        <v>1047</v>
      </c>
      <c r="D812" s="292" t="s">
        <v>40</v>
      </c>
      <c r="E812" s="293">
        <v>1</v>
      </c>
      <c r="F812" s="293" t="s">
        <v>39</v>
      </c>
      <c r="G812" s="294">
        <v>100000</v>
      </c>
      <c r="H812" s="434">
        <v>1</v>
      </c>
      <c r="I812" s="295"/>
      <c r="J812" s="260" t="s">
        <v>89</v>
      </c>
    </row>
    <row r="813" spans="1:10" ht="25" hidden="1" customHeight="1">
      <c r="A813" s="352"/>
      <c r="B813" s="290" t="s">
        <v>1050</v>
      </c>
      <c r="C813" s="339" t="s">
        <v>1047</v>
      </c>
      <c r="D813" s="292" t="s">
        <v>587</v>
      </c>
      <c r="E813" s="293">
        <v>1.5</v>
      </c>
      <c r="F813" s="293" t="s">
        <v>39</v>
      </c>
      <c r="G813" s="294">
        <v>160000</v>
      </c>
      <c r="H813" s="434">
        <v>1</v>
      </c>
      <c r="I813" s="356"/>
      <c r="J813" s="260" t="s">
        <v>89</v>
      </c>
    </row>
    <row r="814" spans="1:10" ht="25" hidden="1" customHeight="1">
      <c r="A814" s="352"/>
      <c r="B814" s="290" t="s">
        <v>1051</v>
      </c>
      <c r="C814" s="339" t="s">
        <v>1047</v>
      </c>
      <c r="D814" s="292" t="s">
        <v>589</v>
      </c>
      <c r="E814" s="293">
        <v>2</v>
      </c>
      <c r="F814" s="293" t="s">
        <v>39</v>
      </c>
      <c r="G814" s="294">
        <v>280000</v>
      </c>
      <c r="H814" s="434">
        <v>1</v>
      </c>
      <c r="I814" s="356"/>
      <c r="J814" s="260" t="s">
        <v>89</v>
      </c>
    </row>
    <row r="815" spans="1:10" ht="25" hidden="1" customHeight="1">
      <c r="A815" s="352"/>
      <c r="B815" s="290" t="s">
        <v>1052</v>
      </c>
      <c r="C815" s="339" t="s">
        <v>1047</v>
      </c>
      <c r="D815" s="292" t="s">
        <v>429</v>
      </c>
      <c r="E815" s="293">
        <v>2.5</v>
      </c>
      <c r="F815" s="293" t="s">
        <v>39</v>
      </c>
      <c r="G815" s="294">
        <v>400000</v>
      </c>
      <c r="H815" s="434">
        <v>1</v>
      </c>
      <c r="I815" s="356"/>
      <c r="J815" s="260" t="s">
        <v>89</v>
      </c>
    </row>
    <row r="816" spans="1:10" ht="25" hidden="1" customHeight="1">
      <c r="A816" s="352"/>
      <c r="B816" s="290" t="s">
        <v>1053</v>
      </c>
      <c r="C816" s="339" t="s">
        <v>1047</v>
      </c>
      <c r="D816" s="292" t="s">
        <v>94</v>
      </c>
      <c r="E816" s="293">
        <v>3</v>
      </c>
      <c r="F816" s="293" t="s">
        <v>39</v>
      </c>
      <c r="G816" s="294">
        <v>520000</v>
      </c>
      <c r="H816" s="434">
        <v>1</v>
      </c>
      <c r="I816" s="356"/>
      <c r="J816" s="260" t="s">
        <v>89</v>
      </c>
    </row>
    <row r="817" spans="1:10" ht="25" hidden="1" customHeight="1">
      <c r="A817" s="289"/>
      <c r="B817" s="290" t="s">
        <v>1054</v>
      </c>
      <c r="C817" s="339" t="s">
        <v>1055</v>
      </c>
      <c r="D817" s="292" t="s">
        <v>478</v>
      </c>
      <c r="E817" s="293">
        <v>1</v>
      </c>
      <c r="F817" s="293" t="s">
        <v>39</v>
      </c>
      <c r="G817" s="294">
        <v>80000</v>
      </c>
      <c r="H817" s="434">
        <v>0.5</v>
      </c>
      <c r="I817" s="295"/>
      <c r="J817" s="260" t="s">
        <v>89</v>
      </c>
    </row>
    <row r="818" spans="1:10" ht="25" hidden="1" customHeight="1">
      <c r="A818" s="289"/>
      <c r="B818" s="290" t="s">
        <v>1056</v>
      </c>
      <c r="C818" s="339" t="s">
        <v>1055</v>
      </c>
      <c r="D818" s="292" t="s">
        <v>40</v>
      </c>
      <c r="E818" s="293">
        <v>1</v>
      </c>
      <c r="F818" s="293" t="s">
        <v>39</v>
      </c>
      <c r="G818" s="294">
        <v>100000</v>
      </c>
      <c r="H818" s="434">
        <v>0.5</v>
      </c>
      <c r="I818" s="295"/>
      <c r="J818" s="260" t="s">
        <v>89</v>
      </c>
    </row>
    <row r="819" spans="1:10" ht="25" hidden="1" customHeight="1">
      <c r="A819" s="352"/>
      <c r="B819" s="290" t="s">
        <v>1057</v>
      </c>
      <c r="C819" s="339" t="s">
        <v>1055</v>
      </c>
      <c r="D819" s="292" t="s">
        <v>587</v>
      </c>
      <c r="E819" s="293">
        <v>1.5</v>
      </c>
      <c r="F819" s="293" t="s">
        <v>39</v>
      </c>
      <c r="G819" s="294">
        <v>160000</v>
      </c>
      <c r="H819" s="434">
        <v>0.5</v>
      </c>
      <c r="I819" s="356"/>
      <c r="J819" s="260" t="s">
        <v>89</v>
      </c>
    </row>
    <row r="820" spans="1:10" ht="25" hidden="1" customHeight="1">
      <c r="A820" s="352"/>
      <c r="B820" s="290" t="s">
        <v>1058</v>
      </c>
      <c r="C820" s="339" t="s">
        <v>1055</v>
      </c>
      <c r="D820" s="292" t="s">
        <v>589</v>
      </c>
      <c r="E820" s="293">
        <v>2</v>
      </c>
      <c r="F820" s="293" t="s">
        <v>39</v>
      </c>
      <c r="G820" s="294">
        <v>280000</v>
      </c>
      <c r="H820" s="434">
        <v>0.5</v>
      </c>
      <c r="I820" s="356"/>
      <c r="J820" s="260" t="s">
        <v>89</v>
      </c>
    </row>
    <row r="821" spans="1:10" ht="25" hidden="1" customHeight="1">
      <c r="A821" s="352"/>
      <c r="B821" s="290" t="s">
        <v>1059</v>
      </c>
      <c r="C821" s="339" t="s">
        <v>1055</v>
      </c>
      <c r="D821" s="292" t="s">
        <v>429</v>
      </c>
      <c r="E821" s="293">
        <v>2.5</v>
      </c>
      <c r="F821" s="293" t="s">
        <v>39</v>
      </c>
      <c r="G821" s="294">
        <v>400000</v>
      </c>
      <c r="H821" s="434">
        <v>0.5</v>
      </c>
      <c r="I821" s="356"/>
      <c r="J821" s="260" t="s">
        <v>89</v>
      </c>
    </row>
    <row r="822" spans="1:10" ht="25" hidden="1" customHeight="1">
      <c r="A822" s="352"/>
      <c r="B822" s="290" t="s">
        <v>1060</v>
      </c>
      <c r="C822" s="339" t="s">
        <v>1055</v>
      </c>
      <c r="D822" s="292" t="s">
        <v>94</v>
      </c>
      <c r="E822" s="293">
        <v>3</v>
      </c>
      <c r="F822" s="293" t="s">
        <v>39</v>
      </c>
      <c r="G822" s="294">
        <v>520000</v>
      </c>
      <c r="H822" s="434">
        <v>0.5</v>
      </c>
      <c r="I822" s="356"/>
      <c r="J822" s="260" t="s">
        <v>89</v>
      </c>
    </row>
    <row r="823" spans="1:10" ht="25" hidden="1" customHeight="1">
      <c r="A823" s="274"/>
      <c r="B823" s="319"/>
      <c r="C823" s="418" t="s">
        <v>1061</v>
      </c>
      <c r="D823" s="321"/>
      <c r="E823" s="277"/>
      <c r="F823" s="277"/>
      <c r="G823" s="322"/>
      <c r="H823" s="280"/>
      <c r="I823" s="279"/>
    </row>
    <row r="824" spans="1:10" ht="25" hidden="1" customHeight="1">
      <c r="A824" s="289"/>
      <c r="B824" s="290" t="s">
        <v>1062</v>
      </c>
      <c r="C824" s="339" t="s">
        <v>1063</v>
      </c>
      <c r="D824" s="292" t="s">
        <v>478</v>
      </c>
      <c r="E824" s="293">
        <v>1</v>
      </c>
      <c r="F824" s="293" t="s">
        <v>39</v>
      </c>
      <c r="G824" s="294">
        <v>80000</v>
      </c>
      <c r="H824" s="434">
        <v>1</v>
      </c>
      <c r="I824" s="295"/>
      <c r="J824" s="260" t="s">
        <v>89</v>
      </c>
    </row>
    <row r="825" spans="1:10" ht="25" hidden="1" customHeight="1">
      <c r="A825" s="289"/>
      <c r="B825" s="290" t="s">
        <v>1064</v>
      </c>
      <c r="C825" s="339" t="s">
        <v>1063</v>
      </c>
      <c r="D825" s="292" t="s">
        <v>40</v>
      </c>
      <c r="E825" s="293">
        <v>1</v>
      </c>
      <c r="F825" s="293" t="s">
        <v>39</v>
      </c>
      <c r="G825" s="294">
        <v>100000</v>
      </c>
      <c r="H825" s="434">
        <v>1</v>
      </c>
      <c r="I825" s="295"/>
      <c r="J825" s="260" t="s">
        <v>89</v>
      </c>
    </row>
    <row r="826" spans="1:10" ht="25" hidden="1" customHeight="1">
      <c r="A826" s="352"/>
      <c r="B826" s="290" t="s">
        <v>1065</v>
      </c>
      <c r="C826" s="339" t="s">
        <v>1063</v>
      </c>
      <c r="D826" s="292" t="s">
        <v>587</v>
      </c>
      <c r="E826" s="293">
        <v>1.5</v>
      </c>
      <c r="F826" s="293" t="s">
        <v>39</v>
      </c>
      <c r="G826" s="294">
        <v>160000</v>
      </c>
      <c r="H826" s="434">
        <v>1</v>
      </c>
      <c r="I826" s="356"/>
      <c r="J826" s="260" t="s">
        <v>89</v>
      </c>
    </row>
    <row r="827" spans="1:10" ht="25" hidden="1" customHeight="1">
      <c r="A827" s="352"/>
      <c r="B827" s="290" t="s">
        <v>1066</v>
      </c>
      <c r="C827" s="339" t="s">
        <v>1063</v>
      </c>
      <c r="D827" s="292" t="s">
        <v>589</v>
      </c>
      <c r="E827" s="293">
        <v>2</v>
      </c>
      <c r="F827" s="293" t="s">
        <v>39</v>
      </c>
      <c r="G827" s="294">
        <v>280000</v>
      </c>
      <c r="H827" s="434">
        <v>1</v>
      </c>
      <c r="I827" s="356"/>
      <c r="J827" s="260" t="s">
        <v>89</v>
      </c>
    </row>
    <row r="828" spans="1:10" ht="25" hidden="1" customHeight="1">
      <c r="A828" s="352"/>
      <c r="B828" s="290" t="s">
        <v>1067</v>
      </c>
      <c r="C828" s="339" t="s">
        <v>1063</v>
      </c>
      <c r="D828" s="292" t="s">
        <v>429</v>
      </c>
      <c r="E828" s="293">
        <v>2.5</v>
      </c>
      <c r="F828" s="293" t="s">
        <v>39</v>
      </c>
      <c r="G828" s="294">
        <v>400000</v>
      </c>
      <c r="H828" s="434">
        <v>1</v>
      </c>
      <c r="I828" s="356"/>
      <c r="J828" s="260" t="s">
        <v>89</v>
      </c>
    </row>
    <row r="829" spans="1:10" ht="25" hidden="1" customHeight="1">
      <c r="A829" s="352"/>
      <c r="B829" s="290" t="s">
        <v>1068</v>
      </c>
      <c r="C829" s="339" t="s">
        <v>1063</v>
      </c>
      <c r="D829" s="292" t="s">
        <v>94</v>
      </c>
      <c r="E829" s="293">
        <v>3</v>
      </c>
      <c r="F829" s="293" t="s">
        <v>39</v>
      </c>
      <c r="G829" s="294">
        <v>520000</v>
      </c>
      <c r="H829" s="434">
        <v>1</v>
      </c>
      <c r="I829" s="356"/>
      <c r="J829" s="260" t="s">
        <v>89</v>
      </c>
    </row>
    <row r="830" spans="1:10" ht="25" hidden="1" customHeight="1">
      <c r="A830" s="289"/>
      <c r="B830" s="290" t="s">
        <v>1069</v>
      </c>
      <c r="C830" s="339" t="s">
        <v>1070</v>
      </c>
      <c r="D830" s="292" t="s">
        <v>478</v>
      </c>
      <c r="E830" s="293">
        <v>1</v>
      </c>
      <c r="F830" s="293" t="s">
        <v>39</v>
      </c>
      <c r="G830" s="294">
        <v>80000</v>
      </c>
      <c r="H830" s="434">
        <v>0.5</v>
      </c>
      <c r="I830" s="295"/>
      <c r="J830" s="260" t="s">
        <v>89</v>
      </c>
    </row>
    <row r="831" spans="1:10" ht="25" hidden="1" customHeight="1">
      <c r="A831" s="289"/>
      <c r="B831" s="290" t="s">
        <v>1071</v>
      </c>
      <c r="C831" s="339" t="s">
        <v>1070</v>
      </c>
      <c r="D831" s="292" t="s">
        <v>40</v>
      </c>
      <c r="E831" s="293">
        <v>1</v>
      </c>
      <c r="F831" s="293" t="s">
        <v>39</v>
      </c>
      <c r="G831" s="294">
        <v>100000</v>
      </c>
      <c r="H831" s="434">
        <v>0.5</v>
      </c>
      <c r="I831" s="295"/>
      <c r="J831" s="260" t="s">
        <v>89</v>
      </c>
    </row>
    <row r="832" spans="1:10" ht="25" hidden="1" customHeight="1">
      <c r="A832" s="352"/>
      <c r="B832" s="290" t="s">
        <v>1072</v>
      </c>
      <c r="C832" s="339" t="s">
        <v>1070</v>
      </c>
      <c r="D832" s="292" t="s">
        <v>587</v>
      </c>
      <c r="E832" s="293">
        <v>1.5</v>
      </c>
      <c r="F832" s="293" t="s">
        <v>39</v>
      </c>
      <c r="G832" s="294">
        <v>160000</v>
      </c>
      <c r="H832" s="434">
        <v>0.5</v>
      </c>
      <c r="I832" s="356"/>
      <c r="J832" s="260" t="s">
        <v>89</v>
      </c>
    </row>
    <row r="833" spans="1:10" ht="25" hidden="1" customHeight="1">
      <c r="A833" s="352"/>
      <c r="B833" s="290" t="s">
        <v>1073</v>
      </c>
      <c r="C833" s="339" t="s">
        <v>1070</v>
      </c>
      <c r="D833" s="292" t="s">
        <v>589</v>
      </c>
      <c r="E833" s="293">
        <v>2</v>
      </c>
      <c r="F833" s="293" t="s">
        <v>39</v>
      </c>
      <c r="G833" s="294">
        <v>280000</v>
      </c>
      <c r="H833" s="434">
        <v>0.5</v>
      </c>
      <c r="I833" s="356"/>
      <c r="J833" s="260" t="s">
        <v>89</v>
      </c>
    </row>
    <row r="834" spans="1:10" ht="25" hidden="1" customHeight="1">
      <c r="A834" s="352"/>
      <c r="B834" s="290" t="s">
        <v>1074</v>
      </c>
      <c r="C834" s="339" t="s">
        <v>1070</v>
      </c>
      <c r="D834" s="292" t="s">
        <v>429</v>
      </c>
      <c r="E834" s="293">
        <v>2.5</v>
      </c>
      <c r="F834" s="293" t="s">
        <v>39</v>
      </c>
      <c r="G834" s="294">
        <v>400000</v>
      </c>
      <c r="H834" s="434">
        <v>0.5</v>
      </c>
      <c r="I834" s="356"/>
      <c r="J834" s="260" t="s">
        <v>89</v>
      </c>
    </row>
    <row r="835" spans="1:10" ht="25" hidden="1" customHeight="1">
      <c r="A835" s="352"/>
      <c r="B835" s="290" t="s">
        <v>1075</v>
      </c>
      <c r="C835" s="339" t="s">
        <v>1070</v>
      </c>
      <c r="D835" s="292" t="s">
        <v>94</v>
      </c>
      <c r="E835" s="293">
        <v>3</v>
      </c>
      <c r="F835" s="293" t="s">
        <v>39</v>
      </c>
      <c r="G835" s="294">
        <v>520000</v>
      </c>
      <c r="H835" s="434">
        <v>0.5</v>
      </c>
      <c r="I835" s="356"/>
      <c r="J835" s="260" t="s">
        <v>89</v>
      </c>
    </row>
    <row r="836" spans="1:10" ht="25" hidden="1" customHeight="1">
      <c r="A836" s="274"/>
      <c r="B836" s="319"/>
      <c r="C836" s="418" t="s">
        <v>1076</v>
      </c>
      <c r="D836" s="321"/>
      <c r="E836" s="277"/>
      <c r="F836" s="277"/>
      <c r="G836" s="322"/>
      <c r="H836" s="280"/>
      <c r="I836" s="279"/>
    </row>
    <row r="837" spans="1:10" ht="25" hidden="1" customHeight="1">
      <c r="A837" s="343"/>
      <c r="B837" s="344" t="s">
        <v>1077</v>
      </c>
      <c r="C837" s="345" t="s">
        <v>1078</v>
      </c>
      <c r="D837" s="292" t="s">
        <v>63</v>
      </c>
      <c r="E837" s="347"/>
      <c r="F837" s="293" t="s">
        <v>31</v>
      </c>
      <c r="G837" s="433">
        <v>33000</v>
      </c>
      <c r="H837" s="434">
        <v>1</v>
      </c>
      <c r="I837" s="417"/>
      <c r="J837" s="260" t="s">
        <v>89</v>
      </c>
    </row>
    <row r="838" spans="1:10" ht="25" hidden="1" customHeight="1">
      <c r="A838" s="343"/>
      <c r="B838" s="344" t="s">
        <v>1079</v>
      </c>
      <c r="C838" s="345" t="s">
        <v>1078</v>
      </c>
      <c r="D838" s="292" t="s">
        <v>478</v>
      </c>
      <c r="E838" s="293">
        <f>360/90</f>
        <v>4</v>
      </c>
      <c r="F838" s="293" t="s">
        <v>39</v>
      </c>
      <c r="G838" s="433">
        <v>33000</v>
      </c>
      <c r="H838" s="434">
        <v>1</v>
      </c>
      <c r="I838" s="417"/>
      <c r="J838" s="260" t="s">
        <v>89</v>
      </c>
    </row>
    <row r="839" spans="1:10" ht="25" hidden="1" customHeight="1">
      <c r="A839" s="343"/>
      <c r="B839" s="344" t="s">
        <v>1080</v>
      </c>
      <c r="C839" s="345" t="s">
        <v>1078</v>
      </c>
      <c r="D839" s="292" t="s">
        <v>625</v>
      </c>
      <c r="E839" s="293">
        <f>360/90</f>
        <v>4</v>
      </c>
      <c r="F839" s="293" t="s">
        <v>39</v>
      </c>
      <c r="G839" s="433">
        <v>55000</v>
      </c>
      <c r="H839" s="434">
        <v>1</v>
      </c>
      <c r="I839" s="417"/>
      <c r="J839" s="260" t="s">
        <v>89</v>
      </c>
    </row>
    <row r="840" spans="1:10" ht="25" hidden="1" customHeight="1">
      <c r="A840" s="343"/>
      <c r="B840" s="344" t="s">
        <v>1081</v>
      </c>
      <c r="C840" s="345" t="s">
        <v>1078</v>
      </c>
      <c r="D840" s="292" t="s">
        <v>499</v>
      </c>
      <c r="E840" s="293">
        <f>360/72</f>
        <v>5</v>
      </c>
      <c r="F840" s="293" t="s">
        <v>39</v>
      </c>
      <c r="G840" s="433">
        <v>80000</v>
      </c>
      <c r="H840" s="434">
        <v>1</v>
      </c>
      <c r="I840" s="417"/>
      <c r="J840" s="260" t="s">
        <v>89</v>
      </c>
    </row>
    <row r="841" spans="1:10" ht="25" hidden="1" customHeight="1">
      <c r="A841" s="343"/>
      <c r="B841" s="344" t="s">
        <v>1082</v>
      </c>
      <c r="C841" s="345" t="s">
        <v>1078</v>
      </c>
      <c r="D841" s="292" t="s">
        <v>491</v>
      </c>
      <c r="E841" s="293">
        <f>360/72</f>
        <v>5</v>
      </c>
      <c r="F841" s="293" t="s">
        <v>39</v>
      </c>
      <c r="G841" s="433">
        <v>100000</v>
      </c>
      <c r="H841" s="434">
        <v>1</v>
      </c>
      <c r="I841" s="417"/>
      <c r="J841" s="260" t="s">
        <v>89</v>
      </c>
    </row>
    <row r="842" spans="1:10" ht="25" hidden="1" customHeight="1">
      <c r="A842" s="343"/>
      <c r="B842" s="344" t="s">
        <v>1083</v>
      </c>
      <c r="C842" s="345" t="s">
        <v>1078</v>
      </c>
      <c r="D842" s="292" t="s">
        <v>1084</v>
      </c>
      <c r="E842" s="347">
        <f>360/54</f>
        <v>6.666666666666667</v>
      </c>
      <c r="F842" s="293" t="s">
        <v>39</v>
      </c>
      <c r="G842" s="433">
        <v>200000</v>
      </c>
      <c r="H842" s="434">
        <v>1</v>
      </c>
      <c r="I842" s="417"/>
      <c r="J842" s="260" t="s">
        <v>89</v>
      </c>
    </row>
    <row r="843" spans="1:10" ht="25" hidden="1" customHeight="1">
      <c r="A843" s="343"/>
      <c r="B843" s="344" t="s">
        <v>1085</v>
      </c>
      <c r="C843" s="345" t="s">
        <v>1078</v>
      </c>
      <c r="D843" s="292" t="s">
        <v>1086</v>
      </c>
      <c r="E843" s="347">
        <f>360/54</f>
        <v>6.666666666666667</v>
      </c>
      <c r="F843" s="293" t="s">
        <v>39</v>
      </c>
      <c r="G843" s="433">
        <v>220000</v>
      </c>
      <c r="H843" s="434">
        <v>1</v>
      </c>
      <c r="I843" s="417"/>
      <c r="J843" s="260" t="s">
        <v>89</v>
      </c>
    </row>
    <row r="844" spans="1:10" ht="25" hidden="1" customHeight="1">
      <c r="A844" s="343"/>
      <c r="B844" s="344" t="s">
        <v>1087</v>
      </c>
      <c r="C844" s="345" t="s">
        <v>1088</v>
      </c>
      <c r="D844" s="292" t="s">
        <v>63</v>
      </c>
      <c r="E844" s="347"/>
      <c r="F844" s="293" t="s">
        <v>31</v>
      </c>
      <c r="G844" s="433">
        <v>33000</v>
      </c>
      <c r="H844" s="434">
        <v>0.5</v>
      </c>
      <c r="I844" s="417"/>
      <c r="J844" s="260" t="s">
        <v>89</v>
      </c>
    </row>
    <row r="845" spans="1:10" ht="25" hidden="1" customHeight="1">
      <c r="A845" s="343"/>
      <c r="B845" s="344" t="s">
        <v>1089</v>
      </c>
      <c r="C845" s="345" t="s">
        <v>1088</v>
      </c>
      <c r="D845" s="292" t="s">
        <v>478</v>
      </c>
      <c r="E845" s="293">
        <f>360/90</f>
        <v>4</v>
      </c>
      <c r="F845" s="293" t="s">
        <v>39</v>
      </c>
      <c r="G845" s="433">
        <v>33000</v>
      </c>
      <c r="H845" s="434">
        <v>0.5</v>
      </c>
      <c r="I845" s="417"/>
      <c r="J845" s="260" t="s">
        <v>89</v>
      </c>
    </row>
    <row r="846" spans="1:10" ht="25" hidden="1" customHeight="1">
      <c r="A846" s="343"/>
      <c r="B846" s="344" t="s">
        <v>1090</v>
      </c>
      <c r="C846" s="345" t="s">
        <v>1088</v>
      </c>
      <c r="D846" s="292" t="s">
        <v>625</v>
      </c>
      <c r="E846" s="293">
        <f>360/90</f>
        <v>4</v>
      </c>
      <c r="F846" s="293" t="s">
        <v>39</v>
      </c>
      <c r="G846" s="433">
        <v>55000</v>
      </c>
      <c r="H846" s="434">
        <v>0.5</v>
      </c>
      <c r="I846" s="417"/>
      <c r="J846" s="260" t="s">
        <v>89</v>
      </c>
    </row>
    <row r="847" spans="1:10" ht="25" hidden="1" customHeight="1">
      <c r="A847" s="343"/>
      <c r="B847" s="344" t="s">
        <v>1091</v>
      </c>
      <c r="C847" s="345" t="s">
        <v>1088</v>
      </c>
      <c r="D847" s="292" t="s">
        <v>499</v>
      </c>
      <c r="E847" s="293">
        <f>360/72</f>
        <v>5</v>
      </c>
      <c r="F847" s="293" t="s">
        <v>39</v>
      </c>
      <c r="G847" s="433">
        <v>80000</v>
      </c>
      <c r="H847" s="434">
        <v>0.5</v>
      </c>
      <c r="I847" s="417"/>
      <c r="J847" s="260" t="s">
        <v>89</v>
      </c>
    </row>
    <row r="848" spans="1:10" ht="25" hidden="1" customHeight="1">
      <c r="A848" s="343"/>
      <c r="B848" s="344" t="s">
        <v>1092</v>
      </c>
      <c r="C848" s="345" t="s">
        <v>1088</v>
      </c>
      <c r="D848" s="292" t="s">
        <v>491</v>
      </c>
      <c r="E848" s="293">
        <f>360/72</f>
        <v>5</v>
      </c>
      <c r="F848" s="293" t="s">
        <v>39</v>
      </c>
      <c r="G848" s="433">
        <v>100000</v>
      </c>
      <c r="H848" s="434">
        <v>0.5</v>
      </c>
      <c r="I848" s="417"/>
      <c r="J848" s="260" t="s">
        <v>89</v>
      </c>
    </row>
    <row r="849" spans="1:10" ht="25" hidden="1" customHeight="1">
      <c r="A849" s="343"/>
      <c r="B849" s="344" t="s">
        <v>1093</v>
      </c>
      <c r="C849" s="345" t="s">
        <v>1088</v>
      </c>
      <c r="D849" s="292" t="s">
        <v>1084</v>
      </c>
      <c r="E849" s="347">
        <f>360/54</f>
        <v>6.666666666666667</v>
      </c>
      <c r="F849" s="293" t="s">
        <v>39</v>
      </c>
      <c r="G849" s="433">
        <v>200000</v>
      </c>
      <c r="H849" s="434">
        <v>0.5</v>
      </c>
      <c r="I849" s="417"/>
      <c r="J849" s="260" t="s">
        <v>89</v>
      </c>
    </row>
    <row r="850" spans="1:10" ht="25" hidden="1" customHeight="1">
      <c r="A850" s="343"/>
      <c r="B850" s="344" t="s">
        <v>1094</v>
      </c>
      <c r="C850" s="345" t="s">
        <v>1088</v>
      </c>
      <c r="D850" s="292" t="s">
        <v>1086</v>
      </c>
      <c r="E850" s="347">
        <f>360/54</f>
        <v>6.666666666666667</v>
      </c>
      <c r="F850" s="293" t="s">
        <v>39</v>
      </c>
      <c r="G850" s="433">
        <v>220000</v>
      </c>
      <c r="H850" s="434">
        <v>0.5</v>
      </c>
      <c r="I850" s="417"/>
      <c r="J850" s="260" t="s">
        <v>89</v>
      </c>
    </row>
    <row r="851" spans="1:10" ht="25" hidden="1" customHeight="1">
      <c r="A851" s="343"/>
      <c r="B851" s="344" t="s">
        <v>1095</v>
      </c>
      <c r="C851" s="345" t="s">
        <v>1078</v>
      </c>
      <c r="D851" s="292" t="s">
        <v>478</v>
      </c>
      <c r="E851" s="293">
        <f>360/90</f>
        <v>4</v>
      </c>
      <c r="F851" s="293" t="s">
        <v>39</v>
      </c>
      <c r="G851" s="433">
        <v>33000</v>
      </c>
      <c r="H851" s="434">
        <v>0.3</v>
      </c>
      <c r="I851" s="417"/>
      <c r="J851" s="260" t="s">
        <v>89</v>
      </c>
    </row>
    <row r="852" spans="1:10" ht="25" hidden="1" customHeight="1">
      <c r="A852" s="274"/>
      <c r="B852" s="319"/>
      <c r="C852" s="418" t="s">
        <v>1096</v>
      </c>
      <c r="D852" s="321"/>
      <c r="E852" s="277"/>
      <c r="F852" s="277"/>
      <c r="G852" s="322"/>
      <c r="H852" s="280"/>
      <c r="I852" s="279"/>
    </row>
    <row r="853" spans="1:10" ht="25" hidden="1" customHeight="1">
      <c r="A853" s="343"/>
      <c r="B853" s="344" t="s">
        <v>1077</v>
      </c>
      <c r="C853" s="345" t="s">
        <v>1096</v>
      </c>
      <c r="D853" s="292" t="s">
        <v>63</v>
      </c>
      <c r="E853" s="347"/>
      <c r="F853" s="293" t="s">
        <v>31</v>
      </c>
      <c r="G853" s="433">
        <v>33000</v>
      </c>
      <c r="H853" s="434">
        <v>1</v>
      </c>
      <c r="I853" s="417"/>
      <c r="J853" s="260" t="s">
        <v>89</v>
      </c>
    </row>
    <row r="854" spans="1:10" ht="25" hidden="1" customHeight="1">
      <c r="A854" s="343"/>
      <c r="B854" s="344" t="s">
        <v>1079</v>
      </c>
      <c r="C854" s="345" t="s">
        <v>1096</v>
      </c>
      <c r="D854" s="292" t="s">
        <v>478</v>
      </c>
      <c r="E854" s="293">
        <f>360/90</f>
        <v>4</v>
      </c>
      <c r="F854" s="293" t="s">
        <v>39</v>
      </c>
      <c r="G854" s="433">
        <v>33000</v>
      </c>
      <c r="H854" s="434">
        <v>1</v>
      </c>
      <c r="I854" s="417"/>
      <c r="J854" s="260" t="s">
        <v>89</v>
      </c>
    </row>
    <row r="855" spans="1:10" ht="25" hidden="1" customHeight="1">
      <c r="A855" s="343"/>
      <c r="B855" s="344" t="s">
        <v>1080</v>
      </c>
      <c r="C855" s="345" t="s">
        <v>1096</v>
      </c>
      <c r="D855" s="292" t="s">
        <v>625</v>
      </c>
      <c r="E855" s="293">
        <f>360/90</f>
        <v>4</v>
      </c>
      <c r="F855" s="293" t="s">
        <v>39</v>
      </c>
      <c r="G855" s="433">
        <v>55000</v>
      </c>
      <c r="H855" s="434">
        <v>1</v>
      </c>
      <c r="I855" s="417"/>
      <c r="J855" s="260" t="s">
        <v>89</v>
      </c>
    </row>
    <row r="856" spans="1:10" ht="25" hidden="1" customHeight="1">
      <c r="A856" s="343"/>
      <c r="B856" s="344" t="s">
        <v>1081</v>
      </c>
      <c r="C856" s="345" t="s">
        <v>1096</v>
      </c>
      <c r="D856" s="292" t="s">
        <v>499</v>
      </c>
      <c r="E856" s="293">
        <f>360/72</f>
        <v>5</v>
      </c>
      <c r="F856" s="293" t="s">
        <v>39</v>
      </c>
      <c r="G856" s="433">
        <v>80000</v>
      </c>
      <c r="H856" s="434">
        <v>1</v>
      </c>
      <c r="I856" s="417"/>
      <c r="J856" s="260" t="s">
        <v>89</v>
      </c>
    </row>
    <row r="857" spans="1:10" ht="25" hidden="1" customHeight="1">
      <c r="A857" s="343"/>
      <c r="B857" s="344" t="s">
        <v>1082</v>
      </c>
      <c r="C857" s="345" t="s">
        <v>1096</v>
      </c>
      <c r="D857" s="292" t="s">
        <v>491</v>
      </c>
      <c r="E857" s="293">
        <f>360/72</f>
        <v>5</v>
      </c>
      <c r="F857" s="293" t="s">
        <v>39</v>
      </c>
      <c r="G857" s="433">
        <v>100000</v>
      </c>
      <c r="H857" s="434">
        <v>1</v>
      </c>
      <c r="I857" s="417"/>
      <c r="J857" s="260" t="s">
        <v>89</v>
      </c>
    </row>
    <row r="858" spans="1:10" ht="25" hidden="1" customHeight="1">
      <c r="A858" s="343"/>
      <c r="B858" s="344" t="s">
        <v>1083</v>
      </c>
      <c r="C858" s="345" t="s">
        <v>1096</v>
      </c>
      <c r="D858" s="292" t="s">
        <v>1084</v>
      </c>
      <c r="E858" s="347">
        <f>360/54</f>
        <v>6.666666666666667</v>
      </c>
      <c r="F858" s="293" t="s">
        <v>39</v>
      </c>
      <c r="G858" s="433">
        <v>200000</v>
      </c>
      <c r="H858" s="434">
        <v>1</v>
      </c>
      <c r="I858" s="417"/>
      <c r="J858" s="260" t="s">
        <v>89</v>
      </c>
    </row>
    <row r="859" spans="1:10" ht="25" hidden="1" customHeight="1">
      <c r="A859" s="343"/>
      <c r="B859" s="344" t="s">
        <v>1085</v>
      </c>
      <c r="C859" s="345" t="s">
        <v>1096</v>
      </c>
      <c r="D859" s="292" t="s">
        <v>1086</v>
      </c>
      <c r="E859" s="347">
        <f>360/54</f>
        <v>6.666666666666667</v>
      </c>
      <c r="F859" s="293" t="s">
        <v>39</v>
      </c>
      <c r="G859" s="433">
        <v>220000</v>
      </c>
      <c r="H859" s="434">
        <v>1</v>
      </c>
      <c r="I859" s="417"/>
      <c r="J859" s="260" t="s">
        <v>89</v>
      </c>
    </row>
    <row r="860" spans="1:10" ht="25" hidden="1" customHeight="1">
      <c r="A860" s="343"/>
      <c r="B860" s="344" t="s">
        <v>1087</v>
      </c>
      <c r="C860" s="345" t="s">
        <v>1097</v>
      </c>
      <c r="D860" s="292" t="s">
        <v>63</v>
      </c>
      <c r="E860" s="347"/>
      <c r="F860" s="293" t="s">
        <v>31</v>
      </c>
      <c r="G860" s="433">
        <v>33000</v>
      </c>
      <c r="H860" s="434">
        <v>0.5</v>
      </c>
      <c r="I860" s="417"/>
      <c r="J860" s="260" t="s">
        <v>89</v>
      </c>
    </row>
    <row r="861" spans="1:10" ht="25" hidden="1" customHeight="1">
      <c r="A861" s="343"/>
      <c r="B861" s="344" t="s">
        <v>1089</v>
      </c>
      <c r="C861" s="345" t="s">
        <v>1097</v>
      </c>
      <c r="D861" s="292" t="s">
        <v>478</v>
      </c>
      <c r="E861" s="293">
        <f>360/90</f>
        <v>4</v>
      </c>
      <c r="F861" s="293" t="s">
        <v>39</v>
      </c>
      <c r="G861" s="433">
        <v>33000</v>
      </c>
      <c r="H861" s="434">
        <v>0.5</v>
      </c>
      <c r="I861" s="417"/>
      <c r="J861" s="260" t="s">
        <v>89</v>
      </c>
    </row>
    <row r="862" spans="1:10" ht="25" hidden="1" customHeight="1">
      <c r="A862" s="343"/>
      <c r="B862" s="344" t="s">
        <v>1090</v>
      </c>
      <c r="C862" s="345" t="s">
        <v>1097</v>
      </c>
      <c r="D862" s="292" t="s">
        <v>625</v>
      </c>
      <c r="E862" s="293">
        <f>360/90</f>
        <v>4</v>
      </c>
      <c r="F862" s="293" t="s">
        <v>39</v>
      </c>
      <c r="G862" s="433">
        <v>55000</v>
      </c>
      <c r="H862" s="434">
        <v>0.5</v>
      </c>
      <c r="I862" s="417"/>
      <c r="J862" s="260" t="s">
        <v>89</v>
      </c>
    </row>
    <row r="863" spans="1:10" ht="25" hidden="1" customHeight="1">
      <c r="A863" s="343"/>
      <c r="B863" s="344" t="s">
        <v>1091</v>
      </c>
      <c r="C863" s="345" t="s">
        <v>1097</v>
      </c>
      <c r="D863" s="292" t="s">
        <v>499</v>
      </c>
      <c r="E863" s="293">
        <f>360/72</f>
        <v>5</v>
      </c>
      <c r="F863" s="293" t="s">
        <v>39</v>
      </c>
      <c r="G863" s="433">
        <v>80000</v>
      </c>
      <c r="H863" s="434">
        <v>0.5</v>
      </c>
      <c r="I863" s="417"/>
      <c r="J863" s="260" t="s">
        <v>89</v>
      </c>
    </row>
    <row r="864" spans="1:10" ht="25" hidden="1" customHeight="1">
      <c r="A864" s="343"/>
      <c r="B864" s="344" t="s">
        <v>1092</v>
      </c>
      <c r="C864" s="345" t="s">
        <v>1097</v>
      </c>
      <c r="D864" s="292" t="s">
        <v>491</v>
      </c>
      <c r="E864" s="293">
        <f>360/72</f>
        <v>5</v>
      </c>
      <c r="F864" s="293" t="s">
        <v>39</v>
      </c>
      <c r="G864" s="433">
        <v>100000</v>
      </c>
      <c r="H864" s="434">
        <v>0.5</v>
      </c>
      <c r="I864" s="417"/>
      <c r="J864" s="260" t="s">
        <v>89</v>
      </c>
    </row>
    <row r="865" spans="1:10" ht="25" hidden="1" customHeight="1">
      <c r="A865" s="343"/>
      <c r="B865" s="344" t="s">
        <v>1093</v>
      </c>
      <c r="C865" s="345" t="s">
        <v>1097</v>
      </c>
      <c r="D865" s="292" t="s">
        <v>1084</v>
      </c>
      <c r="E865" s="347">
        <f>360/54</f>
        <v>6.666666666666667</v>
      </c>
      <c r="F865" s="293" t="s">
        <v>39</v>
      </c>
      <c r="G865" s="433">
        <v>200000</v>
      </c>
      <c r="H865" s="434">
        <v>0.5</v>
      </c>
      <c r="I865" s="417"/>
      <c r="J865" s="260" t="s">
        <v>89</v>
      </c>
    </row>
    <row r="866" spans="1:10" ht="25" hidden="1" customHeight="1">
      <c r="A866" s="343"/>
      <c r="B866" s="344" t="s">
        <v>1094</v>
      </c>
      <c r="C866" s="345" t="s">
        <v>1097</v>
      </c>
      <c r="D866" s="292" t="s">
        <v>1086</v>
      </c>
      <c r="E866" s="347">
        <f>360/54</f>
        <v>6.666666666666667</v>
      </c>
      <c r="F866" s="293" t="s">
        <v>39</v>
      </c>
      <c r="G866" s="433">
        <v>220000</v>
      </c>
      <c r="H866" s="434">
        <v>0.5</v>
      </c>
      <c r="I866" s="417"/>
      <c r="J866" s="260" t="s">
        <v>89</v>
      </c>
    </row>
    <row r="867" spans="1:10" ht="25" hidden="1" customHeight="1">
      <c r="A867" s="343"/>
      <c r="B867" s="344" t="s">
        <v>1095</v>
      </c>
      <c r="C867" s="345" t="s">
        <v>1096</v>
      </c>
      <c r="D867" s="292" t="s">
        <v>478</v>
      </c>
      <c r="E867" s="293">
        <f>360/90</f>
        <v>4</v>
      </c>
      <c r="F867" s="293" t="s">
        <v>39</v>
      </c>
      <c r="G867" s="433">
        <v>33000</v>
      </c>
      <c r="H867" s="434">
        <v>0.3</v>
      </c>
      <c r="I867" s="417"/>
      <c r="J867" s="260" t="s">
        <v>89</v>
      </c>
    </row>
    <row r="868" spans="1:10" ht="25" hidden="1" customHeight="1">
      <c r="A868" s="274"/>
      <c r="B868" s="319"/>
      <c r="C868" s="418" t="s">
        <v>1098</v>
      </c>
      <c r="D868" s="321"/>
      <c r="E868" s="277"/>
      <c r="F868" s="277"/>
      <c r="G868" s="322"/>
      <c r="H868" s="280"/>
      <c r="I868" s="279"/>
    </row>
    <row r="869" spans="1:10" ht="25" hidden="1" customHeight="1">
      <c r="A869" s="289"/>
      <c r="B869" s="290" t="s">
        <v>1099</v>
      </c>
      <c r="C869" s="339" t="s">
        <v>1098</v>
      </c>
      <c r="D869" s="292" t="s">
        <v>478</v>
      </c>
      <c r="E869" s="293">
        <v>1</v>
      </c>
      <c r="F869" s="293" t="s">
        <v>39</v>
      </c>
      <c r="G869" s="294">
        <v>80000</v>
      </c>
      <c r="H869" s="434">
        <v>1</v>
      </c>
      <c r="I869" s="295"/>
      <c r="J869" s="260" t="s">
        <v>89</v>
      </c>
    </row>
    <row r="870" spans="1:10" ht="25" hidden="1" customHeight="1">
      <c r="A870" s="289"/>
      <c r="B870" s="290" t="s">
        <v>1100</v>
      </c>
      <c r="C870" s="339" t="s">
        <v>1098</v>
      </c>
      <c r="D870" s="292" t="s">
        <v>40</v>
      </c>
      <c r="E870" s="293">
        <v>1</v>
      </c>
      <c r="F870" s="293" t="s">
        <v>39</v>
      </c>
      <c r="G870" s="294">
        <v>100000</v>
      </c>
      <c r="H870" s="434">
        <v>1</v>
      </c>
      <c r="I870" s="295"/>
      <c r="J870" s="260" t="s">
        <v>89</v>
      </c>
    </row>
    <row r="871" spans="1:10" ht="25" hidden="1" customHeight="1">
      <c r="A871" s="352"/>
      <c r="B871" s="290" t="s">
        <v>1101</v>
      </c>
      <c r="C871" s="339" t="s">
        <v>1098</v>
      </c>
      <c r="D871" s="292" t="s">
        <v>587</v>
      </c>
      <c r="E871" s="293">
        <v>1.5</v>
      </c>
      <c r="F871" s="293" t="s">
        <v>39</v>
      </c>
      <c r="G871" s="294">
        <v>160000</v>
      </c>
      <c r="H871" s="434">
        <v>1</v>
      </c>
      <c r="I871" s="356"/>
      <c r="J871" s="260" t="s">
        <v>89</v>
      </c>
    </row>
    <row r="872" spans="1:10" ht="25" hidden="1" customHeight="1">
      <c r="A872" s="352"/>
      <c r="B872" s="290" t="s">
        <v>1102</v>
      </c>
      <c r="C872" s="339" t="s">
        <v>1098</v>
      </c>
      <c r="D872" s="292" t="s">
        <v>589</v>
      </c>
      <c r="E872" s="293">
        <v>2</v>
      </c>
      <c r="F872" s="293" t="s">
        <v>39</v>
      </c>
      <c r="G872" s="294">
        <v>280000</v>
      </c>
      <c r="H872" s="434">
        <v>1</v>
      </c>
      <c r="I872" s="356"/>
      <c r="J872" s="260" t="s">
        <v>89</v>
      </c>
    </row>
    <row r="873" spans="1:10" ht="25" hidden="1" customHeight="1">
      <c r="A873" s="352"/>
      <c r="B873" s="290" t="s">
        <v>1103</v>
      </c>
      <c r="C873" s="339" t="s">
        <v>1098</v>
      </c>
      <c r="D873" s="292" t="s">
        <v>429</v>
      </c>
      <c r="E873" s="293">
        <v>2.5</v>
      </c>
      <c r="F873" s="293" t="s">
        <v>39</v>
      </c>
      <c r="G873" s="294">
        <v>400000</v>
      </c>
      <c r="H873" s="434">
        <v>1</v>
      </c>
      <c r="I873" s="356"/>
      <c r="J873" s="260" t="s">
        <v>89</v>
      </c>
    </row>
    <row r="874" spans="1:10" ht="25" hidden="1" customHeight="1">
      <c r="A874" s="352"/>
      <c r="B874" s="290" t="s">
        <v>1104</v>
      </c>
      <c r="C874" s="339" t="s">
        <v>1098</v>
      </c>
      <c r="D874" s="292" t="s">
        <v>94</v>
      </c>
      <c r="E874" s="293">
        <v>3</v>
      </c>
      <c r="F874" s="293" t="s">
        <v>39</v>
      </c>
      <c r="G874" s="294">
        <v>520000</v>
      </c>
      <c r="H874" s="434">
        <v>1</v>
      </c>
      <c r="I874" s="356"/>
      <c r="J874" s="260" t="s">
        <v>89</v>
      </c>
    </row>
    <row r="875" spans="1:10" ht="25" hidden="1" customHeight="1">
      <c r="A875" s="289"/>
      <c r="B875" s="290" t="s">
        <v>1105</v>
      </c>
      <c r="C875" s="339" t="s">
        <v>1106</v>
      </c>
      <c r="D875" s="292" t="s">
        <v>478</v>
      </c>
      <c r="E875" s="293">
        <v>1</v>
      </c>
      <c r="F875" s="293" t="s">
        <v>39</v>
      </c>
      <c r="G875" s="294">
        <v>80000</v>
      </c>
      <c r="H875" s="434">
        <v>0.5</v>
      </c>
      <c r="I875" s="295"/>
      <c r="J875" s="260" t="s">
        <v>89</v>
      </c>
    </row>
    <row r="876" spans="1:10" ht="25" hidden="1" customHeight="1">
      <c r="A876" s="289"/>
      <c r="B876" s="290" t="s">
        <v>1107</v>
      </c>
      <c r="C876" s="339" t="s">
        <v>1106</v>
      </c>
      <c r="D876" s="292" t="s">
        <v>40</v>
      </c>
      <c r="E876" s="293">
        <v>1</v>
      </c>
      <c r="F876" s="293" t="s">
        <v>39</v>
      </c>
      <c r="G876" s="294">
        <v>100000</v>
      </c>
      <c r="H876" s="434">
        <v>0.5</v>
      </c>
      <c r="I876" s="295"/>
      <c r="J876" s="260" t="s">
        <v>89</v>
      </c>
    </row>
    <row r="877" spans="1:10" ht="25" hidden="1" customHeight="1">
      <c r="A877" s="352"/>
      <c r="B877" s="290" t="s">
        <v>1108</v>
      </c>
      <c r="C877" s="339" t="s">
        <v>1106</v>
      </c>
      <c r="D877" s="292" t="s">
        <v>587</v>
      </c>
      <c r="E877" s="293">
        <v>1.5</v>
      </c>
      <c r="F877" s="293" t="s">
        <v>39</v>
      </c>
      <c r="G877" s="294">
        <v>160000</v>
      </c>
      <c r="H877" s="434">
        <v>0.5</v>
      </c>
      <c r="I877" s="356"/>
      <c r="J877" s="260" t="s">
        <v>89</v>
      </c>
    </row>
    <row r="878" spans="1:10" ht="25" hidden="1" customHeight="1">
      <c r="A878" s="352"/>
      <c r="B878" s="290" t="s">
        <v>1109</v>
      </c>
      <c r="C878" s="339" t="s">
        <v>1106</v>
      </c>
      <c r="D878" s="292" t="s">
        <v>589</v>
      </c>
      <c r="E878" s="293">
        <v>2</v>
      </c>
      <c r="F878" s="293" t="s">
        <v>39</v>
      </c>
      <c r="G878" s="294">
        <v>280000</v>
      </c>
      <c r="H878" s="434">
        <v>0.5</v>
      </c>
      <c r="I878" s="356"/>
      <c r="J878" s="260" t="s">
        <v>89</v>
      </c>
    </row>
    <row r="879" spans="1:10" ht="25" hidden="1" customHeight="1">
      <c r="A879" s="352"/>
      <c r="B879" s="290" t="s">
        <v>1110</v>
      </c>
      <c r="C879" s="339" t="s">
        <v>1106</v>
      </c>
      <c r="D879" s="292" t="s">
        <v>429</v>
      </c>
      <c r="E879" s="293">
        <v>2.5</v>
      </c>
      <c r="F879" s="293" t="s">
        <v>39</v>
      </c>
      <c r="G879" s="294">
        <v>400000</v>
      </c>
      <c r="H879" s="434">
        <v>0.5</v>
      </c>
      <c r="I879" s="356"/>
      <c r="J879" s="260" t="s">
        <v>89</v>
      </c>
    </row>
    <row r="880" spans="1:10" ht="25" hidden="1" customHeight="1">
      <c r="A880" s="352"/>
      <c r="B880" s="290" t="s">
        <v>1111</v>
      </c>
      <c r="C880" s="339" t="s">
        <v>1106</v>
      </c>
      <c r="D880" s="292" t="s">
        <v>94</v>
      </c>
      <c r="E880" s="293">
        <v>3</v>
      </c>
      <c r="F880" s="293" t="s">
        <v>39</v>
      </c>
      <c r="G880" s="294">
        <v>520000</v>
      </c>
      <c r="H880" s="434">
        <v>0.5</v>
      </c>
      <c r="I880" s="356"/>
      <c r="J880" s="260" t="s">
        <v>89</v>
      </c>
    </row>
    <row r="881" spans="1:10" ht="25" hidden="1" customHeight="1">
      <c r="A881" s="274"/>
      <c r="B881" s="319"/>
      <c r="C881" s="418" t="s">
        <v>1112</v>
      </c>
      <c r="D881" s="321"/>
      <c r="E881" s="277"/>
      <c r="F881" s="277"/>
      <c r="G881" s="322"/>
      <c r="H881" s="280"/>
      <c r="I881" s="279"/>
    </row>
    <row r="882" spans="1:10" ht="25" hidden="1" customHeight="1">
      <c r="A882" s="343"/>
      <c r="B882" s="344" t="s">
        <v>1113</v>
      </c>
      <c r="C882" s="345" t="s">
        <v>1112</v>
      </c>
      <c r="D882" s="292" t="s">
        <v>63</v>
      </c>
      <c r="E882" s="347"/>
      <c r="F882" s="293" t="s">
        <v>31</v>
      </c>
      <c r="G882" s="433">
        <v>36000</v>
      </c>
      <c r="H882" s="434">
        <v>1</v>
      </c>
      <c r="I882" s="417"/>
    </row>
    <row r="883" spans="1:10" ht="25" hidden="1" customHeight="1">
      <c r="A883" s="343"/>
      <c r="B883" s="344" t="s">
        <v>1114</v>
      </c>
      <c r="C883" s="345" t="s">
        <v>1112</v>
      </c>
      <c r="D883" s="292" t="s">
        <v>478</v>
      </c>
      <c r="E883" s="293">
        <v>4</v>
      </c>
      <c r="F883" s="293" t="s">
        <v>39</v>
      </c>
      <c r="G883" s="433">
        <v>60000</v>
      </c>
      <c r="H883" s="434">
        <v>1</v>
      </c>
      <c r="I883" s="417"/>
    </row>
    <row r="884" spans="1:10" ht="25" hidden="1" customHeight="1">
      <c r="A884" s="343"/>
      <c r="B884" s="344" t="s">
        <v>1115</v>
      </c>
      <c r="C884" s="345" t="s">
        <v>1112</v>
      </c>
      <c r="D884" s="292" t="s">
        <v>625</v>
      </c>
      <c r="E884" s="293">
        <v>4</v>
      </c>
      <c r="F884" s="293" t="s">
        <v>39</v>
      </c>
      <c r="G884" s="433">
        <v>90000</v>
      </c>
      <c r="H884" s="434">
        <v>1</v>
      </c>
      <c r="I884" s="417"/>
    </row>
    <row r="885" spans="1:10" ht="25" hidden="1" customHeight="1">
      <c r="A885" s="343"/>
      <c r="B885" s="344" t="s">
        <v>1116</v>
      </c>
      <c r="C885" s="345" t="s">
        <v>1112</v>
      </c>
      <c r="D885" s="292" t="s">
        <v>1117</v>
      </c>
      <c r="E885" s="293">
        <f>360/72</f>
        <v>5</v>
      </c>
      <c r="F885" s="293" t="s">
        <v>39</v>
      </c>
      <c r="G885" s="433">
        <v>120000</v>
      </c>
      <c r="H885" s="434">
        <v>1</v>
      </c>
      <c r="I885" s="417"/>
    </row>
    <row r="886" spans="1:10" ht="25" hidden="1" customHeight="1">
      <c r="A886" s="343"/>
      <c r="B886" s="344" t="s">
        <v>1118</v>
      </c>
      <c r="C886" s="345" t="s">
        <v>1112</v>
      </c>
      <c r="D886" s="292" t="s">
        <v>629</v>
      </c>
      <c r="E886" s="293">
        <f>360/72</f>
        <v>5</v>
      </c>
      <c r="F886" s="293" t="s">
        <v>39</v>
      </c>
      <c r="G886" s="433">
        <v>150000</v>
      </c>
      <c r="H886" s="434">
        <v>1</v>
      </c>
      <c r="I886" s="417"/>
    </row>
    <row r="887" spans="1:10" ht="25" hidden="1" customHeight="1">
      <c r="A887" s="343"/>
      <c r="B887" s="344" t="s">
        <v>1119</v>
      </c>
      <c r="C887" s="345" t="s">
        <v>1112</v>
      </c>
      <c r="D887" s="292" t="s">
        <v>1120</v>
      </c>
      <c r="E887" s="347">
        <f>360/54</f>
        <v>6.666666666666667</v>
      </c>
      <c r="F887" s="293" t="s">
        <v>39</v>
      </c>
      <c r="G887" s="433">
        <v>180000</v>
      </c>
      <c r="H887" s="434">
        <v>1</v>
      </c>
      <c r="I887" s="417"/>
    </row>
    <row r="888" spans="1:10" ht="25" hidden="1" customHeight="1">
      <c r="A888" s="343"/>
      <c r="B888" s="344" t="s">
        <v>1121</v>
      </c>
      <c r="C888" s="345" t="s">
        <v>1112</v>
      </c>
      <c r="D888" s="292" t="s">
        <v>1122</v>
      </c>
      <c r="E888" s="347">
        <f>360/54</f>
        <v>6.666666666666667</v>
      </c>
      <c r="F888" s="293" t="s">
        <v>39</v>
      </c>
      <c r="G888" s="433">
        <v>225000</v>
      </c>
      <c r="H888" s="434">
        <v>1</v>
      </c>
      <c r="I888" s="417"/>
    </row>
    <row r="889" spans="1:10" ht="25" hidden="1" customHeight="1">
      <c r="A889" s="274"/>
      <c r="B889" s="319"/>
      <c r="C889" s="418" t="s">
        <v>1123</v>
      </c>
      <c r="D889" s="321"/>
      <c r="E889" s="277"/>
      <c r="F889" s="277"/>
      <c r="G889" s="322"/>
      <c r="H889" s="280"/>
      <c r="I889" s="279"/>
    </row>
    <row r="890" spans="1:10" ht="25" hidden="1" customHeight="1">
      <c r="A890" s="343"/>
      <c r="B890" s="344" t="s">
        <v>1124</v>
      </c>
      <c r="C890" s="345" t="s">
        <v>1125</v>
      </c>
      <c r="D890" s="292" t="s">
        <v>63</v>
      </c>
      <c r="E890" s="347"/>
      <c r="F890" s="293" t="s">
        <v>31</v>
      </c>
      <c r="G890" s="433">
        <v>36000</v>
      </c>
      <c r="H890" s="434">
        <v>1</v>
      </c>
      <c r="I890" s="417"/>
      <c r="J890" s="260" t="s">
        <v>89</v>
      </c>
    </row>
    <row r="891" spans="1:10" ht="25" hidden="1" customHeight="1">
      <c r="A891" s="343"/>
      <c r="B891" s="344" t="s">
        <v>1126</v>
      </c>
      <c r="C891" s="345" t="s">
        <v>1125</v>
      </c>
      <c r="D891" s="292" t="s">
        <v>478</v>
      </c>
      <c r="E891" s="293">
        <v>4</v>
      </c>
      <c r="F891" s="293" t="s">
        <v>39</v>
      </c>
      <c r="G891" s="433">
        <v>36000</v>
      </c>
      <c r="H891" s="434">
        <v>1</v>
      </c>
      <c r="I891" s="417"/>
      <c r="J891" s="260" t="s">
        <v>89</v>
      </c>
    </row>
    <row r="892" spans="1:10" ht="25" hidden="1" customHeight="1">
      <c r="A892" s="343"/>
      <c r="B892" s="344" t="s">
        <v>1127</v>
      </c>
      <c r="C892" s="345" t="s">
        <v>1125</v>
      </c>
      <c r="D892" s="292" t="s">
        <v>625</v>
      </c>
      <c r="E892" s="293">
        <v>4</v>
      </c>
      <c r="F892" s="293" t="s">
        <v>39</v>
      </c>
      <c r="G892" s="433">
        <v>60000</v>
      </c>
      <c r="H892" s="434">
        <v>1</v>
      </c>
      <c r="I892" s="417"/>
      <c r="J892" s="260" t="s">
        <v>89</v>
      </c>
    </row>
    <row r="893" spans="1:10" ht="25" hidden="1" customHeight="1">
      <c r="A893" s="343"/>
      <c r="B893" s="344" t="s">
        <v>1128</v>
      </c>
      <c r="C893" s="345" t="s">
        <v>1125</v>
      </c>
      <c r="D893" s="292" t="s">
        <v>499</v>
      </c>
      <c r="E893" s="293">
        <v>5</v>
      </c>
      <c r="F893" s="293" t="s">
        <v>39</v>
      </c>
      <c r="G893" s="433">
        <v>85000</v>
      </c>
      <c r="H893" s="434">
        <v>1</v>
      </c>
      <c r="I893" s="417"/>
      <c r="J893" s="260" t="s">
        <v>89</v>
      </c>
    </row>
    <row r="894" spans="1:10" ht="25" hidden="1" customHeight="1">
      <c r="A894" s="343"/>
      <c r="B894" s="344" t="s">
        <v>1129</v>
      </c>
      <c r="C894" s="345" t="s">
        <v>1125</v>
      </c>
      <c r="D894" s="292" t="s">
        <v>491</v>
      </c>
      <c r="E894" s="293">
        <v>5</v>
      </c>
      <c r="F894" s="293" t="s">
        <v>39</v>
      </c>
      <c r="G894" s="433">
        <v>110000</v>
      </c>
      <c r="H894" s="434">
        <v>1</v>
      </c>
      <c r="I894" s="417"/>
      <c r="J894" s="260" t="s">
        <v>89</v>
      </c>
    </row>
    <row r="895" spans="1:10" ht="25" hidden="1" customHeight="1">
      <c r="A895" s="343"/>
      <c r="B895" s="344" t="s">
        <v>1130</v>
      </c>
      <c r="C895" s="345" t="s">
        <v>1125</v>
      </c>
      <c r="D895" s="292" t="s">
        <v>1084</v>
      </c>
      <c r="E895" s="347">
        <f>360/54</f>
        <v>6.666666666666667</v>
      </c>
      <c r="F895" s="293" t="s">
        <v>39</v>
      </c>
      <c r="G895" s="433">
        <v>150000</v>
      </c>
      <c r="H895" s="434">
        <v>1</v>
      </c>
      <c r="I895" s="417"/>
      <c r="J895" s="260" t="s">
        <v>89</v>
      </c>
    </row>
    <row r="896" spans="1:10" ht="25" hidden="1" customHeight="1">
      <c r="A896" s="343"/>
      <c r="B896" s="344" t="s">
        <v>1131</v>
      </c>
      <c r="C896" s="345" t="s">
        <v>1125</v>
      </c>
      <c r="D896" s="292" t="s">
        <v>1086</v>
      </c>
      <c r="E896" s="347">
        <f>360/54</f>
        <v>6.666666666666667</v>
      </c>
      <c r="F896" s="293" t="s">
        <v>39</v>
      </c>
      <c r="G896" s="433">
        <v>220000</v>
      </c>
      <c r="H896" s="434">
        <v>1</v>
      </c>
      <c r="I896" s="417"/>
      <c r="J896" s="260" t="s">
        <v>89</v>
      </c>
    </row>
    <row r="897" spans="1:10" ht="25" hidden="1" customHeight="1">
      <c r="A897" s="343"/>
      <c r="B897" s="344" t="s">
        <v>1132</v>
      </c>
      <c r="C897" s="345" t="s">
        <v>1133</v>
      </c>
      <c r="D897" s="292" t="s">
        <v>63</v>
      </c>
      <c r="E897" s="347"/>
      <c r="F897" s="293" t="s">
        <v>31</v>
      </c>
      <c r="G897" s="433">
        <v>36000</v>
      </c>
      <c r="H897" s="434">
        <v>0.5</v>
      </c>
      <c r="I897" s="417"/>
      <c r="J897" s="260" t="s">
        <v>89</v>
      </c>
    </row>
    <row r="898" spans="1:10" ht="25" hidden="1" customHeight="1">
      <c r="A898" s="343"/>
      <c r="B898" s="344" t="s">
        <v>1134</v>
      </c>
      <c r="C898" s="345" t="s">
        <v>1133</v>
      </c>
      <c r="D898" s="292" t="s">
        <v>478</v>
      </c>
      <c r="E898" s="293">
        <v>4</v>
      </c>
      <c r="F898" s="293" t="s">
        <v>39</v>
      </c>
      <c r="G898" s="433">
        <v>36000</v>
      </c>
      <c r="H898" s="434">
        <v>0.5</v>
      </c>
      <c r="I898" s="417"/>
      <c r="J898" s="260" t="s">
        <v>89</v>
      </c>
    </row>
    <row r="899" spans="1:10" ht="25" hidden="1" customHeight="1">
      <c r="A899" s="343"/>
      <c r="B899" s="344" t="s">
        <v>1135</v>
      </c>
      <c r="C899" s="345" t="s">
        <v>1133</v>
      </c>
      <c r="D899" s="292" t="s">
        <v>625</v>
      </c>
      <c r="E899" s="293">
        <v>4</v>
      </c>
      <c r="F899" s="293" t="s">
        <v>39</v>
      </c>
      <c r="G899" s="433">
        <v>60000</v>
      </c>
      <c r="H899" s="434">
        <v>0.5</v>
      </c>
      <c r="I899" s="417"/>
      <c r="J899" s="260" t="s">
        <v>89</v>
      </c>
    </row>
    <row r="900" spans="1:10" ht="25" hidden="1" customHeight="1">
      <c r="A900" s="343"/>
      <c r="B900" s="344" t="s">
        <v>1136</v>
      </c>
      <c r="C900" s="345" t="s">
        <v>1133</v>
      </c>
      <c r="D900" s="292" t="s">
        <v>499</v>
      </c>
      <c r="E900" s="293">
        <v>5</v>
      </c>
      <c r="F900" s="293" t="s">
        <v>39</v>
      </c>
      <c r="G900" s="433">
        <v>85000</v>
      </c>
      <c r="H900" s="434">
        <v>0.5</v>
      </c>
      <c r="I900" s="417"/>
      <c r="J900" s="260" t="s">
        <v>89</v>
      </c>
    </row>
    <row r="901" spans="1:10" ht="25" hidden="1" customHeight="1">
      <c r="A901" s="343"/>
      <c r="B901" s="344" t="s">
        <v>1137</v>
      </c>
      <c r="C901" s="345" t="s">
        <v>1133</v>
      </c>
      <c r="D901" s="292" t="s">
        <v>491</v>
      </c>
      <c r="E901" s="293">
        <v>5</v>
      </c>
      <c r="F901" s="293" t="s">
        <v>39</v>
      </c>
      <c r="G901" s="433">
        <v>110000</v>
      </c>
      <c r="H901" s="434">
        <v>0.5</v>
      </c>
      <c r="I901" s="417"/>
      <c r="J901" s="260" t="s">
        <v>89</v>
      </c>
    </row>
    <row r="902" spans="1:10" ht="25" hidden="1" customHeight="1">
      <c r="A902" s="343"/>
      <c r="B902" s="344" t="s">
        <v>1138</v>
      </c>
      <c r="C902" s="345" t="s">
        <v>1133</v>
      </c>
      <c r="D902" s="292" t="s">
        <v>1084</v>
      </c>
      <c r="E902" s="347">
        <f>360/54</f>
        <v>6.666666666666667</v>
      </c>
      <c r="F902" s="293" t="s">
        <v>39</v>
      </c>
      <c r="G902" s="433">
        <v>150000</v>
      </c>
      <c r="H902" s="434">
        <v>0.5</v>
      </c>
      <c r="I902" s="417"/>
      <c r="J902" s="260" t="s">
        <v>89</v>
      </c>
    </row>
    <row r="903" spans="1:10" ht="25" hidden="1" customHeight="1">
      <c r="A903" s="343"/>
      <c r="B903" s="344" t="s">
        <v>1139</v>
      </c>
      <c r="C903" s="345" t="s">
        <v>1133</v>
      </c>
      <c r="D903" s="292" t="s">
        <v>1086</v>
      </c>
      <c r="E903" s="347">
        <f>360/54</f>
        <v>6.666666666666667</v>
      </c>
      <c r="F903" s="293" t="s">
        <v>39</v>
      </c>
      <c r="G903" s="433">
        <v>220000</v>
      </c>
      <c r="H903" s="434">
        <v>0.5</v>
      </c>
      <c r="I903" s="417"/>
      <c r="J903" s="260" t="s">
        <v>89</v>
      </c>
    </row>
    <row r="904" spans="1:10" ht="25" hidden="1" customHeight="1">
      <c r="A904" s="274"/>
      <c r="B904" s="319"/>
      <c r="C904" s="418" t="s">
        <v>1140</v>
      </c>
      <c r="D904" s="321"/>
      <c r="E904" s="277"/>
      <c r="F904" s="277"/>
      <c r="G904" s="322"/>
      <c r="H904" s="280"/>
      <c r="I904" s="279"/>
    </row>
    <row r="905" spans="1:10" ht="25" hidden="1" customHeight="1">
      <c r="A905" s="343"/>
      <c r="B905" s="344" t="s">
        <v>1141</v>
      </c>
      <c r="C905" s="345" t="s">
        <v>1140</v>
      </c>
      <c r="D905" s="292" t="s">
        <v>63</v>
      </c>
      <c r="E905" s="347"/>
      <c r="F905" s="293" t="s">
        <v>31</v>
      </c>
      <c r="G905" s="433">
        <v>36000</v>
      </c>
      <c r="H905" s="434">
        <v>1</v>
      </c>
      <c r="I905" s="417"/>
      <c r="J905" s="260" t="s">
        <v>89</v>
      </c>
    </row>
    <row r="906" spans="1:10" ht="25" hidden="1" customHeight="1">
      <c r="A906" s="343"/>
      <c r="B906" s="344" t="s">
        <v>1142</v>
      </c>
      <c r="C906" s="345" t="s">
        <v>1140</v>
      </c>
      <c r="D906" s="292" t="s">
        <v>478</v>
      </c>
      <c r="E906" s="293">
        <v>4</v>
      </c>
      <c r="F906" s="293" t="s">
        <v>39</v>
      </c>
      <c r="G906" s="433">
        <v>36000</v>
      </c>
      <c r="H906" s="434">
        <v>1</v>
      </c>
      <c r="I906" s="417"/>
      <c r="J906" s="260" t="s">
        <v>89</v>
      </c>
    </row>
    <row r="907" spans="1:10" ht="25" hidden="1" customHeight="1">
      <c r="A907" s="343"/>
      <c r="B907" s="344" t="s">
        <v>1143</v>
      </c>
      <c r="C907" s="345" t="s">
        <v>1140</v>
      </c>
      <c r="D907" s="292" t="s">
        <v>625</v>
      </c>
      <c r="E907" s="293">
        <v>4</v>
      </c>
      <c r="F907" s="293" t="s">
        <v>39</v>
      </c>
      <c r="G907" s="433">
        <v>60000</v>
      </c>
      <c r="H907" s="434">
        <v>1</v>
      </c>
      <c r="I907" s="417"/>
      <c r="J907" s="260" t="s">
        <v>89</v>
      </c>
    </row>
    <row r="908" spans="1:10" ht="25" hidden="1" customHeight="1">
      <c r="A908" s="343"/>
      <c r="B908" s="344" t="s">
        <v>1144</v>
      </c>
      <c r="C908" s="345" t="s">
        <v>1140</v>
      </c>
      <c r="D908" s="292" t="s">
        <v>1117</v>
      </c>
      <c r="E908" s="293">
        <v>5</v>
      </c>
      <c r="F908" s="293" t="s">
        <v>39</v>
      </c>
      <c r="G908" s="433">
        <v>85000</v>
      </c>
      <c r="H908" s="434">
        <v>1</v>
      </c>
      <c r="I908" s="417"/>
      <c r="J908" s="260" t="s">
        <v>89</v>
      </c>
    </row>
    <row r="909" spans="1:10" ht="25" hidden="1" customHeight="1">
      <c r="A909" s="343"/>
      <c r="B909" s="344" t="s">
        <v>1145</v>
      </c>
      <c r="C909" s="345" t="s">
        <v>1140</v>
      </c>
      <c r="D909" s="292" t="s">
        <v>629</v>
      </c>
      <c r="E909" s="293">
        <v>5</v>
      </c>
      <c r="F909" s="293" t="s">
        <v>39</v>
      </c>
      <c r="G909" s="433">
        <v>110000</v>
      </c>
      <c r="H909" s="434">
        <v>1</v>
      </c>
      <c r="I909" s="417"/>
      <c r="J909" s="260" t="s">
        <v>89</v>
      </c>
    </row>
    <row r="910" spans="1:10" ht="25" hidden="1" customHeight="1">
      <c r="A910" s="343"/>
      <c r="B910" s="344" t="s">
        <v>1146</v>
      </c>
      <c r="C910" s="345" t="s">
        <v>1140</v>
      </c>
      <c r="D910" s="292" t="s">
        <v>631</v>
      </c>
      <c r="E910" s="347">
        <f>360/54</f>
        <v>6.666666666666667</v>
      </c>
      <c r="F910" s="293" t="s">
        <v>39</v>
      </c>
      <c r="G910" s="433">
        <v>150000</v>
      </c>
      <c r="H910" s="434">
        <v>1</v>
      </c>
      <c r="I910" s="417"/>
      <c r="J910" s="260" t="s">
        <v>89</v>
      </c>
    </row>
    <row r="911" spans="1:10" ht="25" hidden="1" customHeight="1">
      <c r="A911" s="343"/>
      <c r="B911" s="344" t="s">
        <v>1147</v>
      </c>
      <c r="C911" s="345" t="s">
        <v>1140</v>
      </c>
      <c r="D911" s="292" t="s">
        <v>1086</v>
      </c>
      <c r="E911" s="347">
        <f>360/54</f>
        <v>6.666666666666667</v>
      </c>
      <c r="F911" s="293" t="s">
        <v>39</v>
      </c>
      <c r="G911" s="433">
        <v>220000</v>
      </c>
      <c r="H911" s="434">
        <v>1</v>
      </c>
      <c r="I911" s="417"/>
      <c r="J911" s="260" t="s">
        <v>89</v>
      </c>
    </row>
    <row r="912" spans="1:10" ht="25" hidden="1" customHeight="1">
      <c r="A912" s="343"/>
      <c r="B912" s="344" t="s">
        <v>1148</v>
      </c>
      <c r="C912" s="345" t="s">
        <v>1149</v>
      </c>
      <c r="D912" s="292" t="s">
        <v>63</v>
      </c>
      <c r="E912" s="347"/>
      <c r="F912" s="293" t="s">
        <v>31</v>
      </c>
      <c r="G912" s="433">
        <v>36000</v>
      </c>
      <c r="H912" s="434">
        <v>0.5</v>
      </c>
      <c r="I912" s="417"/>
      <c r="J912" s="260" t="s">
        <v>89</v>
      </c>
    </row>
    <row r="913" spans="1:10" ht="25" hidden="1" customHeight="1">
      <c r="A913" s="343"/>
      <c r="B913" s="344" t="s">
        <v>1150</v>
      </c>
      <c r="C913" s="345" t="s">
        <v>1149</v>
      </c>
      <c r="D913" s="292" t="s">
        <v>478</v>
      </c>
      <c r="E913" s="293">
        <v>4</v>
      </c>
      <c r="F913" s="293" t="s">
        <v>39</v>
      </c>
      <c r="G913" s="433">
        <v>36000</v>
      </c>
      <c r="H913" s="434">
        <v>0.5</v>
      </c>
      <c r="I913" s="417"/>
      <c r="J913" s="260" t="s">
        <v>89</v>
      </c>
    </row>
    <row r="914" spans="1:10" ht="25" hidden="1" customHeight="1">
      <c r="A914" s="343"/>
      <c r="B914" s="344" t="s">
        <v>1151</v>
      </c>
      <c r="C914" s="345" t="s">
        <v>1149</v>
      </c>
      <c r="D914" s="292" t="s">
        <v>625</v>
      </c>
      <c r="E914" s="293">
        <v>4</v>
      </c>
      <c r="F914" s="293" t="s">
        <v>39</v>
      </c>
      <c r="G914" s="433">
        <v>60000</v>
      </c>
      <c r="H914" s="434">
        <v>0.5</v>
      </c>
      <c r="I914" s="417"/>
      <c r="J914" s="260" t="s">
        <v>89</v>
      </c>
    </row>
    <row r="915" spans="1:10" ht="25" hidden="1" customHeight="1">
      <c r="A915" s="343"/>
      <c r="B915" s="344" t="s">
        <v>1152</v>
      </c>
      <c r="C915" s="345" t="s">
        <v>1149</v>
      </c>
      <c r="D915" s="292" t="s">
        <v>1117</v>
      </c>
      <c r="E915" s="293">
        <v>5</v>
      </c>
      <c r="F915" s="293" t="s">
        <v>39</v>
      </c>
      <c r="G915" s="433">
        <v>85000</v>
      </c>
      <c r="H915" s="434">
        <v>0.5</v>
      </c>
      <c r="I915" s="417"/>
      <c r="J915" s="260" t="s">
        <v>89</v>
      </c>
    </row>
    <row r="916" spans="1:10" ht="25" hidden="1" customHeight="1">
      <c r="A916" s="343"/>
      <c r="B916" s="344" t="s">
        <v>1153</v>
      </c>
      <c r="C916" s="345" t="s">
        <v>1149</v>
      </c>
      <c r="D916" s="292" t="s">
        <v>629</v>
      </c>
      <c r="E916" s="293">
        <v>5</v>
      </c>
      <c r="F916" s="293" t="s">
        <v>39</v>
      </c>
      <c r="G916" s="433">
        <v>110000</v>
      </c>
      <c r="H916" s="434">
        <v>0.5</v>
      </c>
      <c r="I916" s="417"/>
      <c r="J916" s="260" t="s">
        <v>89</v>
      </c>
    </row>
    <row r="917" spans="1:10" ht="25" hidden="1" customHeight="1">
      <c r="A917" s="343"/>
      <c r="B917" s="344" t="s">
        <v>1154</v>
      </c>
      <c r="C917" s="345" t="s">
        <v>1149</v>
      </c>
      <c r="D917" s="292" t="s">
        <v>631</v>
      </c>
      <c r="E917" s="347">
        <f>360/54</f>
        <v>6.666666666666667</v>
      </c>
      <c r="F917" s="293" t="s">
        <v>39</v>
      </c>
      <c r="G917" s="433">
        <v>150000</v>
      </c>
      <c r="H917" s="434">
        <v>0.5</v>
      </c>
      <c r="I917" s="417"/>
      <c r="J917" s="260" t="s">
        <v>89</v>
      </c>
    </row>
    <row r="918" spans="1:10" ht="25" hidden="1" customHeight="1">
      <c r="A918" s="343"/>
      <c r="B918" s="344" t="s">
        <v>1155</v>
      </c>
      <c r="C918" s="345" t="s">
        <v>1149</v>
      </c>
      <c r="D918" s="292" t="s">
        <v>1086</v>
      </c>
      <c r="E918" s="347">
        <f>360/54</f>
        <v>6.666666666666667</v>
      </c>
      <c r="F918" s="293" t="s">
        <v>39</v>
      </c>
      <c r="G918" s="433">
        <v>220000</v>
      </c>
      <c r="H918" s="434">
        <v>0.5</v>
      </c>
      <c r="I918" s="417"/>
      <c r="J918" s="260" t="s">
        <v>89</v>
      </c>
    </row>
    <row r="919" spans="1:10" ht="25" hidden="1" customHeight="1">
      <c r="A919" s="274"/>
      <c r="B919" s="319"/>
      <c r="C919" s="418" t="s">
        <v>1156</v>
      </c>
      <c r="D919" s="321"/>
      <c r="E919" s="277"/>
      <c r="F919" s="277"/>
      <c r="G919" s="322"/>
      <c r="H919" s="280"/>
      <c r="I919" s="279"/>
    </row>
    <row r="920" spans="1:10" ht="25" hidden="1" customHeight="1">
      <c r="A920" s="343"/>
      <c r="B920" s="344" t="s">
        <v>1157</v>
      </c>
      <c r="C920" s="345" t="s">
        <v>1158</v>
      </c>
      <c r="D920" s="292" t="s">
        <v>63</v>
      </c>
      <c r="E920" s="347"/>
      <c r="F920" s="293" t="s">
        <v>31</v>
      </c>
      <c r="G920" s="433">
        <v>36000</v>
      </c>
      <c r="H920" s="434">
        <v>1</v>
      </c>
      <c r="I920" s="417"/>
      <c r="J920" s="260" t="s">
        <v>89</v>
      </c>
    </row>
    <row r="921" spans="1:10" ht="25" hidden="1" customHeight="1">
      <c r="A921" s="343"/>
      <c r="B921" s="344" t="s">
        <v>1159</v>
      </c>
      <c r="C921" s="345" t="s">
        <v>1158</v>
      </c>
      <c r="D921" s="292" t="s">
        <v>478</v>
      </c>
      <c r="E921" s="293">
        <v>4</v>
      </c>
      <c r="F921" s="293" t="s">
        <v>39</v>
      </c>
      <c r="G921" s="433">
        <v>36000</v>
      </c>
      <c r="H921" s="434">
        <v>1</v>
      </c>
      <c r="I921" s="417"/>
      <c r="J921" s="260" t="s">
        <v>89</v>
      </c>
    </row>
    <row r="922" spans="1:10" ht="25" hidden="1" customHeight="1">
      <c r="A922" s="343"/>
      <c r="B922" s="344" t="s">
        <v>1160</v>
      </c>
      <c r="C922" s="345" t="s">
        <v>1158</v>
      </c>
      <c r="D922" s="292" t="s">
        <v>625</v>
      </c>
      <c r="E922" s="293">
        <v>4</v>
      </c>
      <c r="F922" s="293" t="s">
        <v>39</v>
      </c>
      <c r="G922" s="433">
        <v>60000</v>
      </c>
      <c r="H922" s="434">
        <v>1</v>
      </c>
      <c r="I922" s="417"/>
      <c r="J922" s="260" t="s">
        <v>89</v>
      </c>
    </row>
    <row r="923" spans="1:10" ht="25" hidden="1" customHeight="1">
      <c r="A923" s="343"/>
      <c r="B923" s="344" t="s">
        <v>1161</v>
      </c>
      <c r="C923" s="345" t="s">
        <v>1158</v>
      </c>
      <c r="D923" s="292" t="s">
        <v>1117</v>
      </c>
      <c r="E923" s="293">
        <v>5</v>
      </c>
      <c r="F923" s="293" t="s">
        <v>39</v>
      </c>
      <c r="G923" s="433">
        <v>85000</v>
      </c>
      <c r="H923" s="434">
        <v>1</v>
      </c>
      <c r="I923" s="417"/>
      <c r="J923" s="260" t="s">
        <v>89</v>
      </c>
    </row>
    <row r="924" spans="1:10" ht="25" hidden="1" customHeight="1">
      <c r="A924" s="343"/>
      <c r="B924" s="344" t="s">
        <v>1162</v>
      </c>
      <c r="C924" s="345" t="s">
        <v>1158</v>
      </c>
      <c r="D924" s="292" t="s">
        <v>629</v>
      </c>
      <c r="E924" s="293">
        <v>5</v>
      </c>
      <c r="F924" s="293" t="s">
        <v>39</v>
      </c>
      <c r="G924" s="433">
        <v>110000</v>
      </c>
      <c r="H924" s="434">
        <v>1</v>
      </c>
      <c r="I924" s="417"/>
      <c r="J924" s="260" t="s">
        <v>89</v>
      </c>
    </row>
    <row r="925" spans="1:10" ht="25" hidden="1" customHeight="1">
      <c r="A925" s="343"/>
      <c r="B925" s="344" t="s">
        <v>1163</v>
      </c>
      <c r="C925" s="345" t="s">
        <v>1158</v>
      </c>
      <c r="D925" s="292" t="s">
        <v>631</v>
      </c>
      <c r="E925" s="347">
        <f>360/54</f>
        <v>6.666666666666667</v>
      </c>
      <c r="F925" s="293" t="s">
        <v>39</v>
      </c>
      <c r="G925" s="433">
        <v>150000</v>
      </c>
      <c r="H925" s="434">
        <v>1</v>
      </c>
      <c r="I925" s="417"/>
      <c r="J925" s="260" t="s">
        <v>89</v>
      </c>
    </row>
    <row r="926" spans="1:10" ht="25" hidden="1" customHeight="1">
      <c r="A926" s="343"/>
      <c r="B926" s="344" t="s">
        <v>1164</v>
      </c>
      <c r="C926" s="345" t="s">
        <v>1158</v>
      </c>
      <c r="D926" s="292" t="s">
        <v>1086</v>
      </c>
      <c r="E926" s="347">
        <f>360/54</f>
        <v>6.666666666666667</v>
      </c>
      <c r="F926" s="293" t="s">
        <v>39</v>
      </c>
      <c r="G926" s="433">
        <v>220000</v>
      </c>
      <c r="H926" s="434">
        <v>1</v>
      </c>
      <c r="I926" s="417"/>
      <c r="J926" s="260" t="s">
        <v>89</v>
      </c>
    </row>
    <row r="927" spans="1:10" ht="25" hidden="1" customHeight="1">
      <c r="A927" s="343"/>
      <c r="B927" s="344" t="s">
        <v>1165</v>
      </c>
      <c r="C927" s="345" t="s">
        <v>1166</v>
      </c>
      <c r="D927" s="292" t="s">
        <v>63</v>
      </c>
      <c r="E927" s="347"/>
      <c r="F927" s="293" t="s">
        <v>31</v>
      </c>
      <c r="G927" s="433">
        <v>36000</v>
      </c>
      <c r="H927" s="434">
        <v>0.5</v>
      </c>
      <c r="I927" s="417"/>
      <c r="J927" s="260" t="s">
        <v>89</v>
      </c>
    </row>
    <row r="928" spans="1:10" ht="25" hidden="1" customHeight="1">
      <c r="A928" s="343"/>
      <c r="B928" s="344" t="s">
        <v>1167</v>
      </c>
      <c r="C928" s="345" t="s">
        <v>1166</v>
      </c>
      <c r="D928" s="292" t="s">
        <v>478</v>
      </c>
      <c r="E928" s="293">
        <v>4</v>
      </c>
      <c r="F928" s="293" t="s">
        <v>39</v>
      </c>
      <c r="G928" s="433">
        <v>36000</v>
      </c>
      <c r="H928" s="434">
        <v>0.5</v>
      </c>
      <c r="I928" s="417"/>
      <c r="J928" s="260" t="s">
        <v>89</v>
      </c>
    </row>
    <row r="929" spans="1:10" ht="25" hidden="1" customHeight="1">
      <c r="A929" s="343"/>
      <c r="B929" s="344" t="s">
        <v>1168</v>
      </c>
      <c r="C929" s="345" t="s">
        <v>1166</v>
      </c>
      <c r="D929" s="292" t="s">
        <v>625</v>
      </c>
      <c r="E929" s="293">
        <v>4</v>
      </c>
      <c r="F929" s="293" t="s">
        <v>39</v>
      </c>
      <c r="G929" s="433">
        <v>60000</v>
      </c>
      <c r="H929" s="434">
        <v>0.5</v>
      </c>
      <c r="I929" s="417"/>
      <c r="J929" s="260" t="s">
        <v>89</v>
      </c>
    </row>
    <row r="930" spans="1:10" ht="25" hidden="1" customHeight="1">
      <c r="A930" s="343"/>
      <c r="B930" s="344" t="s">
        <v>1169</v>
      </c>
      <c r="C930" s="345" t="s">
        <v>1166</v>
      </c>
      <c r="D930" s="292" t="s">
        <v>1117</v>
      </c>
      <c r="E930" s="293">
        <v>5</v>
      </c>
      <c r="F930" s="293" t="s">
        <v>39</v>
      </c>
      <c r="G930" s="433">
        <v>85000</v>
      </c>
      <c r="H930" s="434">
        <v>0.5</v>
      </c>
      <c r="I930" s="417"/>
      <c r="J930" s="260" t="s">
        <v>89</v>
      </c>
    </row>
    <row r="931" spans="1:10" ht="25" hidden="1" customHeight="1">
      <c r="A931" s="343"/>
      <c r="B931" s="344" t="s">
        <v>1170</v>
      </c>
      <c r="C931" s="345" t="s">
        <v>1166</v>
      </c>
      <c r="D931" s="292" t="s">
        <v>629</v>
      </c>
      <c r="E931" s="293">
        <v>5</v>
      </c>
      <c r="F931" s="293" t="s">
        <v>39</v>
      </c>
      <c r="G931" s="433">
        <v>110000</v>
      </c>
      <c r="H931" s="434">
        <v>0.5</v>
      </c>
      <c r="I931" s="417"/>
      <c r="J931" s="260" t="s">
        <v>89</v>
      </c>
    </row>
    <row r="932" spans="1:10" ht="25" hidden="1" customHeight="1">
      <c r="A932" s="343"/>
      <c r="B932" s="344" t="s">
        <v>1171</v>
      </c>
      <c r="C932" s="345" t="s">
        <v>1166</v>
      </c>
      <c r="D932" s="292" t="s">
        <v>631</v>
      </c>
      <c r="E932" s="347">
        <f>360/54</f>
        <v>6.666666666666667</v>
      </c>
      <c r="F932" s="293" t="s">
        <v>39</v>
      </c>
      <c r="G932" s="433">
        <v>150000</v>
      </c>
      <c r="H932" s="434">
        <v>0.5</v>
      </c>
      <c r="I932" s="417"/>
      <c r="J932" s="260" t="s">
        <v>89</v>
      </c>
    </row>
    <row r="933" spans="1:10" ht="25" hidden="1" customHeight="1">
      <c r="A933" s="343"/>
      <c r="B933" s="344" t="s">
        <v>1172</v>
      </c>
      <c r="C933" s="345" t="s">
        <v>1166</v>
      </c>
      <c r="D933" s="292" t="s">
        <v>1086</v>
      </c>
      <c r="E933" s="347">
        <f>360/54</f>
        <v>6.666666666666667</v>
      </c>
      <c r="F933" s="293" t="s">
        <v>39</v>
      </c>
      <c r="G933" s="433">
        <v>220000</v>
      </c>
      <c r="H933" s="434">
        <v>0.5</v>
      </c>
      <c r="I933" s="417"/>
      <c r="J933" s="260" t="s">
        <v>89</v>
      </c>
    </row>
    <row r="934" spans="1:10" ht="25" hidden="1" customHeight="1">
      <c r="A934" s="274"/>
      <c r="B934" s="319"/>
      <c r="C934" s="418" t="s">
        <v>1173</v>
      </c>
      <c r="D934" s="321"/>
      <c r="E934" s="277"/>
      <c r="F934" s="277"/>
      <c r="G934" s="322"/>
      <c r="H934" s="280"/>
      <c r="I934" s="279"/>
    </row>
    <row r="935" spans="1:10" ht="25" hidden="1" customHeight="1">
      <c r="A935" s="343"/>
      <c r="B935" s="344" t="s">
        <v>1174</v>
      </c>
      <c r="C935" s="345" t="s">
        <v>1175</v>
      </c>
      <c r="D935" s="292" t="s">
        <v>63</v>
      </c>
      <c r="E935" s="347"/>
      <c r="F935" s="293" t="s">
        <v>39</v>
      </c>
      <c r="G935" s="437">
        <v>36000</v>
      </c>
      <c r="H935" s="434">
        <v>1</v>
      </c>
      <c r="I935" s="417"/>
    </row>
    <row r="936" spans="1:10" ht="25" hidden="1" customHeight="1">
      <c r="A936" s="343"/>
      <c r="B936" s="344" t="s">
        <v>1176</v>
      </c>
      <c r="C936" s="345" t="s">
        <v>1175</v>
      </c>
      <c r="D936" s="292" t="s">
        <v>478</v>
      </c>
      <c r="E936" s="347">
        <f>360/9</f>
        <v>40</v>
      </c>
      <c r="F936" s="293" t="s">
        <v>39</v>
      </c>
      <c r="G936" s="437">
        <v>60000</v>
      </c>
      <c r="H936" s="434">
        <v>1</v>
      </c>
      <c r="I936" s="417"/>
    </row>
    <row r="937" spans="1:10" ht="25" hidden="1" customHeight="1">
      <c r="A937" s="343"/>
      <c r="B937" s="344" t="s">
        <v>1177</v>
      </c>
      <c r="C937" s="345" t="s">
        <v>1175</v>
      </c>
      <c r="D937" s="292" t="s">
        <v>625</v>
      </c>
      <c r="E937" s="347">
        <f>360/9</f>
        <v>40</v>
      </c>
      <c r="F937" s="293" t="s">
        <v>39</v>
      </c>
      <c r="G937" s="437">
        <v>90000</v>
      </c>
      <c r="H937" s="434">
        <v>1</v>
      </c>
      <c r="I937" s="417"/>
    </row>
    <row r="938" spans="1:10" ht="25" hidden="1" customHeight="1">
      <c r="A938" s="343"/>
      <c r="B938" s="344" t="s">
        <v>1178</v>
      </c>
      <c r="C938" s="345" t="s">
        <v>1175</v>
      </c>
      <c r="D938" s="292" t="s">
        <v>1117</v>
      </c>
      <c r="E938" s="347">
        <f>360/72</f>
        <v>5</v>
      </c>
      <c r="F938" s="293" t="s">
        <v>39</v>
      </c>
      <c r="G938" s="437">
        <v>120000</v>
      </c>
      <c r="H938" s="434">
        <v>1</v>
      </c>
      <c r="I938" s="417"/>
    </row>
    <row r="939" spans="1:10" ht="25" hidden="1" customHeight="1">
      <c r="A939" s="343"/>
      <c r="B939" s="344" t="s">
        <v>1179</v>
      </c>
      <c r="C939" s="345" t="s">
        <v>1175</v>
      </c>
      <c r="D939" s="292" t="s">
        <v>629</v>
      </c>
      <c r="E939" s="347">
        <f>360/72</f>
        <v>5</v>
      </c>
      <c r="F939" s="293" t="s">
        <v>39</v>
      </c>
      <c r="G939" s="437">
        <v>150000</v>
      </c>
      <c r="H939" s="434">
        <v>1</v>
      </c>
      <c r="I939" s="417"/>
    </row>
    <row r="940" spans="1:10" ht="25" hidden="1" customHeight="1">
      <c r="A940" s="343"/>
      <c r="B940" s="344" t="s">
        <v>1180</v>
      </c>
      <c r="C940" s="345" t="s">
        <v>1175</v>
      </c>
      <c r="D940" s="292" t="s">
        <v>1120</v>
      </c>
      <c r="E940" s="347">
        <f>360/54</f>
        <v>6.666666666666667</v>
      </c>
      <c r="F940" s="293" t="s">
        <v>39</v>
      </c>
      <c r="G940" s="437">
        <v>180000</v>
      </c>
      <c r="H940" s="434">
        <v>1</v>
      </c>
      <c r="I940" s="417"/>
    </row>
    <row r="941" spans="1:10" ht="25" hidden="1" customHeight="1">
      <c r="A941" s="343"/>
      <c r="B941" s="344" t="s">
        <v>1181</v>
      </c>
      <c r="C941" s="345" t="s">
        <v>1175</v>
      </c>
      <c r="D941" s="292" t="s">
        <v>1122</v>
      </c>
      <c r="E941" s="347">
        <f>360/54</f>
        <v>6.666666666666667</v>
      </c>
      <c r="F941" s="293" t="s">
        <v>39</v>
      </c>
      <c r="G941" s="437">
        <v>225000</v>
      </c>
      <c r="H941" s="434">
        <v>1</v>
      </c>
      <c r="I941" s="417"/>
    </row>
    <row r="942" spans="1:10" ht="25" hidden="1" customHeight="1">
      <c r="A942" s="343"/>
      <c r="B942" s="344" t="s">
        <v>1182</v>
      </c>
      <c r="C942" s="345" t="s">
        <v>1183</v>
      </c>
      <c r="D942" s="292" t="s">
        <v>629</v>
      </c>
      <c r="E942" s="347">
        <f>360/72</f>
        <v>5</v>
      </c>
      <c r="F942" s="293" t="s">
        <v>39</v>
      </c>
      <c r="G942" s="437">
        <v>150000</v>
      </c>
      <c r="H942" s="434">
        <v>0.5</v>
      </c>
      <c r="I942" s="417"/>
    </row>
    <row r="943" spans="1:10" ht="25" hidden="1" customHeight="1">
      <c r="A943" s="274"/>
      <c r="B943" s="319"/>
      <c r="C943" s="418" t="s">
        <v>1184</v>
      </c>
      <c r="D943" s="321"/>
      <c r="E943" s="277"/>
      <c r="F943" s="277"/>
      <c r="G943" s="322"/>
      <c r="H943" s="280"/>
      <c r="I943" s="279"/>
    </row>
    <row r="944" spans="1:10" ht="25" hidden="1" customHeight="1">
      <c r="A944" s="343"/>
      <c r="B944" s="344" t="s">
        <v>1185</v>
      </c>
      <c r="C944" s="345" t="s">
        <v>1186</v>
      </c>
      <c r="D944" s="292" t="s">
        <v>63</v>
      </c>
      <c r="E944" s="347"/>
      <c r="F944" s="293" t="s">
        <v>39</v>
      </c>
      <c r="G944" s="437">
        <v>36000</v>
      </c>
      <c r="H944" s="434">
        <v>1</v>
      </c>
      <c r="I944" s="417"/>
    </row>
    <row r="945" spans="1:9" ht="25" hidden="1" customHeight="1">
      <c r="A945" s="343"/>
      <c r="B945" s="344" t="s">
        <v>1187</v>
      </c>
      <c r="C945" s="345" t="s">
        <v>1186</v>
      </c>
      <c r="D945" s="292" t="s">
        <v>478</v>
      </c>
      <c r="E945" s="347">
        <f>360/90</f>
        <v>4</v>
      </c>
      <c r="F945" s="293" t="s">
        <v>39</v>
      </c>
      <c r="G945" s="437">
        <v>60000</v>
      </c>
      <c r="H945" s="434">
        <v>1</v>
      </c>
      <c r="I945" s="417"/>
    </row>
    <row r="946" spans="1:9" ht="25" hidden="1" customHeight="1">
      <c r="A946" s="343"/>
      <c r="B946" s="344" t="s">
        <v>1188</v>
      </c>
      <c r="C946" s="345" t="s">
        <v>1186</v>
      </c>
      <c r="D946" s="292" t="s">
        <v>625</v>
      </c>
      <c r="E946" s="347">
        <f>360/90</f>
        <v>4</v>
      </c>
      <c r="F946" s="293" t="s">
        <v>39</v>
      </c>
      <c r="G946" s="437">
        <v>90000</v>
      </c>
      <c r="H946" s="434">
        <v>1</v>
      </c>
      <c r="I946" s="417"/>
    </row>
    <row r="947" spans="1:9" ht="25" hidden="1" customHeight="1">
      <c r="A947" s="343"/>
      <c r="B947" s="344" t="s">
        <v>1189</v>
      </c>
      <c r="C947" s="345" t="s">
        <v>1186</v>
      </c>
      <c r="D947" s="292" t="s">
        <v>1117</v>
      </c>
      <c r="E947" s="347">
        <f>360/72</f>
        <v>5</v>
      </c>
      <c r="F947" s="293" t="s">
        <v>39</v>
      </c>
      <c r="G947" s="437">
        <v>120000</v>
      </c>
      <c r="H947" s="434">
        <v>1</v>
      </c>
      <c r="I947" s="417"/>
    </row>
    <row r="948" spans="1:9" ht="25" hidden="1" customHeight="1">
      <c r="A948" s="343"/>
      <c r="B948" s="344" t="s">
        <v>1190</v>
      </c>
      <c r="C948" s="345" t="s">
        <v>1186</v>
      </c>
      <c r="D948" s="292" t="s">
        <v>629</v>
      </c>
      <c r="E948" s="347">
        <f>360/72</f>
        <v>5</v>
      </c>
      <c r="F948" s="293" t="s">
        <v>39</v>
      </c>
      <c r="G948" s="437">
        <v>150000</v>
      </c>
      <c r="H948" s="434">
        <v>1</v>
      </c>
      <c r="I948" s="417"/>
    </row>
    <row r="949" spans="1:9" ht="25" hidden="1" customHeight="1">
      <c r="A949" s="343"/>
      <c r="B949" s="344" t="s">
        <v>1191</v>
      </c>
      <c r="C949" s="345" t="s">
        <v>1186</v>
      </c>
      <c r="D949" s="292" t="s">
        <v>1120</v>
      </c>
      <c r="E949" s="347">
        <f>360/54</f>
        <v>6.666666666666667</v>
      </c>
      <c r="F949" s="293" t="s">
        <v>39</v>
      </c>
      <c r="G949" s="437">
        <v>180000</v>
      </c>
      <c r="H949" s="434">
        <v>1</v>
      </c>
      <c r="I949" s="417"/>
    </row>
    <row r="950" spans="1:9" ht="25" hidden="1" customHeight="1">
      <c r="A950" s="343"/>
      <c r="B950" s="344" t="s">
        <v>1192</v>
      </c>
      <c r="C950" s="345" t="s">
        <v>1186</v>
      </c>
      <c r="D950" s="292" t="s">
        <v>1122</v>
      </c>
      <c r="E950" s="347">
        <f>360/54</f>
        <v>6.666666666666667</v>
      </c>
      <c r="F950" s="293" t="s">
        <v>39</v>
      </c>
      <c r="G950" s="437">
        <v>225000</v>
      </c>
      <c r="H950" s="434">
        <v>1</v>
      </c>
      <c r="I950" s="417"/>
    </row>
    <row r="951" spans="1:9" ht="25" hidden="1" customHeight="1">
      <c r="A951" s="343"/>
      <c r="B951" s="344" t="s">
        <v>1193</v>
      </c>
      <c r="C951" s="345" t="s">
        <v>1194</v>
      </c>
      <c r="D951" s="292" t="s">
        <v>63</v>
      </c>
      <c r="E951" s="347"/>
      <c r="F951" s="293" t="s">
        <v>39</v>
      </c>
      <c r="G951" s="437">
        <v>36000</v>
      </c>
      <c r="H951" s="434">
        <v>0.5</v>
      </c>
      <c r="I951" s="417"/>
    </row>
    <row r="952" spans="1:9" ht="25" hidden="1" customHeight="1">
      <c r="A952" s="343"/>
      <c r="B952" s="344" t="s">
        <v>1195</v>
      </c>
      <c r="C952" s="345" t="s">
        <v>1194</v>
      </c>
      <c r="D952" s="292" t="s">
        <v>478</v>
      </c>
      <c r="E952" s="347">
        <f>360/90</f>
        <v>4</v>
      </c>
      <c r="F952" s="293" t="s">
        <v>39</v>
      </c>
      <c r="G952" s="437">
        <v>60000</v>
      </c>
      <c r="H952" s="434">
        <v>0.5</v>
      </c>
      <c r="I952" s="417"/>
    </row>
    <row r="953" spans="1:9" ht="25" hidden="1" customHeight="1">
      <c r="A953" s="343"/>
      <c r="B953" s="344" t="s">
        <v>1196</v>
      </c>
      <c r="C953" s="345" t="s">
        <v>1194</v>
      </c>
      <c r="D953" s="292" t="s">
        <v>625</v>
      </c>
      <c r="E953" s="347">
        <f>360/90</f>
        <v>4</v>
      </c>
      <c r="F953" s="293" t="s">
        <v>39</v>
      </c>
      <c r="G953" s="437">
        <v>90000</v>
      </c>
      <c r="H953" s="434">
        <v>0.5</v>
      </c>
      <c r="I953" s="417"/>
    </row>
    <row r="954" spans="1:9" ht="25" hidden="1" customHeight="1">
      <c r="A954" s="343"/>
      <c r="B954" s="344" t="s">
        <v>1197</v>
      </c>
      <c r="C954" s="345" t="s">
        <v>1194</v>
      </c>
      <c r="D954" s="292" t="s">
        <v>1117</v>
      </c>
      <c r="E954" s="347">
        <f>360/72</f>
        <v>5</v>
      </c>
      <c r="F954" s="293" t="s">
        <v>39</v>
      </c>
      <c r="G954" s="437">
        <v>120000</v>
      </c>
      <c r="H954" s="434">
        <v>0.5</v>
      </c>
      <c r="I954" s="417"/>
    </row>
    <row r="955" spans="1:9" ht="25" hidden="1" customHeight="1">
      <c r="A955" s="343"/>
      <c r="B955" s="344" t="s">
        <v>1198</v>
      </c>
      <c r="C955" s="345" t="s">
        <v>1194</v>
      </c>
      <c r="D955" s="292" t="s">
        <v>629</v>
      </c>
      <c r="E955" s="347">
        <f>360/72</f>
        <v>5</v>
      </c>
      <c r="F955" s="293" t="s">
        <v>39</v>
      </c>
      <c r="G955" s="437">
        <v>150000</v>
      </c>
      <c r="H955" s="434">
        <v>0.5</v>
      </c>
      <c r="I955" s="417"/>
    </row>
    <row r="956" spans="1:9" ht="25" hidden="1" customHeight="1">
      <c r="A956" s="343"/>
      <c r="B956" s="344" t="s">
        <v>1199</v>
      </c>
      <c r="C956" s="345" t="s">
        <v>1194</v>
      </c>
      <c r="D956" s="292" t="s">
        <v>1120</v>
      </c>
      <c r="E956" s="347">
        <f>360/54</f>
        <v>6.666666666666667</v>
      </c>
      <c r="F956" s="293" t="s">
        <v>39</v>
      </c>
      <c r="G956" s="437">
        <v>180000</v>
      </c>
      <c r="H956" s="434">
        <v>0.5</v>
      </c>
      <c r="I956" s="417"/>
    </row>
    <row r="957" spans="1:9" ht="25" hidden="1" customHeight="1">
      <c r="A957" s="343"/>
      <c r="B957" s="344" t="s">
        <v>1200</v>
      </c>
      <c r="C957" s="345" t="s">
        <v>1194</v>
      </c>
      <c r="D957" s="292" t="s">
        <v>1122</v>
      </c>
      <c r="E957" s="347">
        <f>360/54</f>
        <v>6.666666666666667</v>
      </c>
      <c r="F957" s="293" t="s">
        <v>39</v>
      </c>
      <c r="G957" s="437">
        <v>225000</v>
      </c>
      <c r="H957" s="434">
        <v>0.5</v>
      </c>
      <c r="I957" s="417"/>
    </row>
    <row r="958" spans="1:9" ht="25" hidden="1" customHeight="1">
      <c r="A958" s="274"/>
      <c r="B958" s="319"/>
      <c r="C958" s="418" t="s">
        <v>1201</v>
      </c>
      <c r="D958" s="321"/>
      <c r="E958" s="277"/>
      <c r="F958" s="277"/>
      <c r="G958" s="322"/>
      <c r="H958" s="280"/>
      <c r="I958" s="279"/>
    </row>
    <row r="959" spans="1:9" ht="25" hidden="1" customHeight="1">
      <c r="A959" s="438"/>
      <c r="B959" s="439" t="s">
        <v>1202</v>
      </c>
      <c r="C959" s="440" t="s">
        <v>1203</v>
      </c>
      <c r="D959" s="441"/>
      <c r="E959" s="442"/>
      <c r="F959" s="285" t="s">
        <v>31</v>
      </c>
      <c r="G959" s="443">
        <v>10000</v>
      </c>
      <c r="H959" s="444">
        <v>1</v>
      </c>
      <c r="I959" s="445"/>
    </row>
    <row r="960" spans="1:9" ht="25" hidden="1" customHeight="1">
      <c r="A960" s="281"/>
      <c r="B960" s="282" t="s">
        <v>1204</v>
      </c>
      <c r="C960" s="338" t="s">
        <v>48</v>
      </c>
      <c r="D960" s="446"/>
      <c r="E960" s="285"/>
      <c r="F960" s="285" t="s">
        <v>31</v>
      </c>
      <c r="G960" s="447">
        <v>10000</v>
      </c>
      <c r="H960" s="448">
        <v>1</v>
      </c>
      <c r="I960" s="449"/>
    </row>
    <row r="961" spans="1:9" ht="25" hidden="1" customHeight="1">
      <c r="A961" s="281"/>
      <c r="B961" s="282" t="s">
        <v>1205</v>
      </c>
      <c r="C961" s="338" t="s">
        <v>1206</v>
      </c>
      <c r="D961" s="446"/>
      <c r="E961" s="285"/>
      <c r="F961" s="285" t="s">
        <v>31</v>
      </c>
      <c r="G961" s="447">
        <v>5000</v>
      </c>
      <c r="H961" s="448">
        <v>1</v>
      </c>
      <c r="I961" s="449"/>
    </row>
    <row r="962" spans="1:9" ht="25" hidden="1" customHeight="1">
      <c r="A962" s="289"/>
      <c r="B962" s="290" t="s">
        <v>1207</v>
      </c>
      <c r="C962" s="339" t="s">
        <v>1208</v>
      </c>
      <c r="D962" s="450"/>
      <c r="E962" s="293"/>
      <c r="F962" s="293" t="s">
        <v>31</v>
      </c>
      <c r="G962" s="447">
        <v>5000</v>
      </c>
      <c r="H962" s="434">
        <v>1</v>
      </c>
      <c r="I962" s="417"/>
    </row>
    <row r="963" spans="1:9" ht="25" hidden="1" customHeight="1">
      <c r="A963" s="289"/>
      <c r="B963" s="290" t="s">
        <v>1209</v>
      </c>
      <c r="C963" s="339" t="s">
        <v>1210</v>
      </c>
      <c r="D963" s="450"/>
      <c r="E963" s="293"/>
      <c r="F963" s="293" t="s">
        <v>31</v>
      </c>
      <c r="G963" s="447">
        <v>5000</v>
      </c>
      <c r="H963" s="434">
        <v>1</v>
      </c>
      <c r="I963" s="417"/>
    </row>
    <row r="964" spans="1:9" ht="25" hidden="1" customHeight="1">
      <c r="A964" s="289"/>
      <c r="B964" s="290" t="s">
        <v>1211</v>
      </c>
      <c r="C964" s="339" t="s">
        <v>1212</v>
      </c>
      <c r="D964" s="450"/>
      <c r="E964" s="293"/>
      <c r="F964" s="293" t="s">
        <v>31</v>
      </c>
      <c r="G964" s="447">
        <v>5000</v>
      </c>
      <c r="H964" s="434">
        <v>1</v>
      </c>
      <c r="I964" s="417"/>
    </row>
    <row r="965" spans="1:9" ht="25" hidden="1" customHeight="1">
      <c r="A965" s="289"/>
      <c r="B965" s="290" t="s">
        <v>1213</v>
      </c>
      <c r="C965" s="339" t="s">
        <v>1214</v>
      </c>
      <c r="D965" s="450"/>
      <c r="E965" s="293"/>
      <c r="F965" s="293" t="s">
        <v>31</v>
      </c>
      <c r="G965" s="447">
        <v>5000</v>
      </c>
      <c r="H965" s="434">
        <v>1</v>
      </c>
      <c r="I965" s="417"/>
    </row>
    <row r="966" spans="1:9" ht="25" hidden="1" customHeight="1">
      <c r="A966" s="289"/>
      <c r="B966" s="290" t="s">
        <v>1215</v>
      </c>
      <c r="C966" s="339" t="s">
        <v>1216</v>
      </c>
      <c r="D966" s="450"/>
      <c r="E966" s="293"/>
      <c r="F966" s="293" t="s">
        <v>31</v>
      </c>
      <c r="G966" s="447">
        <v>5000</v>
      </c>
      <c r="H966" s="434">
        <v>1</v>
      </c>
      <c r="I966" s="417"/>
    </row>
    <row r="967" spans="1:9" ht="25" hidden="1" customHeight="1">
      <c r="A967" s="343"/>
      <c r="B967" s="344" t="s">
        <v>1217</v>
      </c>
      <c r="C967" s="345" t="s">
        <v>1218</v>
      </c>
      <c r="D967" s="436"/>
      <c r="E967" s="347"/>
      <c r="F967" s="293" t="s">
        <v>31</v>
      </c>
      <c r="G967" s="447">
        <v>5000</v>
      </c>
      <c r="H967" s="434">
        <v>1</v>
      </c>
      <c r="I967" s="417"/>
    </row>
    <row r="968" spans="1:9" ht="25" hidden="1" customHeight="1">
      <c r="A968" s="296"/>
      <c r="B968" s="297" t="s">
        <v>1219</v>
      </c>
      <c r="C968" s="340" t="s">
        <v>1220</v>
      </c>
      <c r="D968" s="451"/>
      <c r="E968" s="300"/>
      <c r="F968" s="300" t="s">
        <v>31</v>
      </c>
      <c r="G968" s="447">
        <v>5000</v>
      </c>
      <c r="H968" s="434">
        <v>1</v>
      </c>
      <c r="I968" s="417"/>
    </row>
    <row r="969" spans="1:9" ht="25" hidden="1" customHeight="1">
      <c r="A969" s="296"/>
      <c r="B969" s="297" t="s">
        <v>1221</v>
      </c>
      <c r="C969" s="340" t="s">
        <v>1222</v>
      </c>
      <c r="D969" s="451"/>
      <c r="E969" s="300"/>
      <c r="F969" s="300" t="s">
        <v>31</v>
      </c>
      <c r="G969" s="447">
        <v>5000</v>
      </c>
      <c r="H969" s="434">
        <v>1</v>
      </c>
      <c r="I969" s="417"/>
    </row>
    <row r="970" spans="1:9" ht="25" hidden="1" customHeight="1">
      <c r="A970" s="296"/>
      <c r="B970" s="297" t="s">
        <v>1223</v>
      </c>
      <c r="C970" s="340" t="s">
        <v>1224</v>
      </c>
      <c r="D970" s="451"/>
      <c r="E970" s="300"/>
      <c r="F970" s="300" t="s">
        <v>31</v>
      </c>
      <c r="G970" s="447">
        <v>5000</v>
      </c>
      <c r="H970" s="434">
        <v>1</v>
      </c>
      <c r="I970" s="417"/>
    </row>
    <row r="971" spans="1:9" ht="25" hidden="1" customHeight="1">
      <c r="A971" s="296"/>
      <c r="B971" s="297" t="s">
        <v>1225</v>
      </c>
      <c r="C971" s="340" t="s">
        <v>1226</v>
      </c>
      <c r="D971" s="451"/>
      <c r="E971" s="300"/>
      <c r="F971" s="300" t="s">
        <v>31</v>
      </c>
      <c r="G971" s="447">
        <v>5000</v>
      </c>
      <c r="H971" s="434">
        <v>1</v>
      </c>
      <c r="I971" s="417"/>
    </row>
    <row r="972" spans="1:9" ht="25" hidden="1" customHeight="1">
      <c r="A972" s="296"/>
      <c r="B972" s="297" t="s">
        <v>1227</v>
      </c>
      <c r="C972" s="340" t="s">
        <v>1228</v>
      </c>
      <c r="D972" s="451"/>
      <c r="E972" s="300"/>
      <c r="F972" s="300" t="s">
        <v>31</v>
      </c>
      <c r="G972" s="447">
        <v>5000</v>
      </c>
      <c r="H972" s="434">
        <v>1</v>
      </c>
      <c r="I972" s="417"/>
    </row>
    <row r="973" spans="1:9" ht="25" hidden="1" customHeight="1">
      <c r="A973" s="296"/>
      <c r="B973" s="297" t="s">
        <v>1229</v>
      </c>
      <c r="C973" s="340" t="s">
        <v>1230</v>
      </c>
      <c r="D973" s="451"/>
      <c r="E973" s="300"/>
      <c r="F973" s="300" t="s">
        <v>31</v>
      </c>
      <c r="G973" s="447">
        <v>5000</v>
      </c>
      <c r="H973" s="434">
        <v>1</v>
      </c>
      <c r="I973" s="417"/>
    </row>
    <row r="974" spans="1:9" ht="25" hidden="1" customHeight="1">
      <c r="A974" s="296"/>
      <c r="B974" s="297" t="s">
        <v>1231</v>
      </c>
      <c r="C974" s="340" t="s">
        <v>1232</v>
      </c>
      <c r="D974" s="451"/>
      <c r="E974" s="300"/>
      <c r="F974" s="300" t="s">
        <v>31</v>
      </c>
      <c r="G974" s="447">
        <v>5000</v>
      </c>
      <c r="H974" s="434">
        <v>1</v>
      </c>
      <c r="I974" s="417"/>
    </row>
    <row r="975" spans="1:9" ht="25" hidden="1" customHeight="1">
      <c r="A975" s="296"/>
      <c r="B975" s="297" t="s">
        <v>1233</v>
      </c>
      <c r="C975" s="340" t="s">
        <v>1234</v>
      </c>
      <c r="D975" s="451"/>
      <c r="E975" s="300"/>
      <c r="F975" s="300" t="s">
        <v>31</v>
      </c>
      <c r="G975" s="447">
        <v>5000</v>
      </c>
      <c r="H975" s="434">
        <v>1</v>
      </c>
      <c r="I975" s="417"/>
    </row>
    <row r="976" spans="1:9" ht="25" hidden="1" customHeight="1">
      <c r="A976" s="296"/>
      <c r="B976" s="297" t="s">
        <v>1235</v>
      </c>
      <c r="C976" s="340" t="s">
        <v>1236</v>
      </c>
      <c r="D976" s="451"/>
      <c r="E976" s="300"/>
      <c r="F976" s="300" t="s">
        <v>31</v>
      </c>
      <c r="G976" s="447">
        <v>5000</v>
      </c>
      <c r="H976" s="434">
        <v>1</v>
      </c>
      <c r="I976" s="417"/>
    </row>
    <row r="977" spans="1:9" ht="25" hidden="1" customHeight="1">
      <c r="A977" s="296"/>
      <c r="B977" s="297" t="s">
        <v>1237</v>
      </c>
      <c r="C977" s="340" t="s">
        <v>1238</v>
      </c>
      <c r="D977" s="451"/>
      <c r="E977" s="300"/>
      <c r="F977" s="300" t="s">
        <v>31</v>
      </c>
      <c r="G977" s="447">
        <v>5000</v>
      </c>
      <c r="H977" s="434">
        <v>1</v>
      </c>
      <c r="I977" s="417"/>
    </row>
    <row r="978" spans="1:9" ht="25" hidden="1" customHeight="1">
      <c r="A978" s="296"/>
      <c r="B978" s="297" t="s">
        <v>1239</v>
      </c>
      <c r="C978" s="340" t="s">
        <v>1240</v>
      </c>
      <c r="D978" s="451"/>
      <c r="E978" s="300"/>
      <c r="F978" s="300" t="s">
        <v>31</v>
      </c>
      <c r="G978" s="447">
        <v>5000</v>
      </c>
      <c r="H978" s="434">
        <v>1</v>
      </c>
      <c r="I978" s="417"/>
    </row>
    <row r="979" spans="1:9" ht="25" hidden="1" customHeight="1">
      <c r="A979" s="296"/>
      <c r="B979" s="297" t="s">
        <v>1241</v>
      </c>
      <c r="C979" s="340" t="s">
        <v>1242</v>
      </c>
      <c r="D979" s="451"/>
      <c r="E979" s="300"/>
      <c r="F979" s="300" t="s">
        <v>31</v>
      </c>
      <c r="G979" s="447">
        <v>5000</v>
      </c>
      <c r="H979" s="434">
        <v>1</v>
      </c>
      <c r="I979" s="417"/>
    </row>
    <row r="980" spans="1:9" ht="25" hidden="1" customHeight="1">
      <c r="A980" s="296"/>
      <c r="B980" s="297" t="s">
        <v>1243</v>
      </c>
      <c r="C980" s="340" t="s">
        <v>1244</v>
      </c>
      <c r="D980" s="451"/>
      <c r="E980" s="300"/>
      <c r="F980" s="300" t="s">
        <v>31</v>
      </c>
      <c r="G980" s="447">
        <v>5000</v>
      </c>
      <c r="H980" s="434">
        <v>1</v>
      </c>
      <c r="I980" s="417"/>
    </row>
    <row r="981" spans="1:9" ht="25" hidden="1" customHeight="1">
      <c r="A981" s="296"/>
      <c r="B981" s="297" t="s">
        <v>1245</v>
      </c>
      <c r="C981" s="340" t="s">
        <v>1246</v>
      </c>
      <c r="D981" s="451"/>
      <c r="E981" s="300"/>
      <c r="F981" s="300" t="s">
        <v>31</v>
      </c>
      <c r="G981" s="447">
        <v>5000</v>
      </c>
      <c r="H981" s="434">
        <v>1</v>
      </c>
      <c r="I981" s="417"/>
    </row>
    <row r="982" spans="1:9" ht="25" hidden="1" customHeight="1">
      <c r="A982" s="296"/>
      <c r="B982" s="297" t="s">
        <v>1247</v>
      </c>
      <c r="C982" s="340" t="s">
        <v>1248</v>
      </c>
      <c r="D982" s="451"/>
      <c r="E982" s="300"/>
      <c r="F982" s="300" t="s">
        <v>31</v>
      </c>
      <c r="G982" s="447">
        <v>5000</v>
      </c>
      <c r="H982" s="434">
        <v>1</v>
      </c>
      <c r="I982" s="417"/>
    </row>
    <row r="983" spans="1:9" ht="25" hidden="1" customHeight="1">
      <c r="A983" s="296"/>
      <c r="B983" s="297" t="s">
        <v>1249</v>
      </c>
      <c r="C983" s="340" t="s">
        <v>1250</v>
      </c>
      <c r="D983" s="451"/>
      <c r="E983" s="300"/>
      <c r="F983" s="300" t="s">
        <v>31</v>
      </c>
      <c r="G983" s="447">
        <v>5000</v>
      </c>
      <c r="H983" s="434">
        <v>1</v>
      </c>
      <c r="I983" s="417"/>
    </row>
    <row r="984" spans="1:9" ht="25" hidden="1" customHeight="1">
      <c r="A984" s="296"/>
      <c r="B984" s="297" t="s">
        <v>1251</v>
      </c>
      <c r="C984" s="340" t="s">
        <v>1252</v>
      </c>
      <c r="D984" s="451"/>
      <c r="E984" s="300"/>
      <c r="F984" s="300" t="s">
        <v>31</v>
      </c>
      <c r="G984" s="452">
        <v>20000</v>
      </c>
      <c r="H984" s="434">
        <v>1</v>
      </c>
      <c r="I984" s="417"/>
    </row>
    <row r="985" spans="1:9" ht="25" hidden="1" customHeight="1">
      <c r="A985" s="296"/>
      <c r="B985" s="297" t="s">
        <v>1253</v>
      </c>
      <c r="C985" s="340" t="s">
        <v>1254</v>
      </c>
      <c r="D985" s="451"/>
      <c r="E985" s="300"/>
      <c r="F985" s="300" t="s">
        <v>31</v>
      </c>
      <c r="G985" s="452">
        <v>20000</v>
      </c>
      <c r="H985" s="434">
        <v>1</v>
      </c>
      <c r="I985" s="417"/>
    </row>
    <row r="986" spans="1:9" ht="25" hidden="1" customHeight="1">
      <c r="A986" s="296"/>
      <c r="B986" s="297" t="s">
        <v>1255</v>
      </c>
      <c r="C986" s="340" t="s">
        <v>1256</v>
      </c>
      <c r="D986" s="451"/>
      <c r="E986" s="300"/>
      <c r="F986" s="300" t="s">
        <v>31</v>
      </c>
      <c r="G986" s="452">
        <v>20000</v>
      </c>
      <c r="H986" s="434">
        <v>1</v>
      </c>
      <c r="I986" s="417"/>
    </row>
    <row r="987" spans="1:9" ht="25" hidden="1" customHeight="1">
      <c r="A987" s="296"/>
      <c r="B987" s="297" t="s">
        <v>1257</v>
      </c>
      <c r="C987" s="340" t="s">
        <v>1258</v>
      </c>
      <c r="D987" s="451"/>
      <c r="E987" s="300"/>
      <c r="F987" s="300" t="s">
        <v>31</v>
      </c>
      <c r="G987" s="452">
        <v>20000</v>
      </c>
      <c r="H987" s="434">
        <v>1</v>
      </c>
      <c r="I987" s="417"/>
    </row>
    <row r="988" spans="1:9" s="273" customFormat="1" ht="25" hidden="1" customHeight="1">
      <c r="A988" s="453"/>
      <c r="B988" s="454"/>
      <c r="C988" s="455" t="s">
        <v>1259</v>
      </c>
      <c r="D988" s="454"/>
      <c r="E988" s="456"/>
      <c r="F988" s="454"/>
      <c r="G988" s="457"/>
      <c r="H988" s="458"/>
      <c r="I988" s="457"/>
    </row>
    <row r="989" spans="1:9" ht="25" hidden="1" customHeight="1">
      <c r="A989" s="274"/>
      <c r="B989" s="319"/>
      <c r="C989" s="418" t="s">
        <v>1260</v>
      </c>
      <c r="D989" s="321"/>
      <c r="E989" s="277"/>
      <c r="F989" s="277"/>
      <c r="G989" s="322"/>
      <c r="H989" s="280"/>
      <c r="I989" s="279"/>
    </row>
    <row r="990" spans="1:9" ht="25" hidden="1" customHeight="1">
      <c r="A990" s="289"/>
      <c r="B990" s="290" t="s">
        <v>1261</v>
      </c>
      <c r="C990" s="339" t="s">
        <v>1260</v>
      </c>
      <c r="D990" s="292" t="s">
        <v>263</v>
      </c>
      <c r="E990" s="293"/>
      <c r="F990" s="293" t="s">
        <v>39</v>
      </c>
      <c r="G990" s="437">
        <v>30000</v>
      </c>
      <c r="H990" s="325">
        <v>1</v>
      </c>
      <c r="I990" s="295"/>
    </row>
    <row r="991" spans="1:9" ht="25" hidden="1" customHeight="1">
      <c r="A991" s="289"/>
      <c r="B991" s="290" t="s">
        <v>1262</v>
      </c>
      <c r="C991" s="339" t="s">
        <v>1260</v>
      </c>
      <c r="D991" s="292" t="s">
        <v>1263</v>
      </c>
      <c r="E991" s="293"/>
      <c r="F991" s="293" t="s">
        <v>39</v>
      </c>
      <c r="G991" s="437">
        <v>50000</v>
      </c>
      <c r="H991" s="325">
        <v>1</v>
      </c>
      <c r="I991" s="295"/>
    </row>
    <row r="992" spans="1:9" ht="25" hidden="1" customHeight="1">
      <c r="A992" s="289"/>
      <c r="B992" s="290" t="s">
        <v>1264</v>
      </c>
      <c r="C992" s="339" t="s">
        <v>1260</v>
      </c>
      <c r="D992" s="292" t="s">
        <v>1265</v>
      </c>
      <c r="E992" s="293"/>
      <c r="F992" s="293" t="s">
        <v>39</v>
      </c>
      <c r="G992" s="437">
        <v>60000</v>
      </c>
      <c r="H992" s="325">
        <v>1</v>
      </c>
      <c r="I992" s="295"/>
    </row>
    <row r="993" spans="1:10" ht="25" hidden="1" customHeight="1">
      <c r="A993" s="289"/>
      <c r="B993" s="290" t="s">
        <v>1266</v>
      </c>
      <c r="C993" s="339" t="s">
        <v>1260</v>
      </c>
      <c r="D993" s="292" t="s">
        <v>1267</v>
      </c>
      <c r="E993" s="293"/>
      <c r="F993" s="293" t="s">
        <v>39</v>
      </c>
      <c r="G993" s="437">
        <v>10000</v>
      </c>
      <c r="H993" s="325">
        <v>1</v>
      </c>
      <c r="I993" s="295"/>
    </row>
    <row r="994" spans="1:10" ht="25" hidden="1" customHeight="1">
      <c r="A994" s="274"/>
      <c r="B994" s="319"/>
      <c r="C994" s="418" t="s">
        <v>1268</v>
      </c>
      <c r="D994" s="321"/>
      <c r="E994" s="277"/>
      <c r="F994" s="277"/>
      <c r="G994" s="322"/>
      <c r="H994" s="280"/>
      <c r="I994" s="279"/>
    </row>
    <row r="995" spans="1:10" ht="25" hidden="1" customHeight="1">
      <c r="A995" s="289"/>
      <c r="B995" s="290" t="s">
        <v>1269</v>
      </c>
      <c r="C995" s="339" t="s">
        <v>1268</v>
      </c>
      <c r="D995" s="292" t="s">
        <v>263</v>
      </c>
      <c r="E995" s="293"/>
      <c r="F995" s="293" t="s">
        <v>39</v>
      </c>
      <c r="G995" s="437">
        <v>30000</v>
      </c>
      <c r="H995" s="325">
        <v>1</v>
      </c>
      <c r="I995" s="295"/>
    </row>
    <row r="996" spans="1:10" ht="25" hidden="1" customHeight="1">
      <c r="A996" s="289"/>
      <c r="B996" s="290" t="s">
        <v>1270</v>
      </c>
      <c r="C996" s="339" t="s">
        <v>1268</v>
      </c>
      <c r="D996" s="292" t="s">
        <v>480</v>
      </c>
      <c r="E996" s="293"/>
      <c r="F996" s="293" t="s">
        <v>39</v>
      </c>
      <c r="G996" s="437">
        <v>50000</v>
      </c>
      <c r="H996" s="325">
        <v>1</v>
      </c>
      <c r="I996" s="295"/>
    </row>
    <row r="997" spans="1:10" ht="25" hidden="1" customHeight="1">
      <c r="A997" s="289"/>
      <c r="B997" s="290" t="s">
        <v>1271</v>
      </c>
      <c r="C997" s="339" t="s">
        <v>1268</v>
      </c>
      <c r="D997" s="292" t="s">
        <v>998</v>
      </c>
      <c r="E997" s="293"/>
      <c r="F997" s="293" t="s">
        <v>39</v>
      </c>
      <c r="G997" s="437">
        <v>60000</v>
      </c>
      <c r="H997" s="325">
        <v>1</v>
      </c>
      <c r="I997" s="295"/>
    </row>
    <row r="998" spans="1:10" ht="25" hidden="1" customHeight="1">
      <c r="A998" s="289"/>
      <c r="B998" s="290" t="s">
        <v>1272</v>
      </c>
      <c r="C998" s="339" t="s">
        <v>1268</v>
      </c>
      <c r="D998" s="292" t="s">
        <v>998</v>
      </c>
      <c r="E998" s="293"/>
      <c r="F998" s="293" t="s">
        <v>39</v>
      </c>
      <c r="G998" s="437">
        <v>90000</v>
      </c>
      <c r="H998" s="325">
        <v>1</v>
      </c>
      <c r="I998" s="295"/>
    </row>
    <row r="999" spans="1:10" ht="25" hidden="1" customHeight="1">
      <c r="A999" s="274"/>
      <c r="B999" s="319"/>
      <c r="C999" s="418" t="s">
        <v>1273</v>
      </c>
      <c r="D999" s="321"/>
      <c r="E999" s="277"/>
      <c r="F999" s="277"/>
      <c r="G999" s="322"/>
      <c r="H999" s="280"/>
      <c r="I999" s="279"/>
    </row>
    <row r="1000" spans="1:10" ht="25" hidden="1" customHeight="1">
      <c r="A1000" s="343"/>
      <c r="B1000" s="344" t="s">
        <v>1274</v>
      </c>
      <c r="C1000" s="345" t="s">
        <v>1275</v>
      </c>
      <c r="D1000" s="436"/>
      <c r="E1000" s="347"/>
      <c r="F1000" s="293" t="s">
        <v>31</v>
      </c>
      <c r="G1000" s="432">
        <v>40000</v>
      </c>
      <c r="H1000" s="434">
        <v>1</v>
      </c>
      <c r="I1000" s="417"/>
      <c r="J1000" s="260" t="s">
        <v>700</v>
      </c>
    </row>
    <row r="1001" spans="1:10" ht="25" hidden="1" customHeight="1">
      <c r="A1001" s="343"/>
      <c r="B1001" s="344" t="s">
        <v>1276</v>
      </c>
      <c r="C1001" s="345" t="s">
        <v>1277</v>
      </c>
      <c r="D1001" s="436"/>
      <c r="E1001" s="347"/>
      <c r="F1001" s="293" t="s">
        <v>31</v>
      </c>
      <c r="G1001" s="432">
        <v>40000</v>
      </c>
      <c r="H1001" s="434">
        <v>0.5</v>
      </c>
      <c r="I1001" s="417"/>
      <c r="J1001" s="260" t="s">
        <v>700</v>
      </c>
    </row>
    <row r="1002" spans="1:10" ht="25" hidden="1" customHeight="1">
      <c r="A1002" s="343"/>
      <c r="B1002" s="344" t="s">
        <v>1278</v>
      </c>
      <c r="C1002" s="345" t="s">
        <v>1279</v>
      </c>
      <c r="D1002" s="436"/>
      <c r="E1002" s="347"/>
      <c r="F1002" s="293" t="s">
        <v>31</v>
      </c>
      <c r="G1002" s="432">
        <v>40000</v>
      </c>
      <c r="H1002" s="434">
        <v>1</v>
      </c>
      <c r="I1002" s="417"/>
      <c r="J1002" s="260" t="s">
        <v>700</v>
      </c>
    </row>
    <row r="1003" spans="1:10" ht="25" hidden="1" customHeight="1">
      <c r="A1003" s="343"/>
      <c r="B1003" s="344" t="s">
        <v>1280</v>
      </c>
      <c r="C1003" s="345" t="s">
        <v>1279</v>
      </c>
      <c r="D1003" s="292" t="s">
        <v>1022</v>
      </c>
      <c r="E1003" s="347"/>
      <c r="F1003" s="293" t="s">
        <v>31</v>
      </c>
      <c r="G1003" s="432">
        <v>40000</v>
      </c>
      <c r="H1003" s="434">
        <v>1</v>
      </c>
      <c r="I1003" s="417"/>
      <c r="J1003" s="260" t="s">
        <v>969</v>
      </c>
    </row>
    <row r="1004" spans="1:10" ht="25" hidden="1" customHeight="1">
      <c r="A1004" s="343"/>
      <c r="B1004" s="344" t="s">
        <v>1281</v>
      </c>
      <c r="C1004" s="345" t="s">
        <v>1279</v>
      </c>
      <c r="D1004" s="292" t="s">
        <v>1282</v>
      </c>
      <c r="E1004" s="347"/>
      <c r="F1004" s="293" t="s">
        <v>31</v>
      </c>
      <c r="G1004" s="432">
        <v>40000</v>
      </c>
      <c r="H1004" s="434">
        <v>1</v>
      </c>
      <c r="I1004" s="417"/>
      <c r="J1004" s="260" t="s">
        <v>969</v>
      </c>
    </row>
    <row r="1005" spans="1:10" ht="25" hidden="1" customHeight="1">
      <c r="A1005" s="343"/>
      <c r="B1005" s="344" t="s">
        <v>1283</v>
      </c>
      <c r="C1005" s="345" t="s">
        <v>1284</v>
      </c>
      <c r="D1005" s="346" t="s">
        <v>1285</v>
      </c>
      <c r="E1005" s="347"/>
      <c r="F1005" s="293" t="s">
        <v>1286</v>
      </c>
      <c r="G1005" s="432">
        <v>40000</v>
      </c>
      <c r="H1005" s="434">
        <v>1</v>
      </c>
      <c r="I1005" s="417"/>
      <c r="J1005" s="260" t="s">
        <v>700</v>
      </c>
    </row>
    <row r="1006" spans="1:10" ht="25" hidden="1" customHeight="1">
      <c r="A1006" s="343"/>
      <c r="B1006" s="344" t="s">
        <v>1287</v>
      </c>
      <c r="C1006" s="345" t="s">
        <v>1288</v>
      </c>
      <c r="D1006" s="292"/>
      <c r="E1006" s="347"/>
      <c r="F1006" s="293" t="s">
        <v>31</v>
      </c>
      <c r="G1006" s="432">
        <v>40000</v>
      </c>
      <c r="H1006" s="434">
        <v>1</v>
      </c>
      <c r="I1006" s="417"/>
      <c r="J1006" s="260" t="s">
        <v>700</v>
      </c>
    </row>
    <row r="1007" spans="1:10" ht="25" hidden="1" customHeight="1">
      <c r="A1007" s="343"/>
      <c r="B1007" s="344" t="s">
        <v>1289</v>
      </c>
      <c r="C1007" s="345" t="s">
        <v>1288</v>
      </c>
      <c r="D1007" s="292" t="s">
        <v>66</v>
      </c>
      <c r="E1007" s="347"/>
      <c r="F1007" s="293" t="s">
        <v>31</v>
      </c>
      <c r="G1007" s="432">
        <v>40000</v>
      </c>
      <c r="H1007" s="434">
        <v>1</v>
      </c>
      <c r="I1007" s="417"/>
      <c r="J1007" s="260" t="s">
        <v>969</v>
      </c>
    </row>
    <row r="1008" spans="1:10" ht="25" hidden="1" customHeight="1">
      <c r="A1008" s="343"/>
      <c r="B1008" s="344" t="s">
        <v>1290</v>
      </c>
      <c r="C1008" s="345" t="s">
        <v>1288</v>
      </c>
      <c r="D1008" s="292" t="s">
        <v>68</v>
      </c>
      <c r="E1008" s="347"/>
      <c r="F1008" s="293" t="s">
        <v>31</v>
      </c>
      <c r="G1008" s="432">
        <v>40000</v>
      </c>
      <c r="H1008" s="434">
        <v>1</v>
      </c>
      <c r="I1008" s="417"/>
      <c r="J1008" s="260" t="s">
        <v>969</v>
      </c>
    </row>
    <row r="1009" spans="1:10" ht="25" hidden="1" customHeight="1">
      <c r="A1009" s="343"/>
      <c r="B1009" s="344" t="s">
        <v>1291</v>
      </c>
      <c r="C1009" s="345" t="s">
        <v>1292</v>
      </c>
      <c r="D1009" s="292"/>
      <c r="E1009" s="347"/>
      <c r="F1009" s="293" t="s">
        <v>31</v>
      </c>
      <c r="G1009" s="432">
        <v>40000</v>
      </c>
      <c r="H1009" s="434">
        <v>1</v>
      </c>
      <c r="I1009" s="417"/>
      <c r="J1009" s="260" t="s">
        <v>700</v>
      </c>
    </row>
    <row r="1010" spans="1:10" ht="25" hidden="1" customHeight="1">
      <c r="A1010" s="343"/>
      <c r="B1010" s="344" t="s">
        <v>1293</v>
      </c>
      <c r="C1010" s="345" t="s">
        <v>1294</v>
      </c>
      <c r="D1010" s="292"/>
      <c r="E1010" s="347"/>
      <c r="F1010" s="293" t="s">
        <v>31</v>
      </c>
      <c r="G1010" s="432">
        <v>40000</v>
      </c>
      <c r="H1010" s="434">
        <v>0.5</v>
      </c>
      <c r="I1010" s="417"/>
      <c r="J1010" s="260" t="s">
        <v>700</v>
      </c>
    </row>
    <row r="1011" spans="1:10" ht="25" hidden="1" customHeight="1">
      <c r="A1011" s="343"/>
      <c r="B1011" s="344" t="s">
        <v>1295</v>
      </c>
      <c r="C1011" s="345" t="s">
        <v>1296</v>
      </c>
      <c r="D1011" s="292"/>
      <c r="E1011" s="347"/>
      <c r="F1011" s="293" t="s">
        <v>31</v>
      </c>
      <c r="G1011" s="432">
        <v>40000</v>
      </c>
      <c r="H1011" s="434">
        <v>1</v>
      </c>
      <c r="I1011" s="417"/>
      <c r="J1011" s="260" t="s">
        <v>700</v>
      </c>
    </row>
    <row r="1012" spans="1:10" ht="25" hidden="1" customHeight="1">
      <c r="A1012" s="343"/>
      <c r="B1012" s="344" t="s">
        <v>1297</v>
      </c>
      <c r="C1012" s="345" t="s">
        <v>1296</v>
      </c>
      <c r="D1012" s="292" t="s">
        <v>968</v>
      </c>
      <c r="E1012" s="347"/>
      <c r="F1012" s="293" t="s">
        <v>31</v>
      </c>
      <c r="G1012" s="432">
        <v>40000</v>
      </c>
      <c r="H1012" s="434">
        <v>1</v>
      </c>
      <c r="I1012" s="417"/>
      <c r="J1012" s="260" t="s">
        <v>969</v>
      </c>
    </row>
    <row r="1013" spans="1:10" ht="25" hidden="1" customHeight="1">
      <c r="A1013" s="343"/>
      <c r="B1013" s="344" t="s">
        <v>1298</v>
      </c>
      <c r="C1013" s="345" t="s">
        <v>1299</v>
      </c>
      <c r="D1013" s="436"/>
      <c r="E1013" s="347"/>
      <c r="F1013" s="293" t="s">
        <v>31</v>
      </c>
      <c r="G1013" s="432">
        <v>40000</v>
      </c>
      <c r="H1013" s="434">
        <v>1</v>
      </c>
      <c r="I1013" s="417"/>
      <c r="J1013" s="260" t="s">
        <v>700</v>
      </c>
    </row>
    <row r="1014" spans="1:10" ht="25" hidden="1" customHeight="1">
      <c r="A1014" s="343"/>
      <c r="B1014" s="344" t="s">
        <v>1300</v>
      </c>
      <c r="C1014" s="345" t="s">
        <v>1301</v>
      </c>
      <c r="D1014" s="292" t="s">
        <v>1302</v>
      </c>
      <c r="E1014" s="347"/>
      <c r="F1014" s="293" t="s">
        <v>31</v>
      </c>
      <c r="G1014" s="432">
        <v>40000</v>
      </c>
      <c r="H1014" s="434">
        <v>1</v>
      </c>
      <c r="I1014" s="417"/>
      <c r="J1014" s="260" t="s">
        <v>969</v>
      </c>
    </row>
    <row r="1015" spans="1:10" ht="25" hidden="1" customHeight="1">
      <c r="A1015" s="343"/>
      <c r="B1015" s="344" t="s">
        <v>1303</v>
      </c>
      <c r="C1015" s="345" t="s">
        <v>1304</v>
      </c>
      <c r="D1015" s="292" t="s">
        <v>1305</v>
      </c>
      <c r="E1015" s="347"/>
      <c r="F1015" s="293" t="s">
        <v>31</v>
      </c>
      <c r="G1015" s="432">
        <v>40000</v>
      </c>
      <c r="H1015" s="434">
        <v>1</v>
      </c>
      <c r="I1015" s="417"/>
      <c r="J1015" s="260" t="s">
        <v>969</v>
      </c>
    </row>
    <row r="1016" spans="1:10" ht="25" hidden="1" customHeight="1">
      <c r="A1016" s="343"/>
      <c r="B1016" s="344" t="s">
        <v>1306</v>
      </c>
      <c r="C1016" s="345" t="s">
        <v>1307</v>
      </c>
      <c r="D1016" s="292" t="s">
        <v>984</v>
      </c>
      <c r="E1016" s="347"/>
      <c r="F1016" s="293" t="s">
        <v>31</v>
      </c>
      <c r="G1016" s="432">
        <v>40000</v>
      </c>
      <c r="H1016" s="434">
        <v>1</v>
      </c>
      <c r="I1016" s="417"/>
      <c r="J1016" s="260" t="s">
        <v>969</v>
      </c>
    </row>
    <row r="1017" spans="1:10" ht="25" hidden="1" customHeight="1">
      <c r="A1017" s="343"/>
      <c r="B1017" s="344" t="s">
        <v>1308</v>
      </c>
      <c r="C1017" s="345" t="s">
        <v>1307</v>
      </c>
      <c r="D1017" s="292" t="s">
        <v>968</v>
      </c>
      <c r="E1017" s="347"/>
      <c r="F1017" s="293" t="s">
        <v>31</v>
      </c>
      <c r="G1017" s="432">
        <v>40000</v>
      </c>
      <c r="H1017" s="434">
        <v>1</v>
      </c>
      <c r="I1017" s="417"/>
      <c r="J1017" s="260" t="s">
        <v>969</v>
      </c>
    </row>
    <row r="1018" spans="1:10" ht="25" hidden="1" customHeight="1">
      <c r="A1018" s="343"/>
      <c r="B1018" s="344" t="s">
        <v>1309</v>
      </c>
      <c r="C1018" s="345" t="s">
        <v>1310</v>
      </c>
      <c r="D1018" s="292" t="s">
        <v>968</v>
      </c>
      <c r="E1018" s="347"/>
      <c r="F1018" s="293" t="s">
        <v>31</v>
      </c>
      <c r="G1018" s="432">
        <v>40000</v>
      </c>
      <c r="H1018" s="434">
        <v>0.5</v>
      </c>
      <c r="I1018" s="417"/>
      <c r="J1018" s="260" t="s">
        <v>969</v>
      </c>
    </row>
    <row r="1019" spans="1:10" ht="25" hidden="1" customHeight="1">
      <c r="A1019" s="343"/>
      <c r="B1019" s="344" t="s">
        <v>1311</v>
      </c>
      <c r="C1019" s="345" t="s">
        <v>1307</v>
      </c>
      <c r="D1019" s="292" t="s">
        <v>63</v>
      </c>
      <c r="E1019" s="347"/>
      <c r="F1019" s="293" t="s">
        <v>31</v>
      </c>
      <c r="G1019" s="432">
        <v>40000</v>
      </c>
      <c r="H1019" s="434">
        <v>1</v>
      </c>
      <c r="I1019" s="417"/>
      <c r="J1019" s="260" t="s">
        <v>700</v>
      </c>
    </row>
    <row r="1020" spans="1:10" ht="25" hidden="1" customHeight="1">
      <c r="A1020" s="343"/>
      <c r="B1020" s="344" t="s">
        <v>1312</v>
      </c>
      <c r="C1020" s="345" t="s">
        <v>1313</v>
      </c>
      <c r="D1020" s="292" t="s">
        <v>63</v>
      </c>
      <c r="E1020" s="347"/>
      <c r="F1020" s="293" t="s">
        <v>31</v>
      </c>
      <c r="G1020" s="432">
        <v>40000</v>
      </c>
      <c r="H1020" s="434">
        <v>1</v>
      </c>
      <c r="I1020" s="417"/>
      <c r="J1020" s="260" t="s">
        <v>700</v>
      </c>
    </row>
    <row r="1021" spans="1:10" ht="25" hidden="1" customHeight="1">
      <c r="A1021" s="343"/>
      <c r="B1021" s="344" t="s">
        <v>1314</v>
      </c>
      <c r="C1021" s="345" t="s">
        <v>1313</v>
      </c>
      <c r="D1021" s="292" t="s">
        <v>968</v>
      </c>
      <c r="E1021" s="347"/>
      <c r="F1021" s="293" t="s">
        <v>31</v>
      </c>
      <c r="G1021" s="432">
        <v>40000</v>
      </c>
      <c r="H1021" s="434">
        <v>1</v>
      </c>
      <c r="I1021" s="417"/>
      <c r="J1021" s="260" t="s">
        <v>969</v>
      </c>
    </row>
    <row r="1022" spans="1:10" ht="25" hidden="1" customHeight="1">
      <c r="A1022" s="343"/>
      <c r="B1022" s="344" t="s">
        <v>1315</v>
      </c>
      <c r="C1022" s="345" t="s">
        <v>1316</v>
      </c>
      <c r="D1022" s="346"/>
      <c r="E1022" s="347"/>
      <c r="F1022" s="293" t="s">
        <v>31</v>
      </c>
      <c r="G1022" s="432">
        <v>40000</v>
      </c>
      <c r="H1022" s="434">
        <v>1</v>
      </c>
      <c r="I1022" s="417"/>
      <c r="J1022" s="260" t="s">
        <v>700</v>
      </c>
    </row>
    <row r="1023" spans="1:10" ht="25" hidden="1" customHeight="1">
      <c r="A1023" s="343"/>
      <c r="B1023" s="344" t="s">
        <v>1317</v>
      </c>
      <c r="C1023" s="345" t="s">
        <v>1316</v>
      </c>
      <c r="D1023" s="292" t="s">
        <v>1318</v>
      </c>
      <c r="E1023" s="347"/>
      <c r="F1023" s="293" t="s">
        <v>31</v>
      </c>
      <c r="G1023" s="432">
        <v>40000</v>
      </c>
      <c r="H1023" s="434">
        <v>1</v>
      </c>
      <c r="I1023" s="417"/>
      <c r="J1023" s="260" t="s">
        <v>969</v>
      </c>
    </row>
    <row r="1024" spans="1:10" ht="25" hidden="1" customHeight="1">
      <c r="A1024" s="343"/>
      <c r="B1024" s="344" t="s">
        <v>1319</v>
      </c>
      <c r="C1024" s="345" t="s">
        <v>1316</v>
      </c>
      <c r="D1024" s="292" t="s">
        <v>1320</v>
      </c>
      <c r="E1024" s="347"/>
      <c r="F1024" s="293" t="s">
        <v>31</v>
      </c>
      <c r="G1024" s="432">
        <v>40000</v>
      </c>
      <c r="H1024" s="434">
        <v>1</v>
      </c>
      <c r="I1024" s="417"/>
      <c r="J1024" s="260" t="s">
        <v>969</v>
      </c>
    </row>
    <row r="1025" spans="1:10" ht="25" hidden="1" customHeight="1">
      <c r="A1025" s="343"/>
      <c r="B1025" s="344" t="s">
        <v>1321</v>
      </c>
      <c r="C1025" s="345" t="s">
        <v>1322</v>
      </c>
      <c r="D1025" s="292" t="s">
        <v>1318</v>
      </c>
      <c r="E1025" s="347"/>
      <c r="F1025" s="293" t="s">
        <v>31</v>
      </c>
      <c r="G1025" s="432">
        <v>40000</v>
      </c>
      <c r="H1025" s="434">
        <v>1</v>
      </c>
      <c r="I1025" s="417"/>
      <c r="J1025" s="260" t="s">
        <v>969</v>
      </c>
    </row>
    <row r="1026" spans="1:10" ht="25" hidden="1" customHeight="1">
      <c r="A1026" s="343"/>
      <c r="B1026" s="344" t="s">
        <v>1323</v>
      </c>
      <c r="C1026" s="345" t="s">
        <v>1324</v>
      </c>
      <c r="D1026" s="292"/>
      <c r="E1026" s="347"/>
      <c r="F1026" s="293" t="s">
        <v>31</v>
      </c>
      <c r="G1026" s="432">
        <v>40000</v>
      </c>
      <c r="H1026" s="434">
        <v>1</v>
      </c>
      <c r="I1026" s="417"/>
    </row>
    <row r="1027" spans="1:10" ht="25" hidden="1" customHeight="1">
      <c r="A1027" s="343"/>
      <c r="B1027" s="344" t="s">
        <v>1325</v>
      </c>
      <c r="C1027" s="345" t="s">
        <v>1326</v>
      </c>
      <c r="D1027" s="292" t="s">
        <v>68</v>
      </c>
      <c r="E1027" s="347">
        <v>1</v>
      </c>
      <c r="F1027" s="293" t="s">
        <v>39</v>
      </c>
      <c r="G1027" s="432">
        <v>120000</v>
      </c>
      <c r="H1027" s="434">
        <v>1</v>
      </c>
      <c r="I1027" s="417"/>
    </row>
    <row r="1028" spans="1:10" ht="25" hidden="1" customHeight="1">
      <c r="A1028" s="343"/>
      <c r="B1028" s="344" t="s">
        <v>1327</v>
      </c>
      <c r="C1028" s="345" t="s">
        <v>1328</v>
      </c>
      <c r="D1028" s="292" t="s">
        <v>478</v>
      </c>
      <c r="E1028" s="347"/>
      <c r="F1028" s="293" t="s">
        <v>31</v>
      </c>
      <c r="G1028" s="432">
        <v>40000</v>
      </c>
      <c r="H1028" s="434">
        <v>1</v>
      </c>
      <c r="I1028" s="417"/>
      <c r="J1028" s="260" t="s">
        <v>969</v>
      </c>
    </row>
    <row r="1029" spans="1:10" ht="25" hidden="1" customHeight="1">
      <c r="A1029" s="343"/>
      <c r="B1029" s="344" t="s">
        <v>1329</v>
      </c>
      <c r="C1029" s="345" t="s">
        <v>1328</v>
      </c>
      <c r="D1029" s="292" t="s">
        <v>40</v>
      </c>
      <c r="E1029" s="347"/>
      <c r="F1029" s="293" t="s">
        <v>31</v>
      </c>
      <c r="G1029" s="432">
        <v>40000</v>
      </c>
      <c r="H1029" s="434">
        <v>1</v>
      </c>
      <c r="I1029" s="417"/>
      <c r="J1029" s="260" t="s">
        <v>969</v>
      </c>
    </row>
    <row r="1030" spans="1:10" ht="25" hidden="1" customHeight="1">
      <c r="A1030" s="343"/>
      <c r="B1030" s="344" t="s">
        <v>1330</v>
      </c>
      <c r="C1030" s="345" t="s">
        <v>1331</v>
      </c>
      <c r="D1030" s="292" t="s">
        <v>40</v>
      </c>
      <c r="E1030" s="347"/>
      <c r="F1030" s="293" t="s">
        <v>39</v>
      </c>
      <c r="G1030" s="431"/>
      <c r="H1030" s="434">
        <v>0.3</v>
      </c>
      <c r="I1030" s="417"/>
    </row>
    <row r="1031" spans="1:10" ht="25" hidden="1" customHeight="1">
      <c r="A1031" s="343"/>
      <c r="B1031" s="344" t="s">
        <v>1332</v>
      </c>
      <c r="C1031" s="345" t="s">
        <v>1328</v>
      </c>
      <c r="D1031" s="292" t="s">
        <v>68</v>
      </c>
      <c r="E1031" s="347"/>
      <c r="F1031" s="293" t="s">
        <v>31</v>
      </c>
      <c r="G1031" s="432">
        <v>40000</v>
      </c>
      <c r="H1031" s="434">
        <v>1</v>
      </c>
      <c r="I1031" s="417"/>
      <c r="J1031" s="260" t="s">
        <v>969</v>
      </c>
    </row>
    <row r="1032" spans="1:10" ht="25" hidden="1" customHeight="1">
      <c r="A1032" s="343"/>
      <c r="B1032" s="344" t="s">
        <v>1333</v>
      </c>
      <c r="C1032" s="345" t="s">
        <v>1334</v>
      </c>
      <c r="D1032" s="292"/>
      <c r="E1032" s="347"/>
      <c r="F1032" s="293" t="s">
        <v>31</v>
      </c>
      <c r="G1032" s="432">
        <v>40000</v>
      </c>
      <c r="H1032" s="434">
        <v>1</v>
      </c>
      <c r="I1032" s="417"/>
      <c r="J1032" s="260" t="s">
        <v>969</v>
      </c>
    </row>
    <row r="1033" spans="1:10" ht="25" hidden="1" customHeight="1">
      <c r="A1033" s="343"/>
      <c r="B1033" s="344" t="s">
        <v>1335</v>
      </c>
      <c r="C1033" s="345" t="s">
        <v>1336</v>
      </c>
      <c r="D1033" s="292"/>
      <c r="E1033" s="347"/>
      <c r="F1033" s="293" t="s">
        <v>31</v>
      </c>
      <c r="G1033" s="432">
        <v>40000</v>
      </c>
      <c r="H1033" s="434">
        <v>1</v>
      </c>
      <c r="I1033" s="417"/>
    </row>
    <row r="1034" spans="1:10" ht="25" hidden="1" customHeight="1">
      <c r="A1034" s="343"/>
      <c r="B1034" s="344" t="s">
        <v>1337</v>
      </c>
      <c r="C1034" s="345" t="s">
        <v>1336</v>
      </c>
      <c r="D1034" s="292" t="s">
        <v>968</v>
      </c>
      <c r="E1034" s="347"/>
      <c r="F1034" s="293" t="s">
        <v>31</v>
      </c>
      <c r="G1034" s="432">
        <v>40000</v>
      </c>
      <c r="H1034" s="434">
        <v>1</v>
      </c>
      <c r="I1034" s="417"/>
      <c r="J1034" s="260" t="s">
        <v>969</v>
      </c>
    </row>
    <row r="1035" spans="1:10" ht="25" hidden="1" customHeight="1">
      <c r="A1035" s="343"/>
      <c r="B1035" s="344" t="s">
        <v>1338</v>
      </c>
      <c r="C1035" s="345" t="s">
        <v>1339</v>
      </c>
      <c r="D1035" s="292" t="s">
        <v>1340</v>
      </c>
      <c r="E1035" s="347"/>
      <c r="F1035" s="293" t="s">
        <v>31</v>
      </c>
      <c r="G1035" s="432">
        <v>40000</v>
      </c>
      <c r="H1035" s="434">
        <v>1</v>
      </c>
      <c r="I1035" s="417"/>
      <c r="J1035" s="260" t="s">
        <v>969</v>
      </c>
    </row>
    <row r="1036" spans="1:10" ht="25" hidden="1" customHeight="1">
      <c r="A1036" s="343"/>
      <c r="B1036" s="344" t="s">
        <v>1341</v>
      </c>
      <c r="C1036" s="345" t="s">
        <v>1339</v>
      </c>
      <c r="D1036" s="292" t="s">
        <v>1342</v>
      </c>
      <c r="E1036" s="347"/>
      <c r="F1036" s="293" t="s">
        <v>31</v>
      </c>
      <c r="G1036" s="432">
        <v>40000</v>
      </c>
      <c r="H1036" s="434">
        <v>1</v>
      </c>
      <c r="I1036" s="417"/>
      <c r="J1036" s="260" t="s">
        <v>969</v>
      </c>
    </row>
    <row r="1037" spans="1:10" ht="25" hidden="1" customHeight="1">
      <c r="A1037" s="343"/>
      <c r="B1037" s="344" t="s">
        <v>1343</v>
      </c>
      <c r="C1037" s="345" t="s">
        <v>1186</v>
      </c>
      <c r="D1037" s="292" t="s">
        <v>68</v>
      </c>
      <c r="E1037" s="347">
        <f>360/72</f>
        <v>5</v>
      </c>
      <c r="F1037" s="293" t="s">
        <v>39</v>
      </c>
      <c r="G1037" s="432">
        <v>120000</v>
      </c>
      <c r="H1037" s="434">
        <v>1</v>
      </c>
      <c r="I1037" s="417"/>
      <c r="J1037" s="260" t="s">
        <v>1344</v>
      </c>
    </row>
    <row r="1038" spans="1:10" ht="25" hidden="1" customHeight="1">
      <c r="A1038" s="343"/>
      <c r="B1038" s="344" t="s">
        <v>1345</v>
      </c>
      <c r="C1038" s="345" t="s">
        <v>1346</v>
      </c>
      <c r="D1038" s="292" t="s">
        <v>1347</v>
      </c>
      <c r="E1038" s="347"/>
      <c r="F1038" s="293" t="s">
        <v>31</v>
      </c>
      <c r="G1038" s="432">
        <v>40000</v>
      </c>
      <c r="H1038" s="434">
        <v>1</v>
      </c>
      <c r="I1038" s="417"/>
      <c r="J1038" s="260" t="s">
        <v>969</v>
      </c>
    </row>
    <row r="1039" spans="1:10" ht="25" hidden="1" customHeight="1">
      <c r="A1039" s="343"/>
      <c r="B1039" s="344" t="s">
        <v>1348</v>
      </c>
      <c r="C1039" s="345" t="s">
        <v>1349</v>
      </c>
      <c r="D1039" s="292" t="s">
        <v>68</v>
      </c>
      <c r="E1039" s="347"/>
      <c r="F1039" s="293" t="s">
        <v>31</v>
      </c>
      <c r="G1039" s="432">
        <v>40000</v>
      </c>
      <c r="H1039" s="434">
        <v>1</v>
      </c>
      <c r="I1039" s="417"/>
      <c r="J1039" s="260" t="s">
        <v>969</v>
      </c>
    </row>
    <row r="1040" spans="1:10" ht="25" hidden="1" customHeight="1">
      <c r="A1040" s="343"/>
      <c r="B1040" s="344" t="s">
        <v>1350</v>
      </c>
      <c r="C1040" s="345" t="s">
        <v>1351</v>
      </c>
      <c r="D1040" s="292" t="s">
        <v>1340</v>
      </c>
      <c r="E1040" s="347"/>
      <c r="F1040" s="293" t="s">
        <v>31</v>
      </c>
      <c r="G1040" s="432">
        <v>40000</v>
      </c>
      <c r="H1040" s="434">
        <v>1</v>
      </c>
      <c r="I1040" s="417"/>
      <c r="J1040" s="260" t="s">
        <v>969</v>
      </c>
    </row>
    <row r="1041" spans="1:10" ht="25" hidden="1" customHeight="1">
      <c r="A1041" s="343"/>
      <c r="B1041" s="344" t="s">
        <v>1352</v>
      </c>
      <c r="C1041" s="345" t="s">
        <v>1353</v>
      </c>
      <c r="D1041" s="292"/>
      <c r="E1041" s="347"/>
      <c r="F1041" s="293" t="s">
        <v>31</v>
      </c>
      <c r="G1041" s="432">
        <v>40000</v>
      </c>
      <c r="H1041" s="434">
        <v>1</v>
      </c>
      <c r="I1041" s="417"/>
      <c r="J1041" s="260" t="s">
        <v>969</v>
      </c>
    </row>
    <row r="1042" spans="1:10" ht="25" hidden="1" customHeight="1">
      <c r="A1042" s="343"/>
      <c r="B1042" s="344" t="s">
        <v>1354</v>
      </c>
      <c r="C1042" s="345" t="s">
        <v>1353</v>
      </c>
      <c r="D1042" s="292" t="s">
        <v>1355</v>
      </c>
      <c r="E1042" s="347"/>
      <c r="F1042" s="293" t="s">
        <v>31</v>
      </c>
      <c r="G1042" s="432">
        <v>40000</v>
      </c>
      <c r="H1042" s="434">
        <v>1</v>
      </c>
      <c r="I1042" s="417"/>
      <c r="J1042" s="260" t="s">
        <v>969</v>
      </c>
    </row>
    <row r="1043" spans="1:10" s="467" customFormat="1" ht="25" hidden="1" customHeight="1">
      <c r="A1043" s="459"/>
      <c r="B1043" s="460"/>
      <c r="C1043" s="461" t="s">
        <v>1356</v>
      </c>
      <c r="D1043" s="462"/>
      <c r="E1043" s="463"/>
      <c r="F1043" s="464"/>
      <c r="G1043" s="432"/>
      <c r="H1043" s="465"/>
      <c r="I1043" s="466"/>
    </row>
    <row r="1044" spans="1:10" ht="25" hidden="1" customHeight="1">
      <c r="A1044" s="343"/>
      <c r="B1044" s="344" t="s">
        <v>1357</v>
      </c>
      <c r="C1044" s="345"/>
      <c r="D1044" s="292"/>
      <c r="E1044" s="347"/>
      <c r="F1044" s="293"/>
      <c r="G1044" s="432"/>
      <c r="H1044" s="434"/>
      <c r="I1044" s="417"/>
    </row>
    <row r="1045" spans="1:10" ht="25" hidden="1" customHeight="1">
      <c r="A1045" s="343"/>
      <c r="B1045" s="344"/>
      <c r="C1045" s="345"/>
      <c r="D1045" s="292"/>
      <c r="E1045" s="347"/>
      <c r="F1045" s="293"/>
      <c r="G1045" s="432"/>
      <c r="H1045" s="434"/>
      <c r="I1045" s="417"/>
    </row>
    <row r="1046" spans="1:10" ht="25" hidden="1" customHeight="1">
      <c r="A1046" s="343"/>
      <c r="B1046" s="344"/>
      <c r="C1046" s="345"/>
      <c r="D1046" s="292"/>
      <c r="E1046" s="347"/>
      <c r="F1046" s="293"/>
      <c r="G1046" s="432"/>
      <c r="H1046" s="434"/>
      <c r="I1046" s="417"/>
    </row>
    <row r="1047" spans="1:10" ht="25" hidden="1" customHeight="1">
      <c r="A1047" s="343"/>
      <c r="B1047" s="344"/>
      <c r="C1047" s="345"/>
      <c r="D1047" s="292"/>
      <c r="E1047" s="347"/>
      <c r="F1047" s="293"/>
      <c r="G1047" s="432"/>
      <c r="H1047" s="434"/>
      <c r="I1047" s="417"/>
    </row>
    <row r="1048" spans="1:10" ht="25" hidden="1" customHeight="1">
      <c r="A1048" s="343"/>
      <c r="B1048" s="344"/>
      <c r="C1048" s="345"/>
      <c r="D1048" s="292"/>
      <c r="E1048" s="347"/>
      <c r="F1048" s="293"/>
      <c r="G1048" s="432"/>
      <c r="H1048" s="434"/>
      <c r="I1048" s="417"/>
    </row>
    <row r="1049" spans="1:10" ht="25" hidden="1" customHeight="1">
      <c r="A1049" s="343"/>
      <c r="B1049" s="344" t="s">
        <v>1358</v>
      </c>
      <c r="C1049" s="345" t="s">
        <v>1359</v>
      </c>
      <c r="D1049" s="292" t="s">
        <v>1360</v>
      </c>
      <c r="E1049" s="347"/>
      <c r="F1049" s="293" t="s">
        <v>31</v>
      </c>
      <c r="G1049" s="432">
        <v>40000</v>
      </c>
      <c r="H1049" s="434">
        <v>1</v>
      </c>
      <c r="I1049" s="417"/>
      <c r="J1049" s="260" t="s">
        <v>969</v>
      </c>
    </row>
    <row r="1050" spans="1:10" ht="25" hidden="1" customHeight="1">
      <c r="A1050" s="343"/>
      <c r="B1050" s="344" t="s">
        <v>1361</v>
      </c>
      <c r="C1050" s="345" t="s">
        <v>1362</v>
      </c>
      <c r="D1050" s="292" t="s">
        <v>1363</v>
      </c>
      <c r="E1050" s="347"/>
      <c r="F1050" s="293" t="s">
        <v>31</v>
      </c>
      <c r="G1050" s="432">
        <v>40000</v>
      </c>
      <c r="H1050" s="434">
        <v>1</v>
      </c>
      <c r="I1050" s="417"/>
      <c r="J1050" s="260" t="s">
        <v>969</v>
      </c>
    </row>
    <row r="1051" spans="1:10" ht="25" hidden="1" customHeight="1">
      <c r="A1051" s="343"/>
      <c r="B1051" s="344" t="s">
        <v>1364</v>
      </c>
      <c r="C1051" s="345" t="s">
        <v>1365</v>
      </c>
      <c r="D1051" s="292"/>
      <c r="E1051" s="347"/>
      <c r="F1051" s="293" t="s">
        <v>31</v>
      </c>
      <c r="G1051" s="432">
        <v>40000</v>
      </c>
      <c r="H1051" s="434">
        <v>1</v>
      </c>
      <c r="I1051" s="417"/>
    </row>
    <row r="1052" spans="1:10" ht="25" hidden="1" customHeight="1">
      <c r="A1052" s="343"/>
      <c r="B1052" s="344" t="s">
        <v>1366</v>
      </c>
      <c r="C1052" s="345" t="s">
        <v>1367</v>
      </c>
      <c r="D1052" s="292" t="s">
        <v>1318</v>
      </c>
      <c r="E1052" s="347"/>
      <c r="F1052" s="293" t="s">
        <v>31</v>
      </c>
      <c r="G1052" s="432">
        <v>40000</v>
      </c>
      <c r="H1052" s="434">
        <v>1</v>
      </c>
      <c r="I1052" s="417"/>
      <c r="J1052" s="260" t="s">
        <v>969</v>
      </c>
    </row>
    <row r="1053" spans="1:10" ht="25" hidden="1" customHeight="1">
      <c r="A1053" s="343"/>
      <c r="B1053" s="344" t="s">
        <v>1368</v>
      </c>
      <c r="C1053" s="345" t="s">
        <v>1369</v>
      </c>
      <c r="D1053" s="292" t="s">
        <v>968</v>
      </c>
      <c r="E1053" s="347"/>
      <c r="F1053" s="293" t="s">
        <v>31</v>
      </c>
      <c r="G1053" s="432"/>
      <c r="H1053" s="434">
        <v>1</v>
      </c>
      <c r="I1053" s="417"/>
      <c r="J1053" s="260" t="s">
        <v>969</v>
      </c>
    </row>
    <row r="1054" spans="1:10" ht="25" hidden="1" customHeight="1">
      <c r="A1054" s="343"/>
      <c r="B1054" s="344" t="s">
        <v>1370</v>
      </c>
      <c r="C1054" s="345" t="s">
        <v>1371</v>
      </c>
      <c r="D1054" s="436"/>
      <c r="E1054" s="347"/>
      <c r="F1054" s="293" t="s">
        <v>31</v>
      </c>
      <c r="G1054" s="468">
        <v>3000</v>
      </c>
      <c r="H1054" s="434">
        <v>1</v>
      </c>
      <c r="I1054" s="417"/>
    </row>
    <row r="1055" spans="1:10" ht="25" hidden="1" customHeight="1">
      <c r="A1055" s="343"/>
      <c r="B1055" s="344" t="s">
        <v>1372</v>
      </c>
      <c r="C1055" s="345" t="s">
        <v>1373</v>
      </c>
      <c r="D1055" s="436"/>
      <c r="E1055" s="347"/>
      <c r="F1055" s="293" t="s">
        <v>31</v>
      </c>
      <c r="G1055" s="468">
        <v>10000</v>
      </c>
      <c r="H1055" s="434">
        <v>1</v>
      </c>
      <c r="I1055" s="417"/>
    </row>
    <row r="1056" spans="1:10" ht="25" hidden="1" customHeight="1">
      <c r="A1056" s="274"/>
      <c r="B1056" s="319"/>
      <c r="C1056" s="418" t="s">
        <v>1374</v>
      </c>
      <c r="D1056" s="321"/>
      <c r="E1056" s="277"/>
      <c r="F1056" s="277"/>
      <c r="G1056" s="322"/>
      <c r="H1056" s="280"/>
      <c r="I1056" s="279"/>
    </row>
    <row r="1057" spans="1:10" ht="25" hidden="1" customHeight="1">
      <c r="A1057" s="397"/>
      <c r="B1057" s="398" t="s">
        <v>1375</v>
      </c>
      <c r="C1057" s="399" t="s">
        <v>1292</v>
      </c>
      <c r="D1057" s="385" t="s">
        <v>1376</v>
      </c>
      <c r="E1057" s="400"/>
      <c r="F1057" s="400" t="s">
        <v>1377</v>
      </c>
      <c r="G1057" s="432">
        <v>40000</v>
      </c>
      <c r="H1057" s="434">
        <v>1</v>
      </c>
      <c r="I1057" s="417"/>
      <c r="J1057" s="260" t="s">
        <v>969</v>
      </c>
    </row>
    <row r="1058" spans="1:10" ht="25" hidden="1" customHeight="1">
      <c r="A1058" s="397"/>
      <c r="B1058" s="398" t="s">
        <v>1378</v>
      </c>
      <c r="C1058" s="399" t="s">
        <v>1324</v>
      </c>
      <c r="D1058" s="385" t="s">
        <v>1379</v>
      </c>
      <c r="E1058" s="400"/>
      <c r="F1058" s="400" t="s">
        <v>1377</v>
      </c>
      <c r="G1058" s="432">
        <v>40000</v>
      </c>
      <c r="H1058" s="434">
        <v>1</v>
      </c>
      <c r="I1058" s="417"/>
      <c r="J1058" s="260" t="s">
        <v>969</v>
      </c>
    </row>
    <row r="1059" spans="1:10" ht="25" hidden="1" customHeight="1">
      <c r="A1059" s="274"/>
      <c r="B1059" s="319"/>
      <c r="C1059" s="418" t="s">
        <v>1380</v>
      </c>
      <c r="D1059" s="321"/>
      <c r="E1059" s="277"/>
      <c r="F1059" s="277"/>
      <c r="G1059" s="322"/>
      <c r="H1059" s="280"/>
      <c r="I1059" s="279"/>
    </row>
    <row r="1060" spans="1:10" ht="25" hidden="1" customHeight="1">
      <c r="A1060" s="397"/>
      <c r="B1060" s="398" t="s">
        <v>1381</v>
      </c>
      <c r="C1060" s="399" t="s">
        <v>1284</v>
      </c>
      <c r="D1060" s="385" t="s">
        <v>1382</v>
      </c>
      <c r="E1060" s="400"/>
      <c r="F1060" s="400" t="s">
        <v>1286</v>
      </c>
      <c r="G1060" s="432">
        <v>40000</v>
      </c>
      <c r="H1060" s="434">
        <v>1</v>
      </c>
      <c r="I1060" s="417"/>
      <c r="J1060" s="260" t="s">
        <v>969</v>
      </c>
    </row>
    <row r="1061" spans="1:10" ht="25" hidden="1" customHeight="1">
      <c r="A1061" s="397"/>
      <c r="B1061" s="398" t="s">
        <v>1383</v>
      </c>
      <c r="C1061" s="399" t="s">
        <v>1284</v>
      </c>
      <c r="D1061" s="385" t="s">
        <v>1384</v>
      </c>
      <c r="E1061" s="400"/>
      <c r="F1061" s="400" t="s">
        <v>1286</v>
      </c>
      <c r="G1061" s="432">
        <v>40000</v>
      </c>
      <c r="H1061" s="434">
        <v>1</v>
      </c>
      <c r="I1061" s="417"/>
      <c r="J1061" s="260" t="s">
        <v>969</v>
      </c>
    </row>
    <row r="1062" spans="1:10" ht="25" hidden="1" customHeight="1">
      <c r="A1062" s="397"/>
      <c r="B1062" s="398" t="s">
        <v>1385</v>
      </c>
      <c r="C1062" s="399" t="s">
        <v>1284</v>
      </c>
      <c r="D1062" s="385" t="s">
        <v>1386</v>
      </c>
      <c r="E1062" s="400"/>
      <c r="F1062" s="400" t="s">
        <v>1286</v>
      </c>
      <c r="G1062" s="432">
        <v>40000</v>
      </c>
      <c r="H1062" s="434">
        <v>1</v>
      </c>
      <c r="I1062" s="417"/>
      <c r="J1062" s="260" t="s">
        <v>969</v>
      </c>
    </row>
    <row r="1063" spans="1:10" ht="25" hidden="1" customHeight="1">
      <c r="A1063" s="397"/>
      <c r="B1063" s="398" t="s">
        <v>1387</v>
      </c>
      <c r="C1063" s="399" t="s">
        <v>1388</v>
      </c>
      <c r="D1063" s="469"/>
      <c r="E1063" s="400"/>
      <c r="F1063" s="400" t="s">
        <v>31</v>
      </c>
      <c r="G1063" s="432">
        <v>40000</v>
      </c>
      <c r="H1063" s="434">
        <v>0.5</v>
      </c>
      <c r="I1063" s="417"/>
      <c r="J1063" s="260" t="s">
        <v>969</v>
      </c>
    </row>
    <row r="1064" spans="1:10" ht="25" hidden="1" customHeight="1">
      <c r="A1064" s="397"/>
      <c r="B1064" s="398" t="s">
        <v>1389</v>
      </c>
      <c r="C1064" s="399" t="s">
        <v>1390</v>
      </c>
      <c r="D1064" s="385" t="s">
        <v>1391</v>
      </c>
      <c r="E1064" s="400"/>
      <c r="F1064" s="400" t="s">
        <v>1286</v>
      </c>
      <c r="G1064" s="432">
        <v>40000</v>
      </c>
      <c r="H1064" s="434">
        <v>1</v>
      </c>
      <c r="I1064" s="417"/>
      <c r="J1064" s="260" t="s">
        <v>969</v>
      </c>
    </row>
    <row r="1065" spans="1:10" ht="25" hidden="1" customHeight="1">
      <c r="A1065" s="397"/>
      <c r="B1065" s="398" t="s">
        <v>1392</v>
      </c>
      <c r="C1065" s="399" t="s">
        <v>1390</v>
      </c>
      <c r="D1065" s="385" t="s">
        <v>1382</v>
      </c>
      <c r="E1065" s="400"/>
      <c r="F1065" s="400" t="s">
        <v>1286</v>
      </c>
      <c r="G1065" s="432">
        <v>40000</v>
      </c>
      <c r="H1065" s="434">
        <v>1</v>
      </c>
      <c r="I1065" s="417"/>
      <c r="J1065" s="260" t="s">
        <v>969</v>
      </c>
    </row>
    <row r="1066" spans="1:10" ht="25" hidden="1" customHeight="1">
      <c r="A1066" s="397"/>
      <c r="B1066" s="398" t="s">
        <v>1393</v>
      </c>
      <c r="C1066" s="399" t="s">
        <v>1390</v>
      </c>
      <c r="D1066" s="385" t="s">
        <v>1386</v>
      </c>
      <c r="E1066" s="400"/>
      <c r="F1066" s="400" t="s">
        <v>1286</v>
      </c>
      <c r="G1066" s="432">
        <v>40000</v>
      </c>
      <c r="H1066" s="434">
        <v>1</v>
      </c>
      <c r="I1066" s="417"/>
      <c r="J1066" s="260" t="s">
        <v>969</v>
      </c>
    </row>
    <row r="1067" spans="1:10" ht="25" hidden="1" customHeight="1">
      <c r="A1067" s="397"/>
      <c r="B1067" s="398" t="s">
        <v>1394</v>
      </c>
      <c r="C1067" s="399" t="s">
        <v>1395</v>
      </c>
      <c r="D1067" s="385" t="s">
        <v>1382</v>
      </c>
      <c r="E1067" s="400"/>
      <c r="F1067" s="400" t="s">
        <v>1286</v>
      </c>
      <c r="G1067" s="432">
        <v>40000</v>
      </c>
      <c r="H1067" s="434">
        <v>1</v>
      </c>
      <c r="I1067" s="417"/>
      <c r="J1067" s="260" t="s">
        <v>969</v>
      </c>
    </row>
    <row r="1068" spans="1:10" ht="25" hidden="1" customHeight="1">
      <c r="A1068" s="397"/>
      <c r="B1068" s="398" t="s">
        <v>1396</v>
      </c>
      <c r="C1068" s="399" t="s">
        <v>1397</v>
      </c>
      <c r="D1068" s="385" t="s">
        <v>1382</v>
      </c>
      <c r="E1068" s="400"/>
      <c r="F1068" s="400" t="s">
        <v>1286</v>
      </c>
      <c r="G1068" s="432">
        <v>40000</v>
      </c>
      <c r="H1068" s="434">
        <v>1</v>
      </c>
      <c r="I1068" s="417"/>
      <c r="J1068" s="260" t="s">
        <v>969</v>
      </c>
    </row>
    <row r="1069" spans="1:10" ht="25" hidden="1" customHeight="1">
      <c r="A1069" s="397"/>
      <c r="B1069" s="398" t="s">
        <v>1398</v>
      </c>
      <c r="C1069" s="399" t="s">
        <v>1399</v>
      </c>
      <c r="D1069" s="385" t="s">
        <v>1386</v>
      </c>
      <c r="E1069" s="400"/>
      <c r="F1069" s="400" t="s">
        <v>1286</v>
      </c>
      <c r="G1069" s="432">
        <v>40000</v>
      </c>
      <c r="H1069" s="434">
        <v>1</v>
      </c>
      <c r="I1069" s="417"/>
      <c r="J1069" s="260" t="s">
        <v>969</v>
      </c>
    </row>
    <row r="1070" spans="1:10" ht="25" hidden="1" customHeight="1">
      <c r="A1070" s="397"/>
      <c r="B1070" s="398" t="s">
        <v>1400</v>
      </c>
      <c r="C1070" s="399" t="s">
        <v>1401</v>
      </c>
      <c r="D1070" s="385" t="s">
        <v>1391</v>
      </c>
      <c r="E1070" s="400"/>
      <c r="F1070" s="400" t="s">
        <v>1286</v>
      </c>
      <c r="G1070" s="432">
        <v>40000</v>
      </c>
      <c r="H1070" s="434">
        <v>1</v>
      </c>
      <c r="I1070" s="417"/>
      <c r="J1070" s="260" t="s">
        <v>969</v>
      </c>
    </row>
    <row r="1071" spans="1:10" ht="25" hidden="1" customHeight="1">
      <c r="A1071" s="397"/>
      <c r="B1071" s="398" t="s">
        <v>1402</v>
      </c>
      <c r="C1071" s="399" t="s">
        <v>1403</v>
      </c>
      <c r="D1071" s="385" t="s">
        <v>1391</v>
      </c>
      <c r="E1071" s="400"/>
      <c r="F1071" s="400" t="s">
        <v>1286</v>
      </c>
      <c r="G1071" s="432">
        <v>40000</v>
      </c>
      <c r="H1071" s="434">
        <v>1</v>
      </c>
      <c r="I1071" s="417"/>
      <c r="J1071" s="260" t="s">
        <v>969</v>
      </c>
    </row>
    <row r="1072" spans="1:10" ht="25" hidden="1" customHeight="1">
      <c r="A1072" s="397"/>
      <c r="B1072" s="398" t="s">
        <v>1404</v>
      </c>
      <c r="C1072" s="399" t="s">
        <v>1405</v>
      </c>
      <c r="D1072" s="385" t="s">
        <v>1391</v>
      </c>
      <c r="E1072" s="400"/>
      <c r="F1072" s="400" t="s">
        <v>1286</v>
      </c>
      <c r="G1072" s="432">
        <v>40000</v>
      </c>
      <c r="H1072" s="434">
        <v>1</v>
      </c>
      <c r="I1072" s="417"/>
      <c r="J1072" s="260" t="s">
        <v>969</v>
      </c>
    </row>
    <row r="1073" spans="1:10" ht="25" hidden="1" customHeight="1">
      <c r="A1073" s="397"/>
      <c r="B1073" s="398" t="s">
        <v>1406</v>
      </c>
      <c r="C1073" s="399" t="s">
        <v>1407</v>
      </c>
      <c r="D1073" s="385" t="s">
        <v>1386</v>
      </c>
      <c r="E1073" s="400"/>
      <c r="F1073" s="400" t="s">
        <v>1286</v>
      </c>
      <c r="G1073" s="432">
        <v>40000</v>
      </c>
      <c r="H1073" s="434">
        <v>1</v>
      </c>
      <c r="I1073" s="417"/>
      <c r="J1073" s="260" t="s">
        <v>969</v>
      </c>
    </row>
    <row r="1074" spans="1:10" s="467" customFormat="1" ht="25" hidden="1" customHeight="1">
      <c r="A1074" s="470"/>
      <c r="B1074" s="471"/>
      <c r="C1074" s="472" t="s">
        <v>1359</v>
      </c>
      <c r="D1074" s="473" t="s">
        <v>1408</v>
      </c>
      <c r="E1074" s="474"/>
      <c r="F1074" s="474"/>
      <c r="G1074" s="475"/>
      <c r="H1074" s="476"/>
      <c r="I1074" s="477"/>
    </row>
    <row r="1075" spans="1:10" hidden="1">
      <c r="A1075" s="281"/>
      <c r="B1075" s="282"/>
      <c r="C1075" s="338" t="s">
        <v>1359</v>
      </c>
      <c r="D1075" s="284" t="s">
        <v>63</v>
      </c>
      <c r="E1075" s="285"/>
      <c r="F1075" s="285" t="s">
        <v>31</v>
      </c>
      <c r="G1075" s="286">
        <v>100000</v>
      </c>
      <c r="H1075" s="287">
        <v>1</v>
      </c>
      <c r="I1075" s="478"/>
    </row>
    <row r="1076" spans="1:10" hidden="1">
      <c r="A1076" s="289"/>
      <c r="B1076" s="290" t="s">
        <v>1409</v>
      </c>
      <c r="C1076" s="338" t="s">
        <v>1359</v>
      </c>
      <c r="D1076" s="292" t="s">
        <v>66</v>
      </c>
      <c r="E1076" s="277">
        <v>50</v>
      </c>
      <c r="F1076" s="293" t="s">
        <v>39</v>
      </c>
      <c r="G1076" s="294">
        <v>220000</v>
      </c>
      <c r="H1076" s="287">
        <v>1</v>
      </c>
      <c r="I1076" s="478"/>
    </row>
    <row r="1077" spans="1:10" hidden="1">
      <c r="A1077" s="289"/>
      <c r="B1077" s="290" t="s">
        <v>1410</v>
      </c>
      <c r="C1077" s="338" t="s">
        <v>1359</v>
      </c>
      <c r="D1077" s="292" t="s">
        <v>68</v>
      </c>
      <c r="E1077" s="277">
        <v>50</v>
      </c>
      <c r="F1077" s="293" t="s">
        <v>39</v>
      </c>
      <c r="G1077" s="294">
        <v>370000</v>
      </c>
      <c r="H1077" s="287">
        <v>1</v>
      </c>
      <c r="I1077" s="478"/>
    </row>
    <row r="1078" spans="1:10" hidden="1">
      <c r="A1078" s="289"/>
      <c r="B1078" s="290" t="s">
        <v>1411</v>
      </c>
      <c r="C1078" s="338" t="s">
        <v>1359</v>
      </c>
      <c r="D1078" s="292" t="s">
        <v>70</v>
      </c>
      <c r="E1078" s="277">
        <v>50</v>
      </c>
      <c r="F1078" s="293" t="s">
        <v>39</v>
      </c>
      <c r="G1078" s="294">
        <v>520000</v>
      </c>
      <c r="H1078" s="287">
        <v>1</v>
      </c>
      <c r="I1078" s="478"/>
    </row>
    <row r="1079" spans="1:10" hidden="1">
      <c r="A1079" s="289"/>
      <c r="B1079" s="290" t="s">
        <v>1412</v>
      </c>
      <c r="C1079" s="338" t="s">
        <v>1359</v>
      </c>
      <c r="D1079" s="292" t="s">
        <v>72</v>
      </c>
      <c r="E1079" s="277">
        <v>50</v>
      </c>
      <c r="F1079" s="293" t="s">
        <v>39</v>
      </c>
      <c r="G1079" s="294">
        <v>600000</v>
      </c>
      <c r="H1079" s="287">
        <v>1</v>
      </c>
      <c r="I1079" s="478"/>
    </row>
    <row r="1080" spans="1:10" hidden="1">
      <c r="A1080" s="296"/>
      <c r="B1080" s="297" t="s">
        <v>1413</v>
      </c>
      <c r="C1080" s="338" t="s">
        <v>1359</v>
      </c>
      <c r="D1080" s="299" t="s">
        <v>323</v>
      </c>
      <c r="E1080" s="277">
        <v>50</v>
      </c>
      <c r="F1080" s="300" t="s">
        <v>39</v>
      </c>
      <c r="G1080" s="301">
        <v>750000</v>
      </c>
      <c r="H1080" s="287">
        <v>1</v>
      </c>
      <c r="I1080" s="478"/>
    </row>
    <row r="1081" spans="1:10" hidden="1">
      <c r="A1081" s="281"/>
      <c r="B1081" s="282" t="s">
        <v>1414</v>
      </c>
      <c r="C1081" s="338" t="s">
        <v>1359</v>
      </c>
      <c r="D1081" s="284" t="s">
        <v>63</v>
      </c>
      <c r="E1081" s="277">
        <v>50</v>
      </c>
      <c r="F1081" s="285" t="s">
        <v>31</v>
      </c>
      <c r="G1081" s="286">
        <v>100000</v>
      </c>
      <c r="H1081" s="287">
        <v>0.5</v>
      </c>
      <c r="I1081" s="478"/>
    </row>
    <row r="1082" spans="1:10" hidden="1">
      <c r="A1082" s="289"/>
      <c r="B1082" s="290" t="s">
        <v>1415</v>
      </c>
      <c r="C1082" s="338" t="s">
        <v>1359</v>
      </c>
      <c r="D1082" s="292" t="s">
        <v>66</v>
      </c>
      <c r="E1082" s="277">
        <v>50</v>
      </c>
      <c r="F1082" s="293" t="s">
        <v>39</v>
      </c>
      <c r="G1082" s="294">
        <v>220000</v>
      </c>
      <c r="H1082" s="287">
        <v>0.5</v>
      </c>
      <c r="I1082" s="478"/>
    </row>
    <row r="1083" spans="1:10" hidden="1">
      <c r="A1083" s="289"/>
      <c r="B1083" s="290" t="s">
        <v>1416</v>
      </c>
      <c r="C1083" s="338" t="s">
        <v>1359</v>
      </c>
      <c r="D1083" s="292" t="s">
        <v>68</v>
      </c>
      <c r="E1083" s="277">
        <v>50</v>
      </c>
      <c r="F1083" s="293" t="s">
        <v>39</v>
      </c>
      <c r="G1083" s="294">
        <v>370000</v>
      </c>
      <c r="H1083" s="287">
        <v>0.5</v>
      </c>
      <c r="I1083" s="478"/>
    </row>
    <row r="1084" spans="1:10" hidden="1">
      <c r="A1084" s="289"/>
      <c r="B1084" s="290" t="s">
        <v>1417</v>
      </c>
      <c r="C1084" s="338" t="s">
        <v>1359</v>
      </c>
      <c r="D1084" s="292" t="s">
        <v>70</v>
      </c>
      <c r="E1084" s="277">
        <v>50</v>
      </c>
      <c r="F1084" s="293" t="s">
        <v>39</v>
      </c>
      <c r="G1084" s="294">
        <v>520000</v>
      </c>
      <c r="H1084" s="287">
        <v>0.5</v>
      </c>
      <c r="I1084" s="478"/>
    </row>
    <row r="1085" spans="1:10" hidden="1">
      <c r="A1085" s="289"/>
      <c r="B1085" s="290" t="s">
        <v>1418</v>
      </c>
      <c r="C1085" s="338" t="s">
        <v>1359</v>
      </c>
      <c r="D1085" s="292" t="s">
        <v>72</v>
      </c>
      <c r="E1085" s="277">
        <v>50</v>
      </c>
      <c r="F1085" s="293" t="s">
        <v>39</v>
      </c>
      <c r="G1085" s="294">
        <v>600000</v>
      </c>
      <c r="H1085" s="287">
        <v>0.5</v>
      </c>
      <c r="I1085" s="478"/>
    </row>
    <row r="1086" spans="1:10" hidden="1">
      <c r="A1086" s="296"/>
      <c r="B1086" s="297" t="s">
        <v>1419</v>
      </c>
      <c r="C1086" s="338" t="s">
        <v>1359</v>
      </c>
      <c r="D1086" s="299" t="s">
        <v>323</v>
      </c>
      <c r="E1086" s="277">
        <v>50</v>
      </c>
      <c r="F1086" s="300" t="s">
        <v>39</v>
      </c>
      <c r="G1086" s="301">
        <v>750000</v>
      </c>
      <c r="H1086" s="287">
        <v>0.5</v>
      </c>
      <c r="I1086" s="478"/>
    </row>
    <row r="1087" spans="1:10" hidden="1">
      <c r="C1087" s="481"/>
      <c r="D1087" s="482"/>
      <c r="E1087" s="483"/>
      <c r="F1087" s="483"/>
      <c r="G1087" s="484"/>
      <c r="H1087" s="485"/>
      <c r="I1087" s="478"/>
    </row>
    <row r="1088" spans="1:10" hidden="1">
      <c r="C1088" s="481"/>
      <c r="D1088" s="482"/>
      <c r="E1088" s="483"/>
      <c r="F1088" s="483"/>
      <c r="G1088" s="484"/>
      <c r="H1088" s="485"/>
      <c r="I1088" s="478"/>
    </row>
    <row r="1089" spans="3:9" hidden="1">
      <c r="C1089" s="481"/>
      <c r="D1089" s="482"/>
      <c r="E1089" s="483"/>
      <c r="F1089" s="483"/>
      <c r="G1089" s="484"/>
      <c r="H1089" s="485"/>
      <c r="I1089" s="478"/>
    </row>
    <row r="1090" spans="3:9" hidden="1">
      <c r="C1090" s="481"/>
      <c r="D1090" s="482"/>
      <c r="E1090" s="483"/>
      <c r="F1090" s="483"/>
      <c r="G1090" s="484"/>
      <c r="H1090" s="485"/>
      <c r="I1090" s="478"/>
    </row>
    <row r="1091" spans="3:9" hidden="1">
      <c r="C1091" s="481"/>
      <c r="D1091" s="482"/>
      <c r="E1091" s="483"/>
      <c r="F1091" s="483"/>
      <c r="G1091" s="484"/>
      <c r="H1091" s="485"/>
      <c r="I1091" s="478"/>
    </row>
    <row r="1092" spans="3:9" hidden="1">
      <c r="C1092" s="481"/>
      <c r="D1092" s="482"/>
      <c r="E1092" s="483"/>
      <c r="F1092" s="483"/>
      <c r="G1092" s="484"/>
      <c r="H1092" s="485"/>
      <c r="I1092" s="478"/>
    </row>
    <row r="1093" spans="3:9" hidden="1">
      <c r="C1093" s="481"/>
      <c r="D1093" s="482"/>
      <c r="E1093" s="483"/>
      <c r="F1093" s="483"/>
      <c r="G1093" s="484"/>
      <c r="H1093" s="485"/>
      <c r="I1093" s="478"/>
    </row>
    <row r="1094" spans="3:9" hidden="1">
      <c r="C1094" s="481"/>
      <c r="D1094" s="482"/>
      <c r="E1094" s="483"/>
      <c r="F1094" s="483"/>
      <c r="G1094" s="484"/>
      <c r="H1094" s="485"/>
      <c r="I1094" s="478"/>
    </row>
    <row r="1095" spans="3:9" hidden="1">
      <c r="C1095" s="481"/>
      <c r="D1095" s="482"/>
      <c r="E1095" s="483"/>
      <c r="F1095" s="483"/>
      <c r="G1095" s="484"/>
      <c r="H1095" s="485"/>
      <c r="I1095" s="478"/>
    </row>
    <row r="1096" spans="3:9" hidden="1">
      <c r="C1096" s="481"/>
      <c r="D1096" s="482"/>
      <c r="E1096" s="483"/>
      <c r="F1096" s="483"/>
      <c r="G1096" s="484"/>
      <c r="H1096" s="485"/>
      <c r="I1096" s="478"/>
    </row>
    <row r="1097" spans="3:9" hidden="1">
      <c r="C1097" s="481"/>
      <c r="D1097" s="482"/>
      <c r="E1097" s="483"/>
      <c r="F1097" s="483"/>
      <c r="G1097" s="484"/>
      <c r="H1097" s="485"/>
      <c r="I1097" s="478"/>
    </row>
    <row r="1098" spans="3:9" hidden="1">
      <c r="C1098" s="481"/>
      <c r="D1098" s="482"/>
      <c r="E1098" s="483"/>
      <c r="F1098" s="483"/>
      <c r="G1098" s="484"/>
      <c r="H1098" s="485"/>
      <c r="I1098" s="478"/>
    </row>
    <row r="1099" spans="3:9" hidden="1">
      <c r="C1099" s="481"/>
      <c r="D1099" s="482"/>
      <c r="E1099" s="483"/>
      <c r="F1099" s="483"/>
      <c r="G1099" s="484"/>
      <c r="H1099" s="485"/>
      <c r="I1099" s="478"/>
    </row>
    <row r="1100" spans="3:9" hidden="1">
      <c r="C1100" s="481"/>
      <c r="D1100" s="482"/>
      <c r="E1100" s="483"/>
      <c r="F1100" s="483"/>
      <c r="G1100" s="484"/>
      <c r="H1100" s="485"/>
      <c r="I1100" s="478"/>
    </row>
    <row r="1101" spans="3:9" hidden="1">
      <c r="C1101" s="481"/>
      <c r="D1101" s="482"/>
      <c r="E1101" s="483"/>
      <c r="F1101" s="483"/>
      <c r="G1101" s="484"/>
      <c r="H1101" s="485"/>
      <c r="I1101" s="478"/>
    </row>
    <row r="1102" spans="3:9" hidden="1">
      <c r="C1102" s="481"/>
      <c r="D1102" s="482"/>
      <c r="E1102" s="483"/>
      <c r="F1102" s="483"/>
      <c r="G1102" s="484"/>
      <c r="H1102" s="485"/>
      <c r="I1102" s="478"/>
    </row>
    <row r="1103" spans="3:9" hidden="1">
      <c r="C1103" s="481"/>
      <c r="D1103" s="482"/>
      <c r="E1103" s="483"/>
      <c r="F1103" s="483"/>
      <c r="G1103" s="484"/>
      <c r="H1103" s="485"/>
      <c r="I1103" s="478"/>
    </row>
    <row r="1104" spans="3:9" hidden="1">
      <c r="C1104" s="481"/>
      <c r="D1104" s="482"/>
      <c r="E1104" s="483"/>
      <c r="F1104" s="483"/>
      <c r="G1104" s="484"/>
      <c r="H1104" s="485"/>
      <c r="I1104" s="478"/>
    </row>
    <row r="1105" spans="3:9" hidden="1">
      <c r="C1105" s="481"/>
      <c r="D1105" s="482"/>
      <c r="E1105" s="483"/>
      <c r="F1105" s="483"/>
      <c r="G1105" s="484"/>
      <c r="H1105" s="485"/>
      <c r="I1105" s="478"/>
    </row>
    <row r="1106" spans="3:9" hidden="1">
      <c r="C1106" s="481"/>
      <c r="D1106" s="482"/>
      <c r="E1106" s="483"/>
      <c r="F1106" s="483"/>
      <c r="G1106" s="484"/>
      <c r="H1106" s="485"/>
      <c r="I1106" s="478"/>
    </row>
    <row r="1107" spans="3:9" hidden="1">
      <c r="C1107" s="481"/>
      <c r="D1107" s="482"/>
      <c r="E1107" s="483"/>
      <c r="F1107" s="483"/>
      <c r="G1107" s="484"/>
      <c r="H1107" s="485"/>
      <c r="I1107" s="478"/>
    </row>
    <row r="1108" spans="3:9" hidden="1">
      <c r="C1108" s="481"/>
      <c r="D1108" s="482"/>
      <c r="E1108" s="483"/>
      <c r="F1108" s="483"/>
      <c r="G1108" s="484"/>
      <c r="H1108" s="485"/>
      <c r="I1108" s="478"/>
    </row>
    <row r="1109" spans="3:9" hidden="1">
      <c r="C1109" s="481"/>
      <c r="D1109" s="482"/>
      <c r="E1109" s="483"/>
      <c r="F1109" s="483"/>
      <c r="G1109" s="484"/>
      <c r="H1109" s="485"/>
      <c r="I1109" s="478"/>
    </row>
    <row r="1110" spans="3:9" hidden="1">
      <c r="C1110" s="481"/>
      <c r="D1110" s="482"/>
      <c r="E1110" s="483"/>
      <c r="F1110" s="483"/>
      <c r="G1110" s="484"/>
      <c r="H1110" s="485"/>
      <c r="I1110" s="478"/>
    </row>
    <row r="1111" spans="3:9" hidden="1">
      <c r="C1111" s="481"/>
      <c r="D1111" s="482"/>
      <c r="E1111" s="483"/>
      <c r="F1111" s="483"/>
      <c r="G1111" s="484"/>
      <c r="H1111" s="485"/>
      <c r="I1111" s="478"/>
    </row>
    <row r="1112" spans="3:9" hidden="1">
      <c r="C1112" s="481"/>
      <c r="D1112" s="482"/>
      <c r="E1112" s="483"/>
      <c r="F1112" s="483"/>
      <c r="G1112" s="484"/>
      <c r="H1112" s="485"/>
      <c r="I1112" s="478"/>
    </row>
    <row r="1113" spans="3:9" hidden="1">
      <c r="C1113" s="481"/>
      <c r="D1113" s="482"/>
      <c r="E1113" s="483"/>
      <c r="F1113" s="483"/>
      <c r="G1113" s="484"/>
      <c r="H1113" s="485"/>
      <c r="I1113" s="478"/>
    </row>
    <row r="1114" spans="3:9" hidden="1">
      <c r="C1114" s="481"/>
      <c r="D1114" s="482"/>
      <c r="E1114" s="483"/>
      <c r="F1114" s="483"/>
      <c r="G1114" s="484"/>
      <c r="H1114" s="485"/>
      <c r="I1114" s="478"/>
    </row>
    <row r="1115" spans="3:9" hidden="1">
      <c r="C1115" s="481"/>
      <c r="D1115" s="482"/>
      <c r="E1115" s="483"/>
      <c r="F1115" s="483"/>
      <c r="G1115" s="484"/>
      <c r="H1115" s="485"/>
      <c r="I1115" s="478"/>
    </row>
    <row r="1116" spans="3:9" hidden="1">
      <c r="C1116" s="481"/>
      <c r="D1116" s="482"/>
      <c r="E1116" s="483"/>
      <c r="F1116" s="483"/>
      <c r="G1116" s="484"/>
      <c r="H1116" s="485"/>
      <c r="I1116" s="478"/>
    </row>
    <row r="1117" spans="3:9" hidden="1">
      <c r="C1117" s="481"/>
      <c r="D1117" s="482"/>
      <c r="E1117" s="483"/>
      <c r="F1117" s="483"/>
      <c r="G1117" s="484"/>
      <c r="H1117" s="485"/>
      <c r="I1117" s="478"/>
    </row>
    <row r="1118" spans="3:9" hidden="1">
      <c r="C1118" s="481"/>
      <c r="D1118" s="482"/>
      <c r="E1118" s="483"/>
      <c r="F1118" s="483"/>
      <c r="G1118" s="484"/>
      <c r="H1118" s="485"/>
      <c r="I1118" s="478"/>
    </row>
    <row r="1119" spans="3:9" hidden="1">
      <c r="C1119" s="481"/>
      <c r="D1119" s="482"/>
      <c r="E1119" s="483"/>
      <c r="F1119" s="483"/>
      <c r="G1119" s="484"/>
      <c r="H1119" s="485"/>
      <c r="I1119" s="478"/>
    </row>
    <row r="1120" spans="3:9" hidden="1">
      <c r="C1120" s="481"/>
      <c r="D1120" s="482"/>
      <c r="E1120" s="483"/>
      <c r="F1120" s="483"/>
      <c r="G1120" s="484"/>
      <c r="H1120" s="485"/>
      <c r="I1120" s="478"/>
    </row>
    <row r="1121" spans="3:9" hidden="1">
      <c r="C1121" s="481"/>
      <c r="D1121" s="482"/>
      <c r="E1121" s="483"/>
      <c r="F1121" s="483"/>
      <c r="G1121" s="484"/>
      <c r="H1121" s="485"/>
      <c r="I1121" s="478"/>
    </row>
    <row r="1122" spans="3:9" hidden="1">
      <c r="C1122" s="481"/>
      <c r="D1122" s="482"/>
      <c r="E1122" s="483"/>
      <c r="F1122" s="483"/>
      <c r="G1122" s="484"/>
      <c r="H1122" s="485"/>
      <c r="I1122" s="478"/>
    </row>
    <row r="1123" spans="3:9" hidden="1">
      <c r="C1123" s="481"/>
      <c r="D1123" s="482"/>
      <c r="E1123" s="483"/>
      <c r="F1123" s="483"/>
      <c r="G1123" s="484"/>
      <c r="H1123" s="485"/>
      <c r="I1123" s="478"/>
    </row>
    <row r="1124" spans="3:9" hidden="1">
      <c r="C1124" s="481"/>
      <c r="D1124" s="482"/>
      <c r="E1124" s="483"/>
      <c r="F1124" s="483"/>
      <c r="G1124" s="484"/>
      <c r="H1124" s="485"/>
      <c r="I1124" s="478"/>
    </row>
    <row r="1125" spans="3:9" hidden="1">
      <c r="C1125" s="481"/>
      <c r="D1125" s="482"/>
      <c r="E1125" s="483"/>
      <c r="F1125" s="483"/>
      <c r="G1125" s="484"/>
      <c r="H1125" s="485"/>
      <c r="I1125" s="478"/>
    </row>
    <row r="1126" spans="3:9" hidden="1">
      <c r="C1126" s="481"/>
      <c r="D1126" s="482"/>
      <c r="E1126" s="483"/>
      <c r="F1126" s="483"/>
      <c r="G1126" s="484"/>
      <c r="H1126" s="485"/>
      <c r="I1126" s="478"/>
    </row>
    <row r="1127" spans="3:9" hidden="1">
      <c r="C1127" s="481"/>
      <c r="D1127" s="482"/>
      <c r="E1127" s="483"/>
      <c r="F1127" s="483"/>
      <c r="G1127" s="484"/>
      <c r="H1127" s="485"/>
      <c r="I1127" s="478"/>
    </row>
    <row r="1128" spans="3:9" hidden="1">
      <c r="C1128" s="481"/>
      <c r="D1128" s="482"/>
      <c r="E1128" s="483"/>
      <c r="F1128" s="483"/>
      <c r="G1128" s="484"/>
      <c r="H1128" s="485"/>
      <c r="I1128" s="478"/>
    </row>
    <row r="1129" spans="3:9" hidden="1">
      <c r="C1129" s="481"/>
      <c r="D1129" s="482"/>
      <c r="E1129" s="483"/>
      <c r="F1129" s="483"/>
      <c r="G1129" s="484"/>
      <c r="H1129" s="485"/>
      <c r="I1129" s="478"/>
    </row>
    <row r="1130" spans="3:9" hidden="1">
      <c r="C1130" s="481"/>
      <c r="D1130" s="482"/>
      <c r="E1130" s="483"/>
      <c r="F1130" s="483"/>
      <c r="G1130" s="484"/>
      <c r="H1130" s="485"/>
      <c r="I1130" s="478"/>
    </row>
    <row r="1131" spans="3:9" hidden="1">
      <c r="C1131" s="481"/>
      <c r="D1131" s="482"/>
      <c r="E1131" s="483"/>
      <c r="F1131" s="483"/>
      <c r="G1131" s="484"/>
      <c r="H1131" s="485"/>
      <c r="I1131" s="478"/>
    </row>
    <row r="1132" spans="3:9" hidden="1">
      <c r="D1132" s="486"/>
      <c r="G1132" s="488"/>
    </row>
    <row r="1133" spans="3:9" hidden="1">
      <c r="D1133" s="486"/>
      <c r="G1133" s="488"/>
    </row>
    <row r="1134" spans="3:9" hidden="1">
      <c r="D1134" s="486"/>
      <c r="G1134" s="488"/>
    </row>
    <row r="1135" spans="3:9" hidden="1">
      <c r="D1135" s="486"/>
      <c r="G1135" s="488"/>
    </row>
    <row r="1136" spans="3:9" hidden="1">
      <c r="D1136" s="486"/>
      <c r="G1136" s="488"/>
    </row>
    <row r="1137" spans="1:9" hidden="1">
      <c r="D1137" s="486"/>
      <c r="G1137" s="488"/>
    </row>
    <row r="1138" spans="1:9" hidden="1">
      <c r="D1138" s="486"/>
      <c r="G1138" s="488"/>
    </row>
    <row r="1139" spans="1:9" hidden="1">
      <c r="D1139" s="486"/>
      <c r="G1139" s="488"/>
    </row>
    <row r="1140" spans="1:9" hidden="1">
      <c r="D1140" s="486"/>
      <c r="G1140" s="488"/>
    </row>
    <row r="1141" spans="1:9" hidden="1">
      <c r="D1141" s="486"/>
      <c r="G1141" s="488"/>
    </row>
    <row r="1142" spans="1:9" hidden="1">
      <c r="D1142" s="486"/>
      <c r="G1142" s="488"/>
    </row>
    <row r="1143" spans="1:9" hidden="1">
      <c r="D1143" s="486"/>
      <c r="G1143" s="488"/>
    </row>
    <row r="1144" spans="1:9" hidden="1">
      <c r="D1144" s="486"/>
      <c r="G1144" s="488"/>
    </row>
    <row r="1145" spans="1:9" s="489" customFormat="1" hidden="1">
      <c r="A1145" s="479"/>
      <c r="B1145" s="480"/>
      <c r="C1145" s="260"/>
      <c r="D1145" s="486"/>
      <c r="E1145" s="487"/>
      <c r="F1145" s="487"/>
      <c r="G1145" s="488"/>
      <c r="I1145" s="490"/>
    </row>
    <row r="1146" spans="1:9" s="489" customFormat="1" hidden="1">
      <c r="A1146" s="479"/>
      <c r="B1146" s="480"/>
      <c r="C1146" s="260"/>
      <c r="D1146" s="486"/>
      <c r="E1146" s="487"/>
      <c r="F1146" s="487"/>
      <c r="G1146" s="488"/>
      <c r="I1146" s="490"/>
    </row>
    <row r="1147" spans="1:9" s="489" customFormat="1" hidden="1">
      <c r="A1147" s="479"/>
      <c r="B1147" s="480"/>
      <c r="C1147" s="260"/>
      <c r="D1147" s="486"/>
      <c r="E1147" s="487"/>
      <c r="F1147" s="487"/>
      <c r="G1147" s="488"/>
      <c r="I1147" s="490"/>
    </row>
    <row r="1148" spans="1:9" s="489" customFormat="1" hidden="1">
      <c r="A1148" s="479"/>
      <c r="B1148" s="480"/>
      <c r="C1148" s="260"/>
      <c r="D1148" s="486"/>
      <c r="E1148" s="487"/>
      <c r="F1148" s="487"/>
      <c r="G1148" s="488"/>
      <c r="I1148" s="490"/>
    </row>
    <row r="1149" spans="1:9" s="489" customFormat="1" hidden="1">
      <c r="A1149" s="479"/>
      <c r="B1149" s="480"/>
      <c r="C1149" s="260"/>
      <c r="D1149" s="486"/>
      <c r="E1149" s="487"/>
      <c r="F1149" s="487"/>
      <c r="G1149" s="488"/>
      <c r="I1149" s="490"/>
    </row>
    <row r="1150" spans="1:9" s="489" customFormat="1" hidden="1">
      <c r="A1150" s="479"/>
      <c r="B1150" s="480"/>
      <c r="C1150" s="260"/>
      <c r="D1150" s="486"/>
      <c r="E1150" s="487"/>
      <c r="F1150" s="487"/>
      <c r="G1150" s="488"/>
      <c r="I1150" s="490"/>
    </row>
    <row r="1151" spans="1:9" s="489" customFormat="1" hidden="1">
      <c r="A1151" s="479"/>
      <c r="B1151" s="480"/>
      <c r="C1151" s="260"/>
      <c r="D1151" s="486"/>
      <c r="E1151" s="487"/>
      <c r="F1151" s="487"/>
      <c r="G1151" s="488"/>
      <c r="I1151" s="490"/>
    </row>
    <row r="1152" spans="1:9" s="489" customFormat="1" hidden="1">
      <c r="A1152" s="479"/>
      <c r="B1152" s="480"/>
      <c r="C1152" s="260"/>
      <c r="D1152" s="486"/>
      <c r="E1152" s="487"/>
      <c r="F1152" s="487"/>
      <c r="G1152" s="488"/>
      <c r="I1152" s="490"/>
    </row>
    <row r="1153" spans="1:9" s="489" customFormat="1" hidden="1">
      <c r="A1153" s="479"/>
      <c r="B1153" s="480"/>
      <c r="C1153" s="260"/>
      <c r="D1153" s="486"/>
      <c r="E1153" s="487"/>
      <c r="F1153" s="487"/>
      <c r="G1153" s="488"/>
      <c r="I1153" s="490"/>
    </row>
    <row r="1154" spans="1:9" s="489" customFormat="1" hidden="1">
      <c r="A1154" s="479"/>
      <c r="B1154" s="480"/>
      <c r="C1154" s="260"/>
      <c r="D1154" s="486"/>
      <c r="E1154" s="487"/>
      <c r="F1154" s="487"/>
      <c r="G1154" s="488"/>
      <c r="I1154" s="490"/>
    </row>
    <row r="1155" spans="1:9" s="489" customFormat="1" hidden="1">
      <c r="A1155" s="479"/>
      <c r="B1155" s="480"/>
      <c r="C1155" s="260"/>
      <c r="D1155" s="486"/>
      <c r="E1155" s="487"/>
      <c r="F1155" s="487"/>
      <c r="G1155" s="488"/>
      <c r="I1155" s="490"/>
    </row>
    <row r="1156" spans="1:9" s="489" customFormat="1" hidden="1">
      <c r="A1156" s="479"/>
      <c r="B1156" s="480"/>
      <c r="C1156" s="260"/>
      <c r="D1156" s="486"/>
      <c r="E1156" s="487"/>
      <c r="F1156" s="487"/>
      <c r="G1156" s="488"/>
      <c r="I1156" s="490"/>
    </row>
    <row r="1157" spans="1:9" s="489" customFormat="1" hidden="1">
      <c r="A1157" s="479"/>
      <c r="B1157" s="480"/>
      <c r="C1157" s="260"/>
      <c r="D1157" s="486"/>
      <c r="E1157" s="487"/>
      <c r="F1157" s="487"/>
      <c r="G1157" s="488"/>
      <c r="I1157" s="490"/>
    </row>
    <row r="1158" spans="1:9" s="489" customFormat="1" hidden="1">
      <c r="A1158" s="479"/>
      <c r="B1158" s="480"/>
      <c r="C1158" s="260"/>
      <c r="D1158" s="486"/>
      <c r="E1158" s="487"/>
      <c r="F1158" s="487"/>
      <c r="G1158" s="488"/>
      <c r="I1158" s="490"/>
    </row>
    <row r="1159" spans="1:9" s="489" customFormat="1" hidden="1">
      <c r="A1159" s="479"/>
      <c r="B1159" s="480"/>
      <c r="C1159" s="260"/>
      <c r="D1159" s="486"/>
      <c r="E1159" s="487"/>
      <c r="F1159" s="487"/>
      <c r="G1159" s="488"/>
      <c r="I1159" s="490"/>
    </row>
    <row r="1160" spans="1:9" s="489" customFormat="1" hidden="1">
      <c r="A1160" s="479"/>
      <c r="B1160" s="480"/>
      <c r="C1160" s="260"/>
      <c r="D1160" s="486"/>
      <c r="E1160" s="487"/>
      <c r="F1160" s="487"/>
      <c r="G1160" s="488"/>
      <c r="I1160" s="490"/>
    </row>
    <row r="1161" spans="1:9" s="489" customFormat="1" hidden="1">
      <c r="A1161" s="479"/>
      <c r="B1161" s="480"/>
      <c r="C1161" s="260"/>
      <c r="D1161" s="486"/>
      <c r="E1161" s="487"/>
      <c r="F1161" s="487"/>
      <c r="G1161" s="488"/>
      <c r="I1161" s="490"/>
    </row>
  </sheetData>
  <autoFilter ref="C1:C1161" xr:uid="{00000000-0009-0000-0000-000001000000}">
    <filterColumn colId="0">
      <filters>
        <filter val="Vú sữa"/>
        <filter val="Vú sữa vượt mật độ"/>
      </filters>
    </filterColumn>
    <sortState xmlns:xlrd2="http://schemas.microsoft.com/office/spreadsheetml/2017/richdata2" ref="A52:H451">
      <sortCondition ref="C1:C1161"/>
    </sortState>
  </autoFilter>
  <mergeCells count="1">
    <mergeCell ref="A1:H1"/>
  </mergeCells>
  <pageMargins left="0.7" right="0.17" top="0.28000000000000003" bottom="0.32" header="0.3" footer="0.3"/>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499984740745262"/>
  </sheetPr>
  <dimension ref="A1:J1161"/>
  <sheetViews>
    <sheetView showGridLines="0" zoomScale="120" zoomScaleNormal="120" workbookViewId="0">
      <pane xSplit="13" ySplit="2" topLeftCell="N71" activePane="bottomRight" state="frozen"/>
      <selection pane="topRight"/>
      <selection pane="bottomLeft"/>
      <selection pane="bottomRight" activeCell="D73" sqref="D73"/>
    </sheetView>
  </sheetViews>
  <sheetFormatPr defaultColWidth="9.08984375" defaultRowHeight="14"/>
  <cols>
    <col min="1" max="1" width="5.90625" style="3" customWidth="1"/>
    <col min="2" max="2" width="15.90625" style="56" customWidth="1"/>
    <col min="3" max="3" width="30.453125" style="5" customWidth="1"/>
    <col min="4" max="4" width="22.54296875" style="5" customWidth="1"/>
    <col min="5" max="5" width="11.54296875" style="6" customWidth="1"/>
    <col min="6" max="6" width="8.54296875" style="6" customWidth="1"/>
    <col min="7" max="7" width="14.453125" style="7" customWidth="1"/>
    <col min="8" max="8" width="11.08984375" style="2" customWidth="1"/>
    <col min="9" max="9" width="11.08984375" style="57" customWidth="1"/>
    <col min="10" max="10" width="19.90625" style="5" customWidth="1"/>
    <col min="11" max="11" width="9.08984375" style="5"/>
    <col min="12" max="12" width="11" style="5" customWidth="1"/>
    <col min="13" max="16384" width="9.08984375" style="5"/>
  </cols>
  <sheetData>
    <row r="1" spans="1:10" ht="23.25" customHeight="1">
      <c r="A1" s="688" t="s">
        <v>50</v>
      </c>
      <c r="B1" s="688"/>
      <c r="C1" s="688"/>
      <c r="D1" s="688"/>
      <c r="E1" s="688"/>
      <c r="F1" s="688"/>
      <c r="G1" s="688"/>
      <c r="H1" s="688"/>
      <c r="I1" s="7"/>
    </row>
    <row r="2" spans="1:10" s="47" customFormat="1" ht="33.75" customHeight="1">
      <c r="A2" s="58" t="s">
        <v>51</v>
      </c>
      <c r="B2" s="59" t="s">
        <v>52</v>
      </c>
      <c r="C2" s="59" t="s">
        <v>53</v>
      </c>
      <c r="D2" s="59" t="s">
        <v>54</v>
      </c>
      <c r="E2" s="58" t="s">
        <v>55</v>
      </c>
      <c r="F2" s="58" t="s">
        <v>56</v>
      </c>
      <c r="G2" s="60" t="s">
        <v>57</v>
      </c>
      <c r="H2" s="61" t="s">
        <v>58</v>
      </c>
      <c r="I2" s="62"/>
    </row>
    <row r="3" spans="1:10" s="48" customFormat="1" ht="25" customHeight="1">
      <c r="A3" s="12"/>
      <c r="B3" s="12"/>
      <c r="C3" s="253" t="s">
        <v>59</v>
      </c>
      <c r="D3" s="12"/>
      <c r="E3" s="13"/>
      <c r="F3" s="12"/>
      <c r="G3" s="14"/>
      <c r="H3" s="15"/>
      <c r="I3" s="14"/>
    </row>
    <row r="4" spans="1:10" ht="32.25" customHeight="1">
      <c r="A4" s="63"/>
      <c r="B4" s="64"/>
      <c r="C4" s="65" t="s">
        <v>60</v>
      </c>
      <c r="D4" s="66"/>
      <c r="E4" s="67" t="s">
        <v>61</v>
      </c>
      <c r="F4" s="66"/>
      <c r="G4" s="68"/>
      <c r="H4" s="69"/>
      <c r="I4" s="68"/>
    </row>
    <row r="5" spans="1:10" ht="25" customHeight="1">
      <c r="A5" s="70"/>
      <c r="B5" s="71" t="s">
        <v>62</v>
      </c>
      <c r="C5" s="72" t="s">
        <v>60</v>
      </c>
      <c r="D5" s="73" t="s">
        <v>63</v>
      </c>
      <c r="E5" s="74"/>
      <c r="F5" s="74" t="s">
        <v>31</v>
      </c>
      <c r="G5" s="75">
        <v>70000</v>
      </c>
      <c r="H5" s="76">
        <v>1</v>
      </c>
      <c r="I5" s="77">
        <f>+G5</f>
        <v>70000</v>
      </c>
      <c r="J5" s="5" t="s">
        <v>64</v>
      </c>
    </row>
    <row r="6" spans="1:10" ht="25" customHeight="1">
      <c r="A6" s="78"/>
      <c r="B6" s="79" t="s">
        <v>65</v>
      </c>
      <c r="C6" s="80" t="s">
        <v>60</v>
      </c>
      <c r="D6" s="81" t="s">
        <v>66</v>
      </c>
      <c r="E6" s="82">
        <v>10</v>
      </c>
      <c r="F6" s="82" t="s">
        <v>39</v>
      </c>
      <c r="G6" s="83">
        <v>200000</v>
      </c>
      <c r="H6" s="76">
        <v>1</v>
      </c>
      <c r="I6" s="84">
        <f>+G6/E6</f>
        <v>20000</v>
      </c>
      <c r="J6" s="5" t="s">
        <v>64</v>
      </c>
    </row>
    <row r="7" spans="1:10" ht="25" customHeight="1">
      <c r="A7" s="78"/>
      <c r="B7" s="79" t="s">
        <v>67</v>
      </c>
      <c r="C7" s="80" t="s">
        <v>60</v>
      </c>
      <c r="D7" s="81" t="s">
        <v>68</v>
      </c>
      <c r="E7" s="82">
        <v>10</v>
      </c>
      <c r="F7" s="82" t="s">
        <v>39</v>
      </c>
      <c r="G7" s="83">
        <v>500000</v>
      </c>
      <c r="H7" s="76">
        <v>1</v>
      </c>
      <c r="I7" s="84">
        <f>+G7/E7</f>
        <v>50000</v>
      </c>
      <c r="J7" s="5" t="s">
        <v>64</v>
      </c>
    </row>
    <row r="8" spans="1:10" ht="25" customHeight="1">
      <c r="A8" s="78"/>
      <c r="B8" s="79" t="s">
        <v>69</v>
      </c>
      <c r="C8" s="80" t="s">
        <v>60</v>
      </c>
      <c r="D8" s="81" t="s">
        <v>70</v>
      </c>
      <c r="E8" s="82">
        <v>10</v>
      </c>
      <c r="F8" s="82" t="s">
        <v>39</v>
      </c>
      <c r="G8" s="83">
        <v>600000</v>
      </c>
      <c r="H8" s="76">
        <v>1</v>
      </c>
      <c r="I8" s="84">
        <f>+G8/E8</f>
        <v>60000</v>
      </c>
      <c r="J8" s="5" t="s">
        <v>64</v>
      </c>
    </row>
    <row r="9" spans="1:10" ht="25" customHeight="1">
      <c r="A9" s="78"/>
      <c r="B9" s="79" t="s">
        <v>71</v>
      </c>
      <c r="C9" s="80" t="s">
        <v>60</v>
      </c>
      <c r="D9" s="81" t="s">
        <v>72</v>
      </c>
      <c r="E9" s="82">
        <v>10</v>
      </c>
      <c r="F9" s="82" t="s">
        <v>39</v>
      </c>
      <c r="G9" s="83">
        <v>800000</v>
      </c>
      <c r="H9" s="76">
        <v>1</v>
      </c>
      <c r="I9" s="84">
        <f>+G9/E9</f>
        <v>80000</v>
      </c>
      <c r="J9" s="5" t="s">
        <v>64</v>
      </c>
    </row>
    <row r="10" spans="1:10" ht="25" customHeight="1">
      <c r="A10" s="85"/>
      <c r="B10" s="86" t="s">
        <v>73</v>
      </c>
      <c r="C10" s="87" t="s">
        <v>60</v>
      </c>
      <c r="D10" s="88" t="s">
        <v>74</v>
      </c>
      <c r="E10" s="82">
        <v>10</v>
      </c>
      <c r="F10" s="89" t="s">
        <v>39</v>
      </c>
      <c r="G10" s="90">
        <v>1000000</v>
      </c>
      <c r="H10" s="76">
        <v>1</v>
      </c>
      <c r="I10" s="91">
        <f>+G10/E10</f>
        <v>100000</v>
      </c>
      <c r="J10" s="5" t="s">
        <v>64</v>
      </c>
    </row>
    <row r="11" spans="1:10" s="49" customFormat="1" ht="25" customHeight="1">
      <c r="A11" s="92"/>
      <c r="B11" s="93" t="s">
        <v>75</v>
      </c>
      <c r="C11" s="72" t="s">
        <v>76</v>
      </c>
      <c r="D11" s="73" t="s">
        <v>63</v>
      </c>
      <c r="E11" s="74"/>
      <c r="F11" s="94" t="s">
        <v>31</v>
      </c>
      <c r="G11" s="75">
        <v>70000</v>
      </c>
      <c r="H11" s="95">
        <v>0.5</v>
      </c>
      <c r="I11" s="77">
        <f>+G11</f>
        <v>70000</v>
      </c>
      <c r="J11" s="5" t="s">
        <v>64</v>
      </c>
    </row>
    <row r="12" spans="1:10" s="49" customFormat="1" ht="25" customHeight="1">
      <c r="A12" s="96"/>
      <c r="B12" s="97" t="s">
        <v>77</v>
      </c>
      <c r="C12" s="80" t="s">
        <v>76</v>
      </c>
      <c r="D12" s="81" t="s">
        <v>66</v>
      </c>
      <c r="E12" s="82">
        <v>10</v>
      </c>
      <c r="F12" s="98" t="s">
        <v>39</v>
      </c>
      <c r="G12" s="83">
        <v>200000</v>
      </c>
      <c r="H12" s="95">
        <v>0.5</v>
      </c>
      <c r="I12" s="99">
        <f t="shared" ref="I12:I19" si="0">+G12/E12</f>
        <v>20000</v>
      </c>
      <c r="J12" s="5" t="s">
        <v>64</v>
      </c>
    </row>
    <row r="13" spans="1:10" s="49" customFormat="1" ht="25" customHeight="1">
      <c r="A13" s="96"/>
      <c r="B13" s="97" t="s">
        <v>78</v>
      </c>
      <c r="C13" s="80" t="s">
        <v>76</v>
      </c>
      <c r="D13" s="81" t="s">
        <v>68</v>
      </c>
      <c r="E13" s="82">
        <v>10</v>
      </c>
      <c r="F13" s="98" t="s">
        <v>39</v>
      </c>
      <c r="G13" s="83">
        <v>500000</v>
      </c>
      <c r="H13" s="95">
        <v>0.5</v>
      </c>
      <c r="I13" s="99">
        <f t="shared" si="0"/>
        <v>50000</v>
      </c>
      <c r="J13" s="5" t="s">
        <v>64</v>
      </c>
    </row>
    <row r="14" spans="1:10" ht="25" customHeight="1">
      <c r="A14" s="78"/>
      <c r="B14" s="79" t="s">
        <v>79</v>
      </c>
      <c r="C14" s="80" t="s">
        <v>76</v>
      </c>
      <c r="D14" s="81" t="s">
        <v>70</v>
      </c>
      <c r="E14" s="82">
        <v>10</v>
      </c>
      <c r="F14" s="82" t="s">
        <v>39</v>
      </c>
      <c r="G14" s="83">
        <v>600000</v>
      </c>
      <c r="H14" s="95">
        <v>0.5</v>
      </c>
      <c r="I14" s="84">
        <f t="shared" si="0"/>
        <v>60000</v>
      </c>
      <c r="J14" s="5" t="s">
        <v>64</v>
      </c>
    </row>
    <row r="15" spans="1:10" s="49" customFormat="1" ht="25" customHeight="1">
      <c r="A15" s="96"/>
      <c r="B15" s="97" t="s">
        <v>80</v>
      </c>
      <c r="C15" s="80" t="s">
        <v>76</v>
      </c>
      <c r="D15" s="81" t="s">
        <v>72</v>
      </c>
      <c r="E15" s="82">
        <v>10</v>
      </c>
      <c r="F15" s="98" t="s">
        <v>39</v>
      </c>
      <c r="G15" s="83">
        <v>800000</v>
      </c>
      <c r="H15" s="95">
        <v>0.5</v>
      </c>
      <c r="I15" s="99">
        <f t="shared" si="0"/>
        <v>80000</v>
      </c>
      <c r="J15" s="5" t="s">
        <v>64</v>
      </c>
    </row>
    <row r="16" spans="1:10" s="50" customFormat="1" ht="25" customHeight="1">
      <c r="A16" s="100"/>
      <c r="B16" s="101" t="s">
        <v>81</v>
      </c>
      <c r="C16" s="87" t="s">
        <v>76</v>
      </c>
      <c r="D16" s="88" t="s">
        <v>74</v>
      </c>
      <c r="E16" s="82">
        <v>10</v>
      </c>
      <c r="F16" s="102" t="s">
        <v>39</v>
      </c>
      <c r="G16" s="90">
        <v>1000000</v>
      </c>
      <c r="H16" s="95">
        <v>0.5</v>
      </c>
      <c r="I16" s="103">
        <f t="shared" si="0"/>
        <v>100000</v>
      </c>
      <c r="J16" s="5" t="s">
        <v>64</v>
      </c>
    </row>
    <row r="17" spans="1:10" s="49" customFormat="1" ht="25" customHeight="1">
      <c r="A17" s="96"/>
      <c r="B17" s="97" t="s">
        <v>82</v>
      </c>
      <c r="C17" s="80" t="s">
        <v>83</v>
      </c>
      <c r="D17" s="81" t="s">
        <v>66</v>
      </c>
      <c r="E17" s="82">
        <v>10</v>
      </c>
      <c r="F17" s="98" t="s">
        <v>39</v>
      </c>
      <c r="G17" s="104">
        <v>200000</v>
      </c>
      <c r="H17" s="105">
        <v>0.3</v>
      </c>
      <c r="I17" s="99">
        <f t="shared" si="0"/>
        <v>20000</v>
      </c>
      <c r="J17" s="5" t="s">
        <v>64</v>
      </c>
    </row>
    <row r="18" spans="1:10" s="49" customFormat="1" ht="25" customHeight="1">
      <c r="A18" s="96"/>
      <c r="B18" s="97" t="s">
        <v>84</v>
      </c>
      <c r="C18" s="80" t="s">
        <v>83</v>
      </c>
      <c r="D18" s="81" t="s">
        <v>68</v>
      </c>
      <c r="E18" s="82">
        <v>10</v>
      </c>
      <c r="F18" s="98" t="s">
        <v>39</v>
      </c>
      <c r="G18" s="104">
        <v>500000</v>
      </c>
      <c r="H18" s="105">
        <v>0.3</v>
      </c>
      <c r="I18" s="99">
        <f t="shared" si="0"/>
        <v>50000</v>
      </c>
      <c r="J18" s="5" t="s">
        <v>64</v>
      </c>
    </row>
    <row r="19" spans="1:10" s="49" customFormat="1" ht="25" customHeight="1">
      <c r="A19" s="96"/>
      <c r="B19" s="97" t="s">
        <v>85</v>
      </c>
      <c r="C19" s="80" t="s">
        <v>83</v>
      </c>
      <c r="D19" s="81" t="s">
        <v>74</v>
      </c>
      <c r="E19" s="82">
        <v>10</v>
      </c>
      <c r="F19" s="98" t="s">
        <v>39</v>
      </c>
      <c r="G19" s="104">
        <v>1000000</v>
      </c>
      <c r="H19" s="105">
        <v>0.3</v>
      </c>
      <c r="I19" s="99">
        <f t="shared" si="0"/>
        <v>100000</v>
      </c>
      <c r="J19" s="5" t="s">
        <v>64</v>
      </c>
    </row>
    <row r="20" spans="1:10" s="51" customFormat="1" ht="25" customHeight="1">
      <c r="A20" s="63">
        <v>12</v>
      </c>
      <c r="B20" s="106"/>
      <c r="C20" s="107" t="s">
        <v>86</v>
      </c>
      <c r="D20" s="108"/>
      <c r="E20" s="66" t="s">
        <v>87</v>
      </c>
      <c r="F20" s="66"/>
      <c r="G20" s="109"/>
      <c r="H20" s="69"/>
      <c r="I20" s="68"/>
      <c r="J20" s="5"/>
    </row>
    <row r="21" spans="1:10" ht="25" customHeight="1">
      <c r="A21" s="70"/>
      <c r="B21" s="71" t="s">
        <v>88</v>
      </c>
      <c r="C21" s="72" t="s">
        <v>86</v>
      </c>
      <c r="D21" s="73" t="s">
        <v>63</v>
      </c>
      <c r="E21" s="74"/>
      <c r="F21" s="74" t="s">
        <v>31</v>
      </c>
      <c r="G21" s="75">
        <v>110000</v>
      </c>
      <c r="H21" s="76">
        <v>1</v>
      </c>
      <c r="I21" s="77">
        <f>+G21</f>
        <v>110000</v>
      </c>
      <c r="J21" s="5" t="s">
        <v>89</v>
      </c>
    </row>
    <row r="22" spans="1:10" ht="25" customHeight="1">
      <c r="A22" s="78"/>
      <c r="B22" s="79" t="s">
        <v>90</v>
      </c>
      <c r="C22" s="80" t="s">
        <v>86</v>
      </c>
      <c r="D22" s="81" t="s">
        <v>66</v>
      </c>
      <c r="E22" s="82">
        <v>20</v>
      </c>
      <c r="F22" s="82" t="s">
        <v>39</v>
      </c>
      <c r="G22" s="83">
        <v>330000</v>
      </c>
      <c r="H22" s="76">
        <v>1</v>
      </c>
      <c r="I22" s="84">
        <f>+G22/E22</f>
        <v>16500</v>
      </c>
      <c r="J22" s="5" t="s">
        <v>89</v>
      </c>
    </row>
    <row r="23" spans="1:10" ht="25" customHeight="1">
      <c r="A23" s="78"/>
      <c r="B23" s="79" t="s">
        <v>91</v>
      </c>
      <c r="C23" s="80" t="s">
        <v>86</v>
      </c>
      <c r="D23" s="81" t="s">
        <v>68</v>
      </c>
      <c r="E23" s="82">
        <v>20</v>
      </c>
      <c r="F23" s="82" t="s">
        <v>39</v>
      </c>
      <c r="G23" s="83">
        <v>1380000</v>
      </c>
      <c r="H23" s="76">
        <v>1</v>
      </c>
      <c r="I23" s="84">
        <f>+G23/E23</f>
        <v>69000</v>
      </c>
      <c r="J23" s="5" t="s">
        <v>89</v>
      </c>
    </row>
    <row r="24" spans="1:10" ht="25" customHeight="1">
      <c r="A24" s="78"/>
      <c r="B24" s="79" t="s">
        <v>92</v>
      </c>
      <c r="C24" s="80" t="s">
        <v>86</v>
      </c>
      <c r="D24" s="81" t="s">
        <v>70</v>
      </c>
      <c r="E24" s="82">
        <v>20</v>
      </c>
      <c r="F24" s="82" t="s">
        <v>39</v>
      </c>
      <c r="G24" s="83">
        <v>1920000</v>
      </c>
      <c r="H24" s="76">
        <v>1</v>
      </c>
      <c r="I24" s="84">
        <f>+G24/E24</f>
        <v>96000</v>
      </c>
      <c r="J24" s="5" t="s">
        <v>89</v>
      </c>
    </row>
    <row r="25" spans="1:10" ht="25" customHeight="1">
      <c r="A25" s="85"/>
      <c r="B25" s="254" t="s">
        <v>93</v>
      </c>
      <c r="C25" s="87" t="s">
        <v>86</v>
      </c>
      <c r="D25" s="88" t="s">
        <v>94</v>
      </c>
      <c r="E25" s="82">
        <v>20</v>
      </c>
      <c r="F25" s="89" t="s">
        <v>39</v>
      </c>
      <c r="G25" s="90">
        <v>2200000</v>
      </c>
      <c r="H25" s="76">
        <v>1</v>
      </c>
      <c r="I25" s="91">
        <f>+G25/E25</f>
        <v>110000</v>
      </c>
      <c r="J25" s="5" t="s">
        <v>89</v>
      </c>
    </row>
    <row r="26" spans="1:10" ht="25" customHeight="1">
      <c r="A26" s="78"/>
      <c r="B26" s="79" t="s">
        <v>95</v>
      </c>
      <c r="C26" s="80" t="s">
        <v>96</v>
      </c>
      <c r="D26" s="81" t="s">
        <v>63</v>
      </c>
      <c r="E26" s="82">
        <v>20</v>
      </c>
      <c r="F26" s="82" t="s">
        <v>31</v>
      </c>
      <c r="G26" s="75">
        <v>110000</v>
      </c>
      <c r="H26" s="110">
        <v>0.3</v>
      </c>
      <c r="I26" s="84"/>
      <c r="J26" s="5" t="s">
        <v>89</v>
      </c>
    </row>
    <row r="27" spans="1:10" ht="25" customHeight="1">
      <c r="A27" s="78"/>
      <c r="B27" s="79" t="s">
        <v>97</v>
      </c>
      <c r="C27" s="80" t="s">
        <v>96</v>
      </c>
      <c r="D27" s="81" t="s">
        <v>66</v>
      </c>
      <c r="E27" s="82">
        <v>20</v>
      </c>
      <c r="F27" s="82" t="s">
        <v>39</v>
      </c>
      <c r="G27" s="83">
        <v>330000</v>
      </c>
      <c r="H27" s="110">
        <v>0.3</v>
      </c>
      <c r="I27" s="84"/>
      <c r="J27" s="5" t="s">
        <v>89</v>
      </c>
    </row>
    <row r="28" spans="1:10" ht="25" customHeight="1">
      <c r="A28" s="78"/>
      <c r="B28" s="79" t="s">
        <v>98</v>
      </c>
      <c r="C28" s="80" t="s">
        <v>96</v>
      </c>
      <c r="D28" s="81" t="s">
        <v>68</v>
      </c>
      <c r="E28" s="82">
        <v>20</v>
      </c>
      <c r="F28" s="82" t="s">
        <v>39</v>
      </c>
      <c r="G28" s="83">
        <v>1380000</v>
      </c>
      <c r="H28" s="110">
        <v>0.3</v>
      </c>
      <c r="I28" s="84"/>
      <c r="J28" s="5" t="s">
        <v>89</v>
      </c>
    </row>
    <row r="29" spans="1:10" ht="25" customHeight="1">
      <c r="A29" s="78"/>
      <c r="B29" s="79" t="s">
        <v>99</v>
      </c>
      <c r="C29" s="80" t="s">
        <v>96</v>
      </c>
      <c r="D29" s="81" t="s">
        <v>70</v>
      </c>
      <c r="E29" s="82">
        <v>20</v>
      </c>
      <c r="F29" s="82" t="s">
        <v>39</v>
      </c>
      <c r="G29" s="83">
        <v>1920000</v>
      </c>
      <c r="H29" s="110">
        <v>0.3</v>
      </c>
      <c r="I29" s="84"/>
      <c r="J29" s="5" t="s">
        <v>89</v>
      </c>
    </row>
    <row r="30" spans="1:10" ht="25" customHeight="1">
      <c r="A30" s="78"/>
      <c r="B30" s="79" t="s">
        <v>100</v>
      </c>
      <c r="C30" s="80" t="s">
        <v>96</v>
      </c>
      <c r="D30" s="81" t="s">
        <v>94</v>
      </c>
      <c r="E30" s="82">
        <v>20</v>
      </c>
      <c r="F30" s="82" t="s">
        <v>39</v>
      </c>
      <c r="G30" s="90">
        <v>2200000</v>
      </c>
      <c r="H30" s="110">
        <v>0.3</v>
      </c>
      <c r="I30" s="84"/>
      <c r="J30" s="5" t="s">
        <v>89</v>
      </c>
    </row>
    <row r="31" spans="1:10" ht="25" customHeight="1">
      <c r="A31" s="70"/>
      <c r="B31" s="71" t="s">
        <v>101</v>
      </c>
      <c r="C31" s="72" t="s">
        <v>102</v>
      </c>
      <c r="D31" s="73" t="s">
        <v>63</v>
      </c>
      <c r="E31" s="82">
        <v>20</v>
      </c>
      <c r="F31" s="74" t="s">
        <v>31</v>
      </c>
      <c r="G31" s="75">
        <f>+G21</f>
        <v>110000</v>
      </c>
      <c r="H31" s="76">
        <v>0.5</v>
      </c>
      <c r="I31" s="77">
        <f>+G31</f>
        <v>110000</v>
      </c>
      <c r="J31" s="5" t="s">
        <v>89</v>
      </c>
    </row>
    <row r="32" spans="1:10" ht="25" customHeight="1">
      <c r="A32" s="70"/>
      <c r="B32" s="71" t="s">
        <v>103</v>
      </c>
      <c r="C32" s="72" t="s">
        <v>102</v>
      </c>
      <c r="D32" s="73" t="s">
        <v>66</v>
      </c>
      <c r="E32" s="82">
        <v>20</v>
      </c>
      <c r="F32" s="74" t="s">
        <v>39</v>
      </c>
      <c r="G32" s="75">
        <v>330000</v>
      </c>
      <c r="H32" s="76">
        <v>0.5</v>
      </c>
      <c r="I32" s="77">
        <f>+G32/E32</f>
        <v>16500</v>
      </c>
      <c r="J32" s="5" t="s">
        <v>89</v>
      </c>
    </row>
    <row r="33" spans="1:10" ht="25" customHeight="1">
      <c r="A33" s="78"/>
      <c r="B33" s="79" t="s">
        <v>104</v>
      </c>
      <c r="C33" s="80" t="s">
        <v>102</v>
      </c>
      <c r="D33" s="81" t="s">
        <v>68</v>
      </c>
      <c r="E33" s="82">
        <v>20</v>
      </c>
      <c r="F33" s="82" t="s">
        <v>39</v>
      </c>
      <c r="G33" s="83">
        <v>1380000</v>
      </c>
      <c r="H33" s="76">
        <v>0.5</v>
      </c>
      <c r="I33" s="84">
        <f>+G33/E33</f>
        <v>69000</v>
      </c>
      <c r="J33" s="5" t="s">
        <v>89</v>
      </c>
    </row>
    <row r="34" spans="1:10" ht="25" customHeight="1">
      <c r="A34" s="78"/>
      <c r="B34" s="79" t="s">
        <v>105</v>
      </c>
      <c r="C34" s="80" t="s">
        <v>102</v>
      </c>
      <c r="D34" s="81" t="s">
        <v>70</v>
      </c>
      <c r="E34" s="82">
        <v>20</v>
      </c>
      <c r="F34" s="82" t="s">
        <v>39</v>
      </c>
      <c r="G34" s="83">
        <v>1920000</v>
      </c>
      <c r="H34" s="76">
        <v>0.5</v>
      </c>
      <c r="I34" s="84">
        <f>+G34/E34</f>
        <v>96000</v>
      </c>
      <c r="J34" s="5" t="s">
        <v>89</v>
      </c>
    </row>
    <row r="35" spans="1:10" ht="25" customHeight="1">
      <c r="A35" s="85"/>
      <c r="B35" s="86" t="s">
        <v>106</v>
      </c>
      <c r="C35" s="87" t="s">
        <v>102</v>
      </c>
      <c r="D35" s="88" t="s">
        <v>94</v>
      </c>
      <c r="E35" s="82">
        <v>20</v>
      </c>
      <c r="F35" s="89" t="s">
        <v>39</v>
      </c>
      <c r="G35" s="90">
        <v>2200000</v>
      </c>
      <c r="H35" s="76">
        <v>0.5</v>
      </c>
      <c r="I35" s="91">
        <f>+G35/E35</f>
        <v>110000</v>
      </c>
      <c r="J35" s="5" t="s">
        <v>89</v>
      </c>
    </row>
    <row r="36" spans="1:10" ht="25" customHeight="1">
      <c r="A36" s="70"/>
      <c r="B36" s="71" t="s">
        <v>107</v>
      </c>
      <c r="C36" s="72" t="s">
        <v>108</v>
      </c>
      <c r="D36" s="73" t="s">
        <v>66</v>
      </c>
      <c r="E36" s="82">
        <v>20</v>
      </c>
      <c r="F36" s="74" t="s">
        <v>39</v>
      </c>
      <c r="G36" s="75">
        <v>330000</v>
      </c>
      <c r="H36" s="76">
        <v>0.3</v>
      </c>
      <c r="I36" s="77">
        <f>+G36/E36*H36</f>
        <v>4950</v>
      </c>
      <c r="J36" s="5" t="s">
        <v>89</v>
      </c>
    </row>
    <row r="37" spans="1:10" ht="25" customHeight="1">
      <c r="A37" s="78"/>
      <c r="B37" s="79" t="s">
        <v>109</v>
      </c>
      <c r="C37" s="80" t="s">
        <v>108</v>
      </c>
      <c r="D37" s="81" t="s">
        <v>68</v>
      </c>
      <c r="E37" s="82">
        <v>20</v>
      </c>
      <c r="F37" s="82" t="s">
        <v>39</v>
      </c>
      <c r="G37" s="83">
        <v>1380000</v>
      </c>
      <c r="H37" s="110">
        <v>0.3</v>
      </c>
      <c r="I37" s="77">
        <f>+G37/E37*H37</f>
        <v>20700</v>
      </c>
      <c r="J37" s="5" t="s">
        <v>89</v>
      </c>
    </row>
    <row r="38" spans="1:10" ht="25" customHeight="1">
      <c r="A38" s="78"/>
      <c r="B38" s="79" t="s">
        <v>110</v>
      </c>
      <c r="C38" s="80" t="s">
        <v>108</v>
      </c>
      <c r="D38" s="81" t="s">
        <v>70</v>
      </c>
      <c r="E38" s="82">
        <v>20</v>
      </c>
      <c r="F38" s="82" t="s">
        <v>39</v>
      </c>
      <c r="G38" s="83">
        <v>1920000</v>
      </c>
      <c r="H38" s="110">
        <v>0.3</v>
      </c>
      <c r="I38" s="77">
        <f>+G38/E38*H38</f>
        <v>28800</v>
      </c>
      <c r="J38" s="5" t="s">
        <v>89</v>
      </c>
    </row>
    <row r="39" spans="1:10" ht="25" customHeight="1">
      <c r="A39" s="85"/>
      <c r="B39" s="86" t="s">
        <v>111</v>
      </c>
      <c r="C39" s="87" t="s">
        <v>108</v>
      </c>
      <c r="D39" s="88" t="s">
        <v>94</v>
      </c>
      <c r="E39" s="82">
        <v>20</v>
      </c>
      <c r="F39" s="89" t="s">
        <v>39</v>
      </c>
      <c r="G39" s="90">
        <v>2200000</v>
      </c>
      <c r="H39" s="111">
        <v>0.3</v>
      </c>
      <c r="I39" s="77">
        <f>+G39/E39*H39</f>
        <v>33000</v>
      </c>
      <c r="J39" s="5" t="s">
        <v>89</v>
      </c>
    </row>
    <row r="40" spans="1:10" ht="25" customHeight="1">
      <c r="A40" s="70"/>
      <c r="B40" s="71" t="s">
        <v>112</v>
      </c>
      <c r="C40" s="72" t="s">
        <v>113</v>
      </c>
      <c r="D40" s="73" t="s">
        <v>66</v>
      </c>
      <c r="E40" s="82">
        <v>20</v>
      </c>
      <c r="F40" s="74" t="s">
        <v>39</v>
      </c>
      <c r="G40" s="75">
        <v>330000</v>
      </c>
      <c r="H40" s="76">
        <v>0.15</v>
      </c>
      <c r="I40" s="77"/>
      <c r="J40" s="5" t="s">
        <v>89</v>
      </c>
    </row>
    <row r="41" spans="1:10" ht="25" customHeight="1">
      <c r="A41" s="78"/>
      <c r="B41" s="79" t="s">
        <v>114</v>
      </c>
      <c r="C41" s="80" t="s">
        <v>113</v>
      </c>
      <c r="D41" s="81" t="s">
        <v>68</v>
      </c>
      <c r="E41" s="82">
        <v>20</v>
      </c>
      <c r="F41" s="82" t="s">
        <v>39</v>
      </c>
      <c r="G41" s="83">
        <v>1380000</v>
      </c>
      <c r="H41" s="110">
        <v>0.15</v>
      </c>
      <c r="I41" s="84"/>
      <c r="J41" s="5" t="s">
        <v>89</v>
      </c>
    </row>
    <row r="42" spans="1:10" ht="25" customHeight="1">
      <c r="A42" s="78"/>
      <c r="B42" s="79" t="s">
        <v>115</v>
      </c>
      <c r="C42" s="80" t="s">
        <v>113</v>
      </c>
      <c r="D42" s="81" t="s">
        <v>70</v>
      </c>
      <c r="E42" s="82">
        <v>20</v>
      </c>
      <c r="F42" s="82" t="s">
        <v>39</v>
      </c>
      <c r="G42" s="83">
        <v>1920000</v>
      </c>
      <c r="H42" s="110">
        <v>0.15</v>
      </c>
      <c r="I42" s="84"/>
      <c r="J42" s="5" t="s">
        <v>89</v>
      </c>
    </row>
    <row r="43" spans="1:10" ht="25" customHeight="1">
      <c r="A43" s="85"/>
      <c r="B43" s="86" t="s">
        <v>116</v>
      </c>
      <c r="C43" s="87" t="s">
        <v>113</v>
      </c>
      <c r="D43" s="88" t="s">
        <v>94</v>
      </c>
      <c r="E43" s="82">
        <v>20</v>
      </c>
      <c r="F43" s="89" t="s">
        <v>39</v>
      </c>
      <c r="G43" s="90">
        <v>2200000</v>
      </c>
      <c r="H43" s="111">
        <v>0.15</v>
      </c>
      <c r="I43" s="91"/>
      <c r="J43" s="5" t="s">
        <v>89</v>
      </c>
    </row>
    <row r="44" spans="1:10" ht="25" customHeight="1">
      <c r="A44" s="78"/>
      <c r="B44" s="79" t="s">
        <v>117</v>
      </c>
      <c r="C44" s="80" t="s">
        <v>118</v>
      </c>
      <c r="D44" s="81" t="s">
        <v>66</v>
      </c>
      <c r="E44" s="82">
        <v>20</v>
      </c>
      <c r="F44" s="82" t="s">
        <v>39</v>
      </c>
      <c r="G44" s="112">
        <v>59000</v>
      </c>
      <c r="H44" s="110">
        <v>1</v>
      </c>
      <c r="I44" s="84">
        <f t="shared" ref="I44:I59" si="1">+G44/E44</f>
        <v>2950</v>
      </c>
      <c r="J44" s="5" t="s">
        <v>119</v>
      </c>
    </row>
    <row r="45" spans="1:10" ht="25" customHeight="1">
      <c r="A45" s="78"/>
      <c r="B45" s="79" t="s">
        <v>120</v>
      </c>
      <c r="C45" s="80" t="s">
        <v>118</v>
      </c>
      <c r="D45" s="81" t="s">
        <v>68</v>
      </c>
      <c r="E45" s="82">
        <v>20</v>
      </c>
      <c r="F45" s="82" t="s">
        <v>39</v>
      </c>
      <c r="G45" s="112">
        <v>272000</v>
      </c>
      <c r="H45" s="110">
        <v>1</v>
      </c>
      <c r="I45" s="84">
        <f t="shared" si="1"/>
        <v>13600</v>
      </c>
      <c r="J45" s="5" t="s">
        <v>119</v>
      </c>
    </row>
    <row r="46" spans="1:10" ht="25" customHeight="1">
      <c r="A46" s="78"/>
      <c r="B46" s="79" t="s">
        <v>121</v>
      </c>
      <c r="C46" s="80" t="s">
        <v>118</v>
      </c>
      <c r="D46" s="81" t="s">
        <v>70</v>
      </c>
      <c r="E46" s="82">
        <v>20</v>
      </c>
      <c r="F46" s="82" t="s">
        <v>39</v>
      </c>
      <c r="G46" s="113">
        <v>408000</v>
      </c>
      <c r="H46" s="110">
        <v>1</v>
      </c>
      <c r="I46" s="84">
        <f t="shared" si="1"/>
        <v>20400</v>
      </c>
      <c r="J46" s="5" t="s">
        <v>119</v>
      </c>
    </row>
    <row r="47" spans="1:10" ht="25" customHeight="1">
      <c r="A47" s="78"/>
      <c r="B47" s="79" t="s">
        <v>122</v>
      </c>
      <c r="C47" s="80" t="s">
        <v>118</v>
      </c>
      <c r="D47" s="88" t="s">
        <v>94</v>
      </c>
      <c r="E47" s="82">
        <v>20</v>
      </c>
      <c r="F47" s="82" t="s">
        <v>39</v>
      </c>
      <c r="G47" s="114"/>
      <c r="H47" s="110">
        <v>1</v>
      </c>
      <c r="I47" s="84">
        <f t="shared" si="1"/>
        <v>0</v>
      </c>
      <c r="J47" s="5" t="s">
        <v>119</v>
      </c>
    </row>
    <row r="48" spans="1:10" ht="25" customHeight="1">
      <c r="A48" s="78"/>
      <c r="B48" s="79" t="s">
        <v>123</v>
      </c>
      <c r="C48" s="80" t="s">
        <v>124</v>
      </c>
      <c r="D48" s="81" t="s">
        <v>66</v>
      </c>
      <c r="E48" s="82">
        <v>20</v>
      </c>
      <c r="F48" s="82" t="s">
        <v>39</v>
      </c>
      <c r="G48" s="112">
        <v>59000</v>
      </c>
      <c r="H48" s="110">
        <v>0.5</v>
      </c>
      <c r="I48" s="84">
        <f t="shared" si="1"/>
        <v>2950</v>
      </c>
      <c r="J48" s="5" t="s">
        <v>119</v>
      </c>
    </row>
    <row r="49" spans="1:10" ht="25" customHeight="1">
      <c r="A49" s="78"/>
      <c r="B49" s="79" t="s">
        <v>125</v>
      </c>
      <c r="C49" s="80" t="s">
        <v>124</v>
      </c>
      <c r="D49" s="81" t="s">
        <v>68</v>
      </c>
      <c r="E49" s="82">
        <v>20</v>
      </c>
      <c r="F49" s="82" t="s">
        <v>39</v>
      </c>
      <c r="G49" s="112">
        <v>272000</v>
      </c>
      <c r="H49" s="110">
        <v>0.5</v>
      </c>
      <c r="I49" s="84">
        <f t="shared" si="1"/>
        <v>13600</v>
      </c>
      <c r="J49" s="5" t="s">
        <v>119</v>
      </c>
    </row>
    <row r="50" spans="1:10" ht="25" customHeight="1">
      <c r="A50" s="78"/>
      <c r="B50" s="79" t="s">
        <v>126</v>
      </c>
      <c r="C50" s="80" t="s">
        <v>124</v>
      </c>
      <c r="D50" s="81" t="s">
        <v>70</v>
      </c>
      <c r="E50" s="82">
        <v>20</v>
      </c>
      <c r="F50" s="82" t="s">
        <v>39</v>
      </c>
      <c r="G50" s="113">
        <v>408000</v>
      </c>
      <c r="H50" s="110">
        <v>0.5</v>
      </c>
      <c r="I50" s="84">
        <f t="shared" si="1"/>
        <v>20400</v>
      </c>
      <c r="J50" s="5" t="s">
        <v>119</v>
      </c>
    </row>
    <row r="51" spans="1:10" ht="25" customHeight="1">
      <c r="A51" s="78"/>
      <c r="B51" s="79" t="s">
        <v>127</v>
      </c>
      <c r="C51" s="80" t="s">
        <v>118</v>
      </c>
      <c r="D51" s="88" t="s">
        <v>94</v>
      </c>
      <c r="E51" s="82">
        <v>20</v>
      </c>
      <c r="F51" s="82" t="s">
        <v>39</v>
      </c>
      <c r="G51" s="114"/>
      <c r="H51" s="110">
        <v>0.5</v>
      </c>
      <c r="I51" s="84">
        <f t="shared" si="1"/>
        <v>0</v>
      </c>
      <c r="J51" s="5" t="s">
        <v>119</v>
      </c>
    </row>
    <row r="52" spans="1:10" ht="25" customHeight="1">
      <c r="A52" s="78"/>
      <c r="B52" s="79" t="s">
        <v>128</v>
      </c>
      <c r="C52" s="80" t="s">
        <v>129</v>
      </c>
      <c r="D52" s="81" t="s">
        <v>66</v>
      </c>
      <c r="E52" s="82">
        <v>20</v>
      </c>
      <c r="F52" s="82" t="s">
        <v>39</v>
      </c>
      <c r="G52" s="83">
        <v>330000</v>
      </c>
      <c r="H52" s="110">
        <v>0.5</v>
      </c>
      <c r="I52" s="84">
        <f t="shared" si="1"/>
        <v>16500</v>
      </c>
      <c r="J52" s="5" t="s">
        <v>89</v>
      </c>
    </row>
    <row r="53" spans="1:10" ht="25" customHeight="1">
      <c r="A53" s="78"/>
      <c r="B53" s="79" t="s">
        <v>130</v>
      </c>
      <c r="C53" s="80" t="s">
        <v>129</v>
      </c>
      <c r="D53" s="81" t="s">
        <v>68</v>
      </c>
      <c r="E53" s="82">
        <v>20</v>
      </c>
      <c r="F53" s="82" t="s">
        <v>39</v>
      </c>
      <c r="G53" s="83">
        <v>1380000</v>
      </c>
      <c r="H53" s="110">
        <v>0.5</v>
      </c>
      <c r="I53" s="84">
        <f t="shared" si="1"/>
        <v>69000</v>
      </c>
      <c r="J53" s="5" t="s">
        <v>89</v>
      </c>
    </row>
    <row r="54" spans="1:10" ht="25" customHeight="1">
      <c r="A54" s="78"/>
      <c r="B54" s="79" t="s">
        <v>131</v>
      </c>
      <c r="C54" s="80" t="s">
        <v>129</v>
      </c>
      <c r="D54" s="81" t="s">
        <v>70</v>
      </c>
      <c r="E54" s="82">
        <v>20</v>
      </c>
      <c r="F54" s="82" t="s">
        <v>39</v>
      </c>
      <c r="G54" s="83">
        <v>1920000</v>
      </c>
      <c r="H54" s="110">
        <v>0.5</v>
      </c>
      <c r="I54" s="84">
        <f t="shared" si="1"/>
        <v>96000</v>
      </c>
      <c r="J54" s="5" t="s">
        <v>89</v>
      </c>
    </row>
    <row r="55" spans="1:10" ht="25" customHeight="1">
      <c r="A55" s="78"/>
      <c r="B55" s="79" t="s">
        <v>132</v>
      </c>
      <c r="C55" s="80" t="s">
        <v>129</v>
      </c>
      <c r="D55" s="88" t="s">
        <v>94</v>
      </c>
      <c r="E55" s="82">
        <v>20</v>
      </c>
      <c r="F55" s="82" t="s">
        <v>39</v>
      </c>
      <c r="G55" s="90">
        <v>2200000</v>
      </c>
      <c r="H55" s="110">
        <v>0.5</v>
      </c>
      <c r="I55" s="84">
        <f t="shared" si="1"/>
        <v>110000</v>
      </c>
      <c r="J55" s="5" t="s">
        <v>89</v>
      </c>
    </row>
    <row r="56" spans="1:10" ht="25" customHeight="1">
      <c r="A56" s="78"/>
      <c r="B56" s="79" t="s">
        <v>133</v>
      </c>
      <c r="C56" s="80" t="s">
        <v>129</v>
      </c>
      <c r="D56" s="81" t="s">
        <v>68</v>
      </c>
      <c r="E56" s="82">
        <v>20</v>
      </c>
      <c r="F56" s="82" t="s">
        <v>39</v>
      </c>
      <c r="G56" s="83">
        <v>1380000</v>
      </c>
      <c r="H56" s="110">
        <v>0.25</v>
      </c>
      <c r="I56" s="84">
        <f t="shared" si="1"/>
        <v>69000</v>
      </c>
      <c r="J56" s="5" t="s">
        <v>89</v>
      </c>
    </row>
    <row r="57" spans="1:10" ht="25" customHeight="1">
      <c r="A57" s="78"/>
      <c r="B57" s="79" t="s">
        <v>134</v>
      </c>
      <c r="C57" s="80" t="s">
        <v>135</v>
      </c>
      <c r="D57" s="81" t="s">
        <v>66</v>
      </c>
      <c r="E57" s="82">
        <v>20</v>
      </c>
      <c r="F57" s="82" t="s">
        <v>39</v>
      </c>
      <c r="G57" s="83">
        <v>330000</v>
      </c>
      <c r="H57" s="110">
        <v>0.25</v>
      </c>
      <c r="I57" s="84">
        <f t="shared" si="1"/>
        <v>16500</v>
      </c>
      <c r="J57" s="5" t="s">
        <v>89</v>
      </c>
    </row>
    <row r="58" spans="1:10" ht="25" customHeight="1">
      <c r="A58" s="78"/>
      <c r="B58" s="79" t="s">
        <v>136</v>
      </c>
      <c r="C58" s="80" t="s">
        <v>135</v>
      </c>
      <c r="D58" s="81" t="s">
        <v>70</v>
      </c>
      <c r="E58" s="82">
        <v>20</v>
      </c>
      <c r="F58" s="82" t="s">
        <v>39</v>
      </c>
      <c r="G58" s="83">
        <v>1920000</v>
      </c>
      <c r="H58" s="110">
        <v>0.25</v>
      </c>
      <c r="I58" s="84">
        <f t="shared" si="1"/>
        <v>96000</v>
      </c>
      <c r="J58" s="5" t="s">
        <v>89</v>
      </c>
    </row>
    <row r="59" spans="1:10" ht="25" customHeight="1">
      <c r="A59" s="78"/>
      <c r="B59" s="79" t="s">
        <v>137</v>
      </c>
      <c r="C59" s="80" t="s">
        <v>135</v>
      </c>
      <c r="D59" s="88" t="s">
        <v>94</v>
      </c>
      <c r="E59" s="82">
        <v>20</v>
      </c>
      <c r="F59" s="82" t="s">
        <v>39</v>
      </c>
      <c r="G59" s="90">
        <v>2200000</v>
      </c>
      <c r="H59" s="110">
        <v>0.25</v>
      </c>
      <c r="I59" s="84">
        <f t="shared" si="1"/>
        <v>110000</v>
      </c>
      <c r="J59" s="5" t="s">
        <v>89</v>
      </c>
    </row>
    <row r="60" spans="1:10" s="51" customFormat="1" ht="25" customHeight="1">
      <c r="A60" s="115">
        <v>13</v>
      </c>
      <c r="B60" s="116"/>
      <c r="C60" s="117" t="s">
        <v>138</v>
      </c>
      <c r="D60" s="118"/>
      <c r="E60" s="119"/>
      <c r="F60" s="119"/>
      <c r="G60" s="120"/>
      <c r="H60" s="121"/>
      <c r="I60" s="122"/>
      <c r="J60" s="5"/>
    </row>
    <row r="61" spans="1:10" ht="25" customHeight="1">
      <c r="A61" s="70"/>
      <c r="B61" s="71" t="s">
        <v>139</v>
      </c>
      <c r="C61" s="72" t="s">
        <v>138</v>
      </c>
      <c r="D61" s="73" t="s">
        <v>63</v>
      </c>
      <c r="E61" s="74"/>
      <c r="F61" s="74" t="s">
        <v>31</v>
      </c>
      <c r="G61" s="75">
        <v>70000</v>
      </c>
      <c r="H61" s="76">
        <v>1</v>
      </c>
      <c r="I61" s="77">
        <f>+G61</f>
        <v>70000</v>
      </c>
      <c r="J61" s="5" t="s">
        <v>89</v>
      </c>
    </row>
    <row r="62" spans="1:10" ht="25" customHeight="1">
      <c r="A62" s="78"/>
      <c r="B62" s="79" t="s">
        <v>140</v>
      </c>
      <c r="C62" s="80" t="s">
        <v>138</v>
      </c>
      <c r="D62" s="81" t="s">
        <v>66</v>
      </c>
      <c r="E62" s="82">
        <f>360/72</f>
        <v>5</v>
      </c>
      <c r="F62" s="82" t="s">
        <v>39</v>
      </c>
      <c r="G62" s="83">
        <v>220000</v>
      </c>
      <c r="H62" s="76">
        <v>1</v>
      </c>
      <c r="I62" s="84">
        <f>+G62/E62</f>
        <v>44000</v>
      </c>
      <c r="J62" s="5" t="s">
        <v>89</v>
      </c>
    </row>
    <row r="63" spans="1:10" ht="25" customHeight="1">
      <c r="A63" s="78"/>
      <c r="B63" s="79" t="s">
        <v>141</v>
      </c>
      <c r="C63" s="80" t="s">
        <v>138</v>
      </c>
      <c r="D63" s="81" t="s">
        <v>68</v>
      </c>
      <c r="E63" s="82">
        <f>360/54</f>
        <v>6.666666666666667</v>
      </c>
      <c r="F63" s="82" t="s">
        <v>39</v>
      </c>
      <c r="G63" s="83">
        <v>550000</v>
      </c>
      <c r="H63" s="76">
        <v>1</v>
      </c>
      <c r="I63" s="84">
        <f>+G63/E63</f>
        <v>82500</v>
      </c>
      <c r="J63" s="5" t="s">
        <v>89</v>
      </c>
    </row>
    <row r="64" spans="1:10" ht="25" customHeight="1">
      <c r="A64" s="78"/>
      <c r="B64" s="79" t="s">
        <v>142</v>
      </c>
      <c r="C64" s="80" t="s">
        <v>138</v>
      </c>
      <c r="D64" s="81" t="s">
        <v>70</v>
      </c>
      <c r="E64" s="82">
        <f>360/43</f>
        <v>8.3720930232558146</v>
      </c>
      <c r="F64" s="82" t="s">
        <v>39</v>
      </c>
      <c r="G64" s="83">
        <v>770000</v>
      </c>
      <c r="H64" s="76">
        <v>1</v>
      </c>
      <c r="I64" s="84">
        <f>+G64/E64</f>
        <v>91972.222222222219</v>
      </c>
      <c r="J64" s="5" t="s">
        <v>89</v>
      </c>
    </row>
    <row r="65" spans="1:10" ht="25" customHeight="1">
      <c r="A65" s="85"/>
      <c r="B65" s="86" t="s">
        <v>143</v>
      </c>
      <c r="C65" s="87" t="s">
        <v>138</v>
      </c>
      <c r="D65" s="88" t="s">
        <v>94</v>
      </c>
      <c r="E65" s="89">
        <f>360/43</f>
        <v>8.3720930232558146</v>
      </c>
      <c r="F65" s="89" t="s">
        <v>39</v>
      </c>
      <c r="G65" s="90">
        <v>1100000</v>
      </c>
      <c r="H65" s="76">
        <v>1</v>
      </c>
      <c r="I65" s="91">
        <f>+G65/E65</f>
        <v>131388.88888888888</v>
      </c>
      <c r="J65" s="5" t="s">
        <v>89</v>
      </c>
    </row>
    <row r="66" spans="1:10" ht="25" customHeight="1">
      <c r="A66" s="70"/>
      <c r="B66" s="71" t="s">
        <v>144</v>
      </c>
      <c r="C66" s="72" t="s">
        <v>145</v>
      </c>
      <c r="D66" s="73" t="s">
        <v>63</v>
      </c>
      <c r="E66" s="74"/>
      <c r="F66" s="74" t="s">
        <v>31</v>
      </c>
      <c r="G66" s="75">
        <v>70000</v>
      </c>
      <c r="H66" s="76">
        <v>0.5</v>
      </c>
      <c r="I66" s="77">
        <f>+G66</f>
        <v>70000</v>
      </c>
      <c r="J66" s="5" t="s">
        <v>89</v>
      </c>
    </row>
    <row r="67" spans="1:10" ht="25" customHeight="1">
      <c r="A67" s="78"/>
      <c r="B67" s="79" t="s">
        <v>146</v>
      </c>
      <c r="C67" s="80" t="s">
        <v>145</v>
      </c>
      <c r="D67" s="81" t="s">
        <v>66</v>
      </c>
      <c r="E67" s="82">
        <f>360/72</f>
        <v>5</v>
      </c>
      <c r="F67" s="82" t="s">
        <v>39</v>
      </c>
      <c r="G67" s="83">
        <v>220000</v>
      </c>
      <c r="H67" s="76">
        <v>0.5</v>
      </c>
      <c r="I67" s="84">
        <f>+G67/E67</f>
        <v>44000</v>
      </c>
      <c r="J67" s="5" t="s">
        <v>89</v>
      </c>
    </row>
    <row r="68" spans="1:10" ht="25" customHeight="1">
      <c r="A68" s="78"/>
      <c r="B68" s="79" t="s">
        <v>147</v>
      </c>
      <c r="C68" s="80" t="s">
        <v>145</v>
      </c>
      <c r="D68" s="81" t="s">
        <v>68</v>
      </c>
      <c r="E68" s="82">
        <f>360/54</f>
        <v>6.666666666666667</v>
      </c>
      <c r="F68" s="82" t="s">
        <v>39</v>
      </c>
      <c r="G68" s="83">
        <v>550000</v>
      </c>
      <c r="H68" s="76">
        <v>0.5</v>
      </c>
      <c r="I68" s="84">
        <f>+G68/E68</f>
        <v>82500</v>
      </c>
      <c r="J68" s="5" t="s">
        <v>89</v>
      </c>
    </row>
    <row r="69" spans="1:10" ht="25" customHeight="1">
      <c r="A69" s="78"/>
      <c r="B69" s="79" t="s">
        <v>148</v>
      </c>
      <c r="C69" s="80" t="s">
        <v>145</v>
      </c>
      <c r="D69" s="81" t="s">
        <v>70</v>
      </c>
      <c r="E69" s="82">
        <f>360/43</f>
        <v>8.3720930232558146</v>
      </c>
      <c r="F69" s="82" t="s">
        <v>39</v>
      </c>
      <c r="G69" s="83">
        <v>770000</v>
      </c>
      <c r="H69" s="76">
        <v>0.5</v>
      </c>
      <c r="I69" s="84">
        <f>+G69/E69</f>
        <v>91972.222222222219</v>
      </c>
      <c r="J69" s="5" t="s">
        <v>89</v>
      </c>
    </row>
    <row r="70" spans="1:10" ht="25" customHeight="1">
      <c r="A70" s="85"/>
      <c r="B70" s="86" t="s">
        <v>149</v>
      </c>
      <c r="C70" s="87" t="s">
        <v>145</v>
      </c>
      <c r="D70" s="88" t="s">
        <v>94</v>
      </c>
      <c r="E70" s="89">
        <f>360/43</f>
        <v>8.3720930232558146</v>
      </c>
      <c r="F70" s="89" t="s">
        <v>39</v>
      </c>
      <c r="G70" s="90">
        <v>1100000</v>
      </c>
      <c r="H70" s="76">
        <v>0.5</v>
      </c>
      <c r="I70" s="91">
        <f>+G70/E70</f>
        <v>131388.88888888888</v>
      </c>
      <c r="J70" s="5" t="s">
        <v>89</v>
      </c>
    </row>
    <row r="71" spans="1:10" s="51" customFormat="1" ht="25" customHeight="1">
      <c r="A71" s="63">
        <v>8</v>
      </c>
      <c r="B71" s="106"/>
      <c r="C71" s="107" t="s">
        <v>150</v>
      </c>
      <c r="D71" s="108"/>
      <c r="E71" s="67" t="s">
        <v>151</v>
      </c>
      <c r="F71" s="66">
        <f>10000/620</f>
        <v>16.129032258064516</v>
      </c>
      <c r="G71" s="109"/>
      <c r="H71" s="69"/>
      <c r="I71" s="68"/>
      <c r="J71" s="5"/>
    </row>
    <row r="72" spans="1:10" ht="25" customHeight="1">
      <c r="A72" s="70"/>
      <c r="B72" s="71" t="s">
        <v>152</v>
      </c>
      <c r="C72" s="123" t="s">
        <v>150</v>
      </c>
      <c r="D72" s="73" t="s">
        <v>63</v>
      </c>
      <c r="E72" s="74"/>
      <c r="F72" s="74" t="s">
        <v>31</v>
      </c>
      <c r="G72" s="75">
        <v>100000</v>
      </c>
      <c r="H72" s="76">
        <v>1</v>
      </c>
      <c r="I72" s="77">
        <f>+G72</f>
        <v>100000</v>
      </c>
      <c r="J72" s="5" t="s">
        <v>89</v>
      </c>
    </row>
    <row r="73" spans="1:10" ht="25" customHeight="1">
      <c r="A73" s="78"/>
      <c r="B73" s="79" t="s">
        <v>153</v>
      </c>
      <c r="C73" s="124" t="s">
        <v>150</v>
      </c>
      <c r="D73" s="81" t="s">
        <v>66</v>
      </c>
      <c r="E73" s="82">
        <v>16.129000000000001</v>
      </c>
      <c r="F73" s="82" t="s">
        <v>39</v>
      </c>
      <c r="G73" s="83">
        <v>300000</v>
      </c>
      <c r="H73" s="76">
        <v>1</v>
      </c>
      <c r="I73" s="84">
        <f t="shared" ref="I73:I80" si="2">+G73/E73</f>
        <v>18600.037200074399</v>
      </c>
      <c r="J73" s="5" t="s">
        <v>89</v>
      </c>
    </row>
    <row r="74" spans="1:10" ht="25" customHeight="1">
      <c r="A74" s="78"/>
      <c r="B74" s="79" t="s">
        <v>154</v>
      </c>
      <c r="C74" s="124" t="s">
        <v>150</v>
      </c>
      <c r="D74" s="81" t="s">
        <v>68</v>
      </c>
      <c r="E74" s="82">
        <v>16.129000000000001</v>
      </c>
      <c r="F74" s="82" t="s">
        <v>39</v>
      </c>
      <c r="G74" s="83">
        <v>1500000</v>
      </c>
      <c r="H74" s="76">
        <v>1</v>
      </c>
      <c r="I74" s="84">
        <f t="shared" si="2"/>
        <v>93000.186000371992</v>
      </c>
      <c r="J74" s="5" t="s">
        <v>89</v>
      </c>
    </row>
    <row r="75" spans="1:10" ht="25" customHeight="1">
      <c r="A75" s="78"/>
      <c r="B75" s="79" t="s">
        <v>155</v>
      </c>
      <c r="C75" s="124" t="s">
        <v>150</v>
      </c>
      <c r="D75" s="81" t="s">
        <v>70</v>
      </c>
      <c r="E75" s="82">
        <v>16.129000000000001</v>
      </c>
      <c r="F75" s="82" t="s">
        <v>39</v>
      </c>
      <c r="G75" s="83">
        <v>2000000</v>
      </c>
      <c r="H75" s="76">
        <v>1</v>
      </c>
      <c r="I75" s="84">
        <f t="shared" si="2"/>
        <v>124000.24800049599</v>
      </c>
      <c r="J75" s="5" t="s">
        <v>89</v>
      </c>
    </row>
    <row r="76" spans="1:10" ht="25" customHeight="1">
      <c r="A76" s="85"/>
      <c r="B76" s="86" t="s">
        <v>156</v>
      </c>
      <c r="C76" s="125" t="s">
        <v>150</v>
      </c>
      <c r="D76" s="88" t="s">
        <v>94</v>
      </c>
      <c r="E76" s="82">
        <v>16.129000000000001</v>
      </c>
      <c r="F76" s="89" t="s">
        <v>39</v>
      </c>
      <c r="G76" s="90">
        <v>2500000</v>
      </c>
      <c r="H76" s="76">
        <v>1</v>
      </c>
      <c r="I76" s="91">
        <f t="shared" si="2"/>
        <v>155000.31000062</v>
      </c>
      <c r="J76" s="5" t="s">
        <v>89</v>
      </c>
    </row>
    <row r="77" spans="1:10" ht="25" customHeight="1">
      <c r="A77" s="78"/>
      <c r="B77" s="79" t="s">
        <v>157</v>
      </c>
      <c r="C77" s="124" t="s">
        <v>158</v>
      </c>
      <c r="D77" s="81" t="s">
        <v>66</v>
      </c>
      <c r="E77" s="82">
        <v>16.129000000000001</v>
      </c>
      <c r="F77" s="82" t="s">
        <v>39</v>
      </c>
      <c r="G77" s="83">
        <v>300000</v>
      </c>
      <c r="H77" s="110">
        <v>0.5</v>
      </c>
      <c r="I77" s="84">
        <f t="shared" si="2"/>
        <v>18600.037200074399</v>
      </c>
      <c r="J77" s="5" t="s">
        <v>89</v>
      </c>
    </row>
    <row r="78" spans="1:10" ht="25" customHeight="1">
      <c r="A78" s="78"/>
      <c r="B78" s="79" t="s">
        <v>159</v>
      </c>
      <c r="C78" s="124" t="s">
        <v>158</v>
      </c>
      <c r="D78" s="81" t="s">
        <v>68</v>
      </c>
      <c r="E78" s="82">
        <v>16.129000000000001</v>
      </c>
      <c r="F78" s="82" t="s">
        <v>39</v>
      </c>
      <c r="G78" s="83">
        <v>1500000</v>
      </c>
      <c r="H78" s="110">
        <v>0.5</v>
      </c>
      <c r="I78" s="84">
        <f t="shared" si="2"/>
        <v>93000.186000371992</v>
      </c>
      <c r="J78" s="5" t="s">
        <v>89</v>
      </c>
    </row>
    <row r="79" spans="1:10" ht="25" customHeight="1">
      <c r="A79" s="78"/>
      <c r="B79" s="79" t="s">
        <v>160</v>
      </c>
      <c r="C79" s="124" t="s">
        <v>158</v>
      </c>
      <c r="D79" s="81" t="s">
        <v>70</v>
      </c>
      <c r="E79" s="82">
        <v>16.129000000000001</v>
      </c>
      <c r="F79" s="82" t="s">
        <v>39</v>
      </c>
      <c r="G79" s="83">
        <v>2000000</v>
      </c>
      <c r="H79" s="110">
        <v>0.5</v>
      </c>
      <c r="I79" s="84">
        <f t="shared" si="2"/>
        <v>124000.24800049599</v>
      </c>
      <c r="J79" s="5" t="s">
        <v>89</v>
      </c>
    </row>
    <row r="80" spans="1:10" ht="25" customHeight="1">
      <c r="A80" s="85"/>
      <c r="B80" s="86" t="s">
        <v>161</v>
      </c>
      <c r="C80" s="125" t="s">
        <v>158</v>
      </c>
      <c r="D80" s="88" t="s">
        <v>94</v>
      </c>
      <c r="E80" s="82">
        <v>16.129000000000001</v>
      </c>
      <c r="F80" s="89" t="s">
        <v>39</v>
      </c>
      <c r="G80" s="90">
        <v>2500000</v>
      </c>
      <c r="H80" s="110">
        <v>0.5</v>
      </c>
      <c r="I80" s="91">
        <f t="shared" si="2"/>
        <v>155000.31000062</v>
      </c>
      <c r="J80" s="5" t="s">
        <v>89</v>
      </c>
    </row>
    <row r="81" spans="1:10" ht="25" customHeight="1">
      <c r="A81" s="78"/>
      <c r="B81" s="79" t="s">
        <v>162</v>
      </c>
      <c r="C81" s="124" t="s">
        <v>163</v>
      </c>
      <c r="D81" s="81" t="s">
        <v>66</v>
      </c>
      <c r="E81" s="82">
        <v>16.129000000000001</v>
      </c>
      <c r="F81" s="82" t="s">
        <v>39</v>
      </c>
      <c r="G81" s="83">
        <v>300000</v>
      </c>
      <c r="H81" s="110">
        <v>0.3</v>
      </c>
      <c r="I81" s="84">
        <f>+G81/E81*H81</f>
        <v>5580.0111600223199</v>
      </c>
      <c r="J81" s="5" t="s">
        <v>89</v>
      </c>
    </row>
    <row r="82" spans="1:10" ht="25" customHeight="1">
      <c r="A82" s="78"/>
      <c r="B82" s="79" t="s">
        <v>164</v>
      </c>
      <c r="C82" s="124" t="s">
        <v>163</v>
      </c>
      <c r="D82" s="81" t="s">
        <v>68</v>
      </c>
      <c r="E82" s="82">
        <v>16.129000000000001</v>
      </c>
      <c r="F82" s="82" t="s">
        <v>39</v>
      </c>
      <c r="G82" s="83">
        <v>1500000</v>
      </c>
      <c r="H82" s="110">
        <v>0.3</v>
      </c>
      <c r="I82" s="84">
        <f>+G82/E82*H82</f>
        <v>27900.055800111597</v>
      </c>
      <c r="J82" s="5" t="s">
        <v>89</v>
      </c>
    </row>
    <row r="83" spans="1:10" ht="25" customHeight="1">
      <c r="A83" s="78"/>
      <c r="B83" s="79" t="s">
        <v>165</v>
      </c>
      <c r="C83" s="124" t="s">
        <v>163</v>
      </c>
      <c r="D83" s="81" t="s">
        <v>70</v>
      </c>
      <c r="E83" s="82">
        <v>16.129000000000001</v>
      </c>
      <c r="F83" s="82" t="s">
        <v>39</v>
      </c>
      <c r="G83" s="83">
        <v>2000000</v>
      </c>
      <c r="H83" s="110">
        <v>0.3</v>
      </c>
      <c r="I83" s="84">
        <f>+G83/E83*H83</f>
        <v>37200.074400148798</v>
      </c>
      <c r="J83" s="5" t="s">
        <v>89</v>
      </c>
    </row>
    <row r="84" spans="1:10" ht="25" customHeight="1">
      <c r="A84" s="85"/>
      <c r="B84" s="86" t="s">
        <v>166</v>
      </c>
      <c r="C84" s="125" t="s">
        <v>163</v>
      </c>
      <c r="D84" s="88" t="s">
        <v>94</v>
      </c>
      <c r="E84" s="82">
        <v>16.129000000000001</v>
      </c>
      <c r="F84" s="89" t="s">
        <v>39</v>
      </c>
      <c r="G84" s="90">
        <v>2500000</v>
      </c>
      <c r="H84" s="111">
        <v>0.3</v>
      </c>
      <c r="I84" s="84">
        <f>+G84/E84*H84</f>
        <v>46500.093000185996</v>
      </c>
      <c r="J84" s="5" t="s">
        <v>89</v>
      </c>
    </row>
    <row r="85" spans="1:10" ht="25" customHeight="1">
      <c r="A85" s="78"/>
      <c r="B85" s="79" t="s">
        <v>167</v>
      </c>
      <c r="C85" s="124" t="s">
        <v>168</v>
      </c>
      <c r="D85" s="81" t="s">
        <v>66</v>
      </c>
      <c r="E85" s="82">
        <v>16.129000000000001</v>
      </c>
      <c r="F85" s="82" t="s">
        <v>39</v>
      </c>
      <c r="G85" s="83">
        <v>300000</v>
      </c>
      <c r="H85" s="110">
        <v>0.15</v>
      </c>
      <c r="I85" s="84"/>
      <c r="J85" s="5" t="s">
        <v>89</v>
      </c>
    </row>
    <row r="86" spans="1:10" ht="25" customHeight="1">
      <c r="A86" s="78"/>
      <c r="B86" s="79" t="s">
        <v>169</v>
      </c>
      <c r="C86" s="124" t="s">
        <v>168</v>
      </c>
      <c r="D86" s="81" t="s">
        <v>68</v>
      </c>
      <c r="E86" s="82">
        <v>16.129000000000001</v>
      </c>
      <c r="F86" s="82" t="s">
        <v>39</v>
      </c>
      <c r="G86" s="83">
        <v>1500000</v>
      </c>
      <c r="H86" s="110">
        <v>0.15</v>
      </c>
      <c r="I86" s="84"/>
      <c r="J86" s="5" t="s">
        <v>89</v>
      </c>
    </row>
    <row r="87" spans="1:10" ht="25" customHeight="1">
      <c r="A87" s="78"/>
      <c r="B87" s="79" t="s">
        <v>170</v>
      </c>
      <c r="C87" s="124" t="s">
        <v>168</v>
      </c>
      <c r="D87" s="81" t="s">
        <v>70</v>
      </c>
      <c r="E87" s="82">
        <v>16.129000000000001</v>
      </c>
      <c r="F87" s="82" t="s">
        <v>39</v>
      </c>
      <c r="G87" s="83">
        <v>2000000</v>
      </c>
      <c r="H87" s="110">
        <v>0.15</v>
      </c>
      <c r="I87" s="84"/>
      <c r="J87" s="5" t="s">
        <v>89</v>
      </c>
    </row>
    <row r="88" spans="1:10" ht="25" customHeight="1">
      <c r="A88" s="85"/>
      <c r="B88" s="86" t="s">
        <v>171</v>
      </c>
      <c r="C88" s="125" t="s">
        <v>168</v>
      </c>
      <c r="D88" s="88" t="s">
        <v>94</v>
      </c>
      <c r="E88" s="82">
        <v>16.129000000000001</v>
      </c>
      <c r="F88" s="89" t="s">
        <v>39</v>
      </c>
      <c r="G88" s="90">
        <v>2500000</v>
      </c>
      <c r="H88" s="111">
        <v>0.15</v>
      </c>
      <c r="I88" s="91"/>
      <c r="J88" s="5" t="s">
        <v>89</v>
      </c>
    </row>
    <row r="89" spans="1:10" ht="25" customHeight="1">
      <c r="A89" s="70"/>
      <c r="B89" s="71" t="s">
        <v>172</v>
      </c>
      <c r="C89" s="123" t="s">
        <v>173</v>
      </c>
      <c r="D89" s="73" t="s">
        <v>66</v>
      </c>
      <c r="E89" s="82">
        <v>16.129000000000001</v>
      </c>
      <c r="F89" s="74" t="s">
        <v>39</v>
      </c>
      <c r="G89" s="126">
        <v>63000</v>
      </c>
      <c r="H89" s="76">
        <v>1</v>
      </c>
      <c r="I89" s="77">
        <f t="shared" ref="I89:I100" si="3">+G89/E89</f>
        <v>3906.0078120156236</v>
      </c>
      <c r="J89" s="5" t="s">
        <v>119</v>
      </c>
    </row>
    <row r="90" spans="1:10" ht="25" customHeight="1">
      <c r="A90" s="78"/>
      <c r="B90" s="79" t="s">
        <v>174</v>
      </c>
      <c r="C90" s="124" t="s">
        <v>173</v>
      </c>
      <c r="D90" s="81" t="s">
        <v>68</v>
      </c>
      <c r="E90" s="82">
        <v>16.129000000000001</v>
      </c>
      <c r="F90" s="82" t="s">
        <v>39</v>
      </c>
      <c r="G90" s="127">
        <v>288000</v>
      </c>
      <c r="H90" s="110">
        <v>1</v>
      </c>
      <c r="I90" s="84">
        <f t="shared" si="3"/>
        <v>17856.035712071422</v>
      </c>
      <c r="J90" s="5" t="s">
        <v>119</v>
      </c>
    </row>
    <row r="91" spans="1:10" ht="25" customHeight="1">
      <c r="A91" s="128"/>
      <c r="B91" s="129" t="s">
        <v>175</v>
      </c>
      <c r="C91" s="130" t="s">
        <v>173</v>
      </c>
      <c r="D91" s="131" t="s">
        <v>70</v>
      </c>
      <c r="E91" s="82">
        <v>16.129000000000001</v>
      </c>
      <c r="F91" s="132" t="s">
        <v>39</v>
      </c>
      <c r="G91" s="133">
        <v>378000</v>
      </c>
      <c r="H91" s="134">
        <v>1</v>
      </c>
      <c r="I91" s="135">
        <f t="shared" si="3"/>
        <v>23436.046872093742</v>
      </c>
      <c r="J91" s="5" t="s">
        <v>119</v>
      </c>
    </row>
    <row r="92" spans="1:10" ht="25" customHeight="1">
      <c r="A92" s="78"/>
      <c r="B92" s="79" t="s">
        <v>176</v>
      </c>
      <c r="C92" s="124" t="s">
        <v>177</v>
      </c>
      <c r="D92" s="81" t="s">
        <v>66</v>
      </c>
      <c r="E92" s="82">
        <v>16.129000000000001</v>
      </c>
      <c r="F92" s="82" t="s">
        <v>39</v>
      </c>
      <c r="G92" s="127">
        <v>63000</v>
      </c>
      <c r="H92" s="110">
        <v>0.5</v>
      </c>
      <c r="I92" s="84">
        <f t="shared" si="3"/>
        <v>3906.0078120156236</v>
      </c>
      <c r="J92" s="5" t="s">
        <v>119</v>
      </c>
    </row>
    <row r="93" spans="1:10" ht="25" customHeight="1">
      <c r="A93" s="78"/>
      <c r="B93" s="79" t="s">
        <v>178</v>
      </c>
      <c r="C93" s="124" t="s">
        <v>177</v>
      </c>
      <c r="D93" s="81" t="s">
        <v>68</v>
      </c>
      <c r="E93" s="82">
        <v>16.129000000000001</v>
      </c>
      <c r="F93" s="82" t="s">
        <v>39</v>
      </c>
      <c r="G93" s="127">
        <v>288000</v>
      </c>
      <c r="H93" s="110">
        <v>0.5</v>
      </c>
      <c r="I93" s="84">
        <f t="shared" si="3"/>
        <v>17856.035712071422</v>
      </c>
      <c r="J93" s="5" t="s">
        <v>119</v>
      </c>
    </row>
    <row r="94" spans="1:10" ht="25" customHeight="1">
      <c r="A94" s="85"/>
      <c r="B94" s="86" t="s">
        <v>179</v>
      </c>
      <c r="C94" s="125" t="s">
        <v>177</v>
      </c>
      <c r="D94" s="88" t="s">
        <v>70</v>
      </c>
      <c r="E94" s="82">
        <v>16.129000000000001</v>
      </c>
      <c r="F94" s="89" t="s">
        <v>39</v>
      </c>
      <c r="G94" s="133">
        <v>378000</v>
      </c>
      <c r="H94" s="111">
        <v>0.5</v>
      </c>
      <c r="I94" s="91">
        <f t="shared" si="3"/>
        <v>23436.046872093742</v>
      </c>
      <c r="J94" s="5" t="s">
        <v>119</v>
      </c>
    </row>
    <row r="95" spans="1:10" ht="25" customHeight="1">
      <c r="A95" s="70"/>
      <c r="B95" s="71" t="s">
        <v>180</v>
      </c>
      <c r="C95" s="136" t="s">
        <v>181</v>
      </c>
      <c r="D95" s="73" t="s">
        <v>66</v>
      </c>
      <c r="E95" s="82">
        <v>16.129000000000001</v>
      </c>
      <c r="F95" s="74" t="s">
        <v>39</v>
      </c>
      <c r="G95" s="83">
        <v>300000</v>
      </c>
      <c r="H95" s="76">
        <v>0.4</v>
      </c>
      <c r="I95" s="77">
        <f t="shared" si="3"/>
        <v>18600.037200074399</v>
      </c>
      <c r="J95" s="5" t="s">
        <v>89</v>
      </c>
    </row>
    <row r="96" spans="1:10" ht="25" customHeight="1">
      <c r="A96" s="78"/>
      <c r="B96" s="79" t="s">
        <v>182</v>
      </c>
      <c r="C96" s="136" t="s">
        <v>181</v>
      </c>
      <c r="D96" s="81" t="s">
        <v>68</v>
      </c>
      <c r="E96" s="82">
        <v>16.129000000000001</v>
      </c>
      <c r="F96" s="82" t="s">
        <v>39</v>
      </c>
      <c r="G96" s="83">
        <v>1500000</v>
      </c>
      <c r="H96" s="76">
        <v>0.4</v>
      </c>
      <c r="I96" s="84">
        <f t="shared" si="3"/>
        <v>93000.186000371992</v>
      </c>
      <c r="J96" s="5" t="s">
        <v>89</v>
      </c>
    </row>
    <row r="97" spans="1:10" ht="25" customHeight="1">
      <c r="A97" s="128"/>
      <c r="B97" s="129" t="s">
        <v>183</v>
      </c>
      <c r="C97" s="136" t="s">
        <v>181</v>
      </c>
      <c r="D97" s="131" t="s">
        <v>70</v>
      </c>
      <c r="E97" s="82">
        <v>16.129000000000001</v>
      </c>
      <c r="F97" s="132" t="s">
        <v>39</v>
      </c>
      <c r="G97" s="83">
        <v>2000000</v>
      </c>
      <c r="H97" s="76">
        <v>0.4</v>
      </c>
      <c r="I97" s="135">
        <f t="shared" si="3"/>
        <v>124000.24800049599</v>
      </c>
      <c r="J97" s="5" t="s">
        <v>89</v>
      </c>
    </row>
    <row r="98" spans="1:10" ht="25" customHeight="1">
      <c r="A98" s="70"/>
      <c r="B98" s="71" t="s">
        <v>184</v>
      </c>
      <c r="C98" s="136" t="s">
        <v>185</v>
      </c>
      <c r="D98" s="73" t="s">
        <v>66</v>
      </c>
      <c r="E98" s="82">
        <v>16.129000000000001</v>
      </c>
      <c r="F98" s="74" t="s">
        <v>39</v>
      </c>
      <c r="G98" s="83">
        <v>300000</v>
      </c>
      <c r="H98" s="76">
        <v>0.2</v>
      </c>
      <c r="I98" s="77">
        <f t="shared" si="3"/>
        <v>18600.037200074399</v>
      </c>
      <c r="J98" s="5" t="s">
        <v>89</v>
      </c>
    </row>
    <row r="99" spans="1:10" ht="25" customHeight="1">
      <c r="A99" s="78"/>
      <c r="B99" s="79" t="s">
        <v>186</v>
      </c>
      <c r="C99" s="136" t="s">
        <v>185</v>
      </c>
      <c r="D99" s="81" t="s">
        <v>68</v>
      </c>
      <c r="E99" s="82">
        <v>16.129000000000001</v>
      </c>
      <c r="F99" s="82" t="s">
        <v>39</v>
      </c>
      <c r="G99" s="83">
        <v>1500000</v>
      </c>
      <c r="H99" s="76">
        <v>0.2</v>
      </c>
      <c r="I99" s="84">
        <f t="shared" si="3"/>
        <v>93000.186000371992</v>
      </c>
      <c r="J99" s="5" t="s">
        <v>89</v>
      </c>
    </row>
    <row r="100" spans="1:10" ht="25" customHeight="1">
      <c r="A100" s="128"/>
      <c r="B100" s="129" t="s">
        <v>187</v>
      </c>
      <c r="C100" s="136" t="s">
        <v>185</v>
      </c>
      <c r="D100" s="131" t="s">
        <v>70</v>
      </c>
      <c r="E100" s="82">
        <v>16.129000000000001</v>
      </c>
      <c r="F100" s="132" t="s">
        <v>39</v>
      </c>
      <c r="G100" s="83">
        <v>2000000</v>
      </c>
      <c r="H100" s="76">
        <v>0.2</v>
      </c>
      <c r="I100" s="135">
        <f t="shared" si="3"/>
        <v>124000.24800049599</v>
      </c>
      <c r="J100" s="5" t="s">
        <v>89</v>
      </c>
    </row>
    <row r="101" spans="1:10" s="51" customFormat="1" ht="25" customHeight="1">
      <c r="A101" s="63">
        <v>14</v>
      </c>
      <c r="B101" s="106"/>
      <c r="C101" s="107" t="s">
        <v>188</v>
      </c>
      <c r="D101" s="108"/>
      <c r="E101" s="66"/>
      <c r="F101" s="66"/>
      <c r="G101" s="109"/>
      <c r="H101" s="69"/>
      <c r="I101" s="68"/>
      <c r="J101" s="5"/>
    </row>
    <row r="102" spans="1:10" ht="25" customHeight="1">
      <c r="A102" s="70"/>
      <c r="B102" s="71" t="s">
        <v>189</v>
      </c>
      <c r="C102" s="123" t="s">
        <v>190</v>
      </c>
      <c r="D102" s="73" t="s">
        <v>63</v>
      </c>
      <c r="E102" s="74"/>
      <c r="F102" s="74" t="s">
        <v>31</v>
      </c>
      <c r="G102" s="75">
        <v>70000</v>
      </c>
      <c r="H102" s="76">
        <v>1</v>
      </c>
      <c r="I102" s="77">
        <f>+G102</f>
        <v>70000</v>
      </c>
      <c r="J102" s="5" t="s">
        <v>89</v>
      </c>
    </row>
    <row r="103" spans="1:10" ht="25" customHeight="1">
      <c r="A103" s="78"/>
      <c r="B103" s="79" t="s">
        <v>191</v>
      </c>
      <c r="C103" s="124" t="s">
        <v>190</v>
      </c>
      <c r="D103" s="81" t="s">
        <v>66</v>
      </c>
      <c r="E103" s="82">
        <f>360/72</f>
        <v>5</v>
      </c>
      <c r="F103" s="82" t="s">
        <v>39</v>
      </c>
      <c r="G103" s="83">
        <v>200000</v>
      </c>
      <c r="H103" s="76">
        <v>1</v>
      </c>
      <c r="I103" s="84">
        <f>+G103/E103</f>
        <v>40000</v>
      </c>
      <c r="J103" s="5" t="s">
        <v>89</v>
      </c>
    </row>
    <row r="104" spans="1:10" ht="25" customHeight="1">
      <c r="A104" s="78"/>
      <c r="B104" s="79" t="s">
        <v>192</v>
      </c>
      <c r="C104" s="124" t="s">
        <v>190</v>
      </c>
      <c r="D104" s="81" t="s">
        <v>68</v>
      </c>
      <c r="E104" s="82">
        <f>360/54</f>
        <v>6.666666666666667</v>
      </c>
      <c r="F104" s="82" t="s">
        <v>39</v>
      </c>
      <c r="G104" s="83">
        <v>500000</v>
      </c>
      <c r="H104" s="76">
        <v>1</v>
      </c>
      <c r="I104" s="84">
        <f>+G104/E104</f>
        <v>75000</v>
      </c>
      <c r="J104" s="5" t="s">
        <v>89</v>
      </c>
    </row>
    <row r="105" spans="1:10" ht="25" customHeight="1">
      <c r="A105" s="78"/>
      <c r="B105" s="79" t="s">
        <v>193</v>
      </c>
      <c r="C105" s="124" t="s">
        <v>190</v>
      </c>
      <c r="D105" s="81" t="s">
        <v>70</v>
      </c>
      <c r="E105" s="82">
        <f>360/43</f>
        <v>8.3720930232558146</v>
      </c>
      <c r="F105" s="82" t="s">
        <v>39</v>
      </c>
      <c r="G105" s="83">
        <v>700000</v>
      </c>
      <c r="H105" s="76">
        <v>1</v>
      </c>
      <c r="I105" s="84">
        <f>+G105/E105</f>
        <v>83611.111111111109</v>
      </c>
      <c r="J105" s="5" t="s">
        <v>89</v>
      </c>
    </row>
    <row r="106" spans="1:10" ht="25" customHeight="1">
      <c r="A106" s="85"/>
      <c r="B106" s="86" t="s">
        <v>194</v>
      </c>
      <c r="C106" s="125" t="s">
        <v>190</v>
      </c>
      <c r="D106" s="88" t="s">
        <v>94</v>
      </c>
      <c r="E106" s="89">
        <f>360/43</f>
        <v>8.3720930232558146</v>
      </c>
      <c r="F106" s="89" t="s">
        <v>39</v>
      </c>
      <c r="G106" s="90">
        <v>1000000</v>
      </c>
      <c r="H106" s="76">
        <v>1</v>
      </c>
      <c r="I106" s="91">
        <f>+G106/E106</f>
        <v>119444.44444444444</v>
      </c>
      <c r="J106" s="5" t="s">
        <v>89</v>
      </c>
    </row>
    <row r="107" spans="1:10" ht="25" customHeight="1">
      <c r="A107" s="70"/>
      <c r="B107" s="71" t="s">
        <v>195</v>
      </c>
      <c r="C107" s="123" t="s">
        <v>196</v>
      </c>
      <c r="D107" s="73" t="s">
        <v>63</v>
      </c>
      <c r="E107" s="74"/>
      <c r="F107" s="74" t="s">
        <v>31</v>
      </c>
      <c r="G107" s="75">
        <v>70000</v>
      </c>
      <c r="H107" s="76">
        <v>0.5</v>
      </c>
      <c r="I107" s="77">
        <f>+G107</f>
        <v>70000</v>
      </c>
      <c r="J107" s="5" t="s">
        <v>89</v>
      </c>
    </row>
    <row r="108" spans="1:10" ht="25" customHeight="1">
      <c r="A108" s="78"/>
      <c r="B108" s="79" t="s">
        <v>197</v>
      </c>
      <c r="C108" s="124" t="s">
        <v>196</v>
      </c>
      <c r="D108" s="81" t="s">
        <v>66</v>
      </c>
      <c r="E108" s="82">
        <f>360/72</f>
        <v>5</v>
      </c>
      <c r="F108" s="82" t="s">
        <v>39</v>
      </c>
      <c r="G108" s="83">
        <v>200000</v>
      </c>
      <c r="H108" s="76">
        <v>0.5</v>
      </c>
      <c r="I108" s="84">
        <f>+G108/E108</f>
        <v>40000</v>
      </c>
      <c r="J108" s="5" t="s">
        <v>89</v>
      </c>
    </row>
    <row r="109" spans="1:10" ht="25" customHeight="1">
      <c r="A109" s="78"/>
      <c r="B109" s="79" t="s">
        <v>198</v>
      </c>
      <c r="C109" s="124" t="s">
        <v>196</v>
      </c>
      <c r="D109" s="81" t="s">
        <v>68</v>
      </c>
      <c r="E109" s="82">
        <f>360/54</f>
        <v>6.666666666666667</v>
      </c>
      <c r="F109" s="82" t="s">
        <v>39</v>
      </c>
      <c r="G109" s="83">
        <v>500000</v>
      </c>
      <c r="H109" s="76">
        <v>0.5</v>
      </c>
      <c r="I109" s="84">
        <f>+G109/E109</f>
        <v>75000</v>
      </c>
      <c r="J109" s="5" t="s">
        <v>89</v>
      </c>
    </row>
    <row r="110" spans="1:10" ht="25" customHeight="1">
      <c r="A110" s="78"/>
      <c r="B110" s="79" t="s">
        <v>199</v>
      </c>
      <c r="C110" s="124" t="s">
        <v>196</v>
      </c>
      <c r="D110" s="81" t="s">
        <v>70</v>
      </c>
      <c r="E110" s="82">
        <f>360/43</f>
        <v>8.3720930232558146</v>
      </c>
      <c r="F110" s="82" t="s">
        <v>39</v>
      </c>
      <c r="G110" s="83">
        <v>700000</v>
      </c>
      <c r="H110" s="76">
        <v>0.5</v>
      </c>
      <c r="I110" s="84">
        <f>+G110/E110</f>
        <v>83611.111111111109</v>
      </c>
      <c r="J110" s="5" t="s">
        <v>89</v>
      </c>
    </row>
    <row r="111" spans="1:10" ht="25" customHeight="1">
      <c r="A111" s="85"/>
      <c r="B111" s="86" t="s">
        <v>200</v>
      </c>
      <c r="C111" s="125" t="s">
        <v>196</v>
      </c>
      <c r="D111" s="88" t="s">
        <v>94</v>
      </c>
      <c r="E111" s="89">
        <f>360/43</f>
        <v>8.3720930232558146</v>
      </c>
      <c r="F111" s="89" t="s">
        <v>39</v>
      </c>
      <c r="G111" s="90">
        <v>1000000</v>
      </c>
      <c r="H111" s="76">
        <v>0.5</v>
      </c>
      <c r="I111" s="91">
        <f>+G111/E111</f>
        <v>119444.44444444444</v>
      </c>
      <c r="J111" s="5" t="s">
        <v>89</v>
      </c>
    </row>
    <row r="112" spans="1:10" s="51" customFormat="1" ht="25" customHeight="1">
      <c r="A112" s="63">
        <v>14</v>
      </c>
      <c r="B112" s="106"/>
      <c r="C112" s="107" t="s">
        <v>201</v>
      </c>
      <c r="D112" s="108"/>
      <c r="E112" s="67" t="s">
        <v>202</v>
      </c>
      <c r="F112" s="66"/>
      <c r="G112" s="109"/>
      <c r="H112" s="69"/>
      <c r="I112" s="68"/>
      <c r="J112" s="5"/>
    </row>
    <row r="113" spans="1:10" ht="25" customHeight="1">
      <c r="A113" s="70"/>
      <c r="B113" s="71" t="s">
        <v>203</v>
      </c>
      <c r="C113" s="123" t="s">
        <v>204</v>
      </c>
      <c r="D113" s="73" t="s">
        <v>63</v>
      </c>
      <c r="E113" s="74"/>
      <c r="F113" s="74" t="s">
        <v>31</v>
      </c>
      <c r="G113" s="75">
        <v>70000</v>
      </c>
      <c r="H113" s="76">
        <v>1</v>
      </c>
      <c r="I113" s="77">
        <f>+G113</f>
        <v>70000</v>
      </c>
      <c r="J113" s="5" t="s">
        <v>89</v>
      </c>
    </row>
    <row r="114" spans="1:10" ht="25" customHeight="1">
      <c r="A114" s="78"/>
      <c r="B114" s="79" t="s">
        <v>205</v>
      </c>
      <c r="C114" s="124" t="s">
        <v>204</v>
      </c>
      <c r="D114" s="81" t="s">
        <v>66</v>
      </c>
      <c r="E114" s="82">
        <v>6.25</v>
      </c>
      <c r="F114" s="82" t="s">
        <v>39</v>
      </c>
      <c r="G114" s="83">
        <v>200000</v>
      </c>
      <c r="H114" s="76">
        <v>1</v>
      </c>
      <c r="I114" s="84">
        <f>+G114/E114</f>
        <v>32000</v>
      </c>
      <c r="J114" s="5" t="s">
        <v>89</v>
      </c>
    </row>
    <row r="115" spans="1:10" ht="25" customHeight="1">
      <c r="A115" s="78"/>
      <c r="B115" s="79" t="s">
        <v>206</v>
      </c>
      <c r="C115" s="124" t="s">
        <v>204</v>
      </c>
      <c r="D115" s="81" t="s">
        <v>68</v>
      </c>
      <c r="E115" s="82">
        <v>6.25</v>
      </c>
      <c r="F115" s="82" t="s">
        <v>39</v>
      </c>
      <c r="G115" s="83">
        <v>500000</v>
      </c>
      <c r="H115" s="76">
        <v>1</v>
      </c>
      <c r="I115" s="84">
        <f>+G115/E115</f>
        <v>80000</v>
      </c>
      <c r="J115" s="5" t="s">
        <v>89</v>
      </c>
    </row>
    <row r="116" spans="1:10" ht="25" customHeight="1">
      <c r="A116" s="78"/>
      <c r="B116" s="79" t="s">
        <v>207</v>
      </c>
      <c r="C116" s="124" t="s">
        <v>204</v>
      </c>
      <c r="D116" s="81" t="s">
        <v>70</v>
      </c>
      <c r="E116" s="82">
        <v>6.25</v>
      </c>
      <c r="F116" s="82" t="s">
        <v>39</v>
      </c>
      <c r="G116" s="83">
        <v>700000</v>
      </c>
      <c r="H116" s="76">
        <v>1</v>
      </c>
      <c r="I116" s="84">
        <f>+G116/E116</f>
        <v>112000</v>
      </c>
      <c r="J116" s="5" t="s">
        <v>89</v>
      </c>
    </row>
    <row r="117" spans="1:10" ht="25" customHeight="1">
      <c r="A117" s="85"/>
      <c r="B117" s="86" t="s">
        <v>208</v>
      </c>
      <c r="C117" s="125" t="s">
        <v>204</v>
      </c>
      <c r="D117" s="88" t="s">
        <v>94</v>
      </c>
      <c r="E117" s="82">
        <v>6.25</v>
      </c>
      <c r="F117" s="89" t="s">
        <v>39</v>
      </c>
      <c r="G117" s="90">
        <v>1000000</v>
      </c>
      <c r="H117" s="76">
        <v>1</v>
      </c>
      <c r="I117" s="91">
        <f>+G117/E117</f>
        <v>160000</v>
      </c>
      <c r="J117" s="5" t="s">
        <v>89</v>
      </c>
    </row>
    <row r="118" spans="1:10" ht="25" customHeight="1">
      <c r="A118" s="70"/>
      <c r="B118" s="71" t="s">
        <v>209</v>
      </c>
      <c r="C118" s="123" t="s">
        <v>210</v>
      </c>
      <c r="D118" s="73" t="s">
        <v>63</v>
      </c>
      <c r="E118" s="82">
        <v>6.25</v>
      </c>
      <c r="F118" s="74" t="s">
        <v>31</v>
      </c>
      <c r="G118" s="75">
        <v>70000</v>
      </c>
      <c r="H118" s="76">
        <v>0.5</v>
      </c>
      <c r="I118" s="77">
        <f>+G118</f>
        <v>70000</v>
      </c>
      <c r="J118" s="5" t="s">
        <v>89</v>
      </c>
    </row>
    <row r="119" spans="1:10" ht="25" customHeight="1">
      <c r="A119" s="78"/>
      <c r="B119" s="79" t="s">
        <v>211</v>
      </c>
      <c r="C119" s="124" t="s">
        <v>210</v>
      </c>
      <c r="D119" s="81" t="s">
        <v>66</v>
      </c>
      <c r="E119" s="82">
        <v>6.25</v>
      </c>
      <c r="F119" s="82" t="s">
        <v>39</v>
      </c>
      <c r="G119" s="83">
        <v>200000</v>
      </c>
      <c r="H119" s="76">
        <v>0.5</v>
      </c>
      <c r="I119" s="84">
        <f>+G119/E119</f>
        <v>32000</v>
      </c>
      <c r="J119" s="5" t="s">
        <v>89</v>
      </c>
    </row>
    <row r="120" spans="1:10" ht="25" customHeight="1">
      <c r="A120" s="78"/>
      <c r="B120" s="79" t="s">
        <v>212</v>
      </c>
      <c r="C120" s="124" t="s">
        <v>210</v>
      </c>
      <c r="D120" s="81" t="s">
        <v>68</v>
      </c>
      <c r="E120" s="82">
        <v>6.25</v>
      </c>
      <c r="F120" s="82" t="s">
        <v>39</v>
      </c>
      <c r="G120" s="83">
        <v>500000</v>
      </c>
      <c r="H120" s="76">
        <v>0.5</v>
      </c>
      <c r="I120" s="84">
        <f>+G120/E120</f>
        <v>80000</v>
      </c>
      <c r="J120" s="5" t="s">
        <v>89</v>
      </c>
    </row>
    <row r="121" spans="1:10" ht="25" customHeight="1">
      <c r="A121" s="78"/>
      <c r="B121" s="79" t="s">
        <v>213</v>
      </c>
      <c r="C121" s="124" t="s">
        <v>210</v>
      </c>
      <c r="D121" s="81" t="s">
        <v>70</v>
      </c>
      <c r="E121" s="82">
        <v>6.25</v>
      </c>
      <c r="F121" s="82" t="s">
        <v>39</v>
      </c>
      <c r="G121" s="83">
        <v>700000</v>
      </c>
      <c r="H121" s="76">
        <v>0.5</v>
      </c>
      <c r="I121" s="84">
        <f>+G121/E121</f>
        <v>112000</v>
      </c>
      <c r="J121" s="5" t="s">
        <v>89</v>
      </c>
    </row>
    <row r="122" spans="1:10" ht="25" customHeight="1">
      <c r="A122" s="85"/>
      <c r="B122" s="86" t="s">
        <v>214</v>
      </c>
      <c r="C122" s="125" t="s">
        <v>210</v>
      </c>
      <c r="D122" s="88" t="s">
        <v>94</v>
      </c>
      <c r="E122" s="82">
        <v>6.25</v>
      </c>
      <c r="F122" s="89" t="s">
        <v>39</v>
      </c>
      <c r="G122" s="90">
        <v>1000000</v>
      </c>
      <c r="H122" s="76">
        <v>0.5</v>
      </c>
      <c r="I122" s="91">
        <f>+G122/E122</f>
        <v>160000</v>
      </c>
      <c r="J122" s="5" t="s">
        <v>89</v>
      </c>
    </row>
    <row r="123" spans="1:10" ht="25" customHeight="1">
      <c r="A123" s="70"/>
      <c r="B123" s="71" t="s">
        <v>215</v>
      </c>
      <c r="C123" s="123" t="s">
        <v>216</v>
      </c>
      <c r="D123" s="73" t="s">
        <v>63</v>
      </c>
      <c r="E123" s="74"/>
      <c r="F123" s="74" t="s">
        <v>31</v>
      </c>
      <c r="G123" s="75">
        <v>70000</v>
      </c>
      <c r="H123" s="76">
        <v>0.2</v>
      </c>
      <c r="I123" s="77">
        <f>+G123</f>
        <v>70000</v>
      </c>
      <c r="J123" s="5" t="s">
        <v>119</v>
      </c>
    </row>
    <row r="124" spans="1:10" ht="25" customHeight="1">
      <c r="A124" s="78"/>
      <c r="B124" s="79" t="s">
        <v>217</v>
      </c>
      <c r="C124" s="123" t="s">
        <v>216</v>
      </c>
      <c r="D124" s="81" t="s">
        <v>66</v>
      </c>
      <c r="E124" s="82">
        <f>360/72</f>
        <v>5</v>
      </c>
      <c r="F124" s="82" t="s">
        <v>39</v>
      </c>
      <c r="G124" s="83">
        <v>200000</v>
      </c>
      <c r="H124" s="110">
        <v>0.2</v>
      </c>
      <c r="I124" s="84">
        <f>+G124/E124</f>
        <v>40000</v>
      </c>
      <c r="J124" s="5" t="s">
        <v>119</v>
      </c>
    </row>
    <row r="125" spans="1:10" ht="25" customHeight="1">
      <c r="A125" s="78"/>
      <c r="B125" s="79" t="s">
        <v>218</v>
      </c>
      <c r="C125" s="123" t="s">
        <v>216</v>
      </c>
      <c r="D125" s="81" t="s">
        <v>68</v>
      </c>
      <c r="E125" s="82">
        <f>360/54</f>
        <v>6.666666666666667</v>
      </c>
      <c r="F125" s="82" t="s">
        <v>39</v>
      </c>
      <c r="G125" s="83">
        <v>500000</v>
      </c>
      <c r="H125" s="110">
        <v>0.2</v>
      </c>
      <c r="I125" s="84">
        <f>+G125/E125</f>
        <v>75000</v>
      </c>
      <c r="J125" s="5" t="s">
        <v>119</v>
      </c>
    </row>
    <row r="126" spans="1:10" ht="25" customHeight="1">
      <c r="A126" s="78"/>
      <c r="B126" s="79" t="s">
        <v>219</v>
      </c>
      <c r="C126" s="123" t="s">
        <v>216</v>
      </c>
      <c r="D126" s="81" t="s">
        <v>70</v>
      </c>
      <c r="E126" s="82">
        <f>360/43</f>
        <v>8.3720930232558146</v>
      </c>
      <c r="F126" s="82" t="s">
        <v>39</v>
      </c>
      <c r="G126" s="83">
        <v>700000</v>
      </c>
      <c r="H126" s="110">
        <v>0.2</v>
      </c>
      <c r="I126" s="84">
        <f>+G126/E126</f>
        <v>83611.111111111109</v>
      </c>
      <c r="J126" s="5" t="s">
        <v>119</v>
      </c>
    </row>
    <row r="127" spans="1:10" ht="25" customHeight="1">
      <c r="A127" s="85"/>
      <c r="B127" s="86" t="s">
        <v>220</v>
      </c>
      <c r="C127" s="123" t="s">
        <v>216</v>
      </c>
      <c r="D127" s="88" t="s">
        <v>94</v>
      </c>
      <c r="E127" s="89">
        <f>360/43</f>
        <v>8.3720930232558146</v>
      </c>
      <c r="F127" s="89" t="s">
        <v>39</v>
      </c>
      <c r="G127" s="90">
        <v>1000000</v>
      </c>
      <c r="H127" s="111">
        <v>0.2</v>
      </c>
      <c r="I127" s="91">
        <f>+G127/E127</f>
        <v>119444.44444444444</v>
      </c>
      <c r="J127" s="5" t="s">
        <v>119</v>
      </c>
    </row>
    <row r="128" spans="1:10" s="51" customFormat="1" ht="25" customHeight="1">
      <c r="A128" s="63">
        <v>14</v>
      </c>
      <c r="B128" s="106"/>
      <c r="C128" s="107" t="s">
        <v>221</v>
      </c>
      <c r="D128" s="108"/>
      <c r="E128" s="66" t="s">
        <v>222</v>
      </c>
      <c r="F128" s="66"/>
      <c r="G128" s="109"/>
      <c r="H128" s="69"/>
      <c r="I128" s="68"/>
      <c r="J128" s="5"/>
    </row>
    <row r="129" spans="1:10" ht="25" customHeight="1">
      <c r="A129" s="70"/>
      <c r="B129" s="71" t="s">
        <v>223</v>
      </c>
      <c r="C129" s="123" t="s">
        <v>224</v>
      </c>
      <c r="D129" s="73" t="s">
        <v>63</v>
      </c>
      <c r="E129" s="74"/>
      <c r="F129" s="74" t="s">
        <v>31</v>
      </c>
      <c r="G129" s="75">
        <v>70000</v>
      </c>
      <c r="H129" s="76">
        <v>1</v>
      </c>
      <c r="I129" s="77">
        <f>+G129</f>
        <v>70000</v>
      </c>
      <c r="J129" s="5" t="s">
        <v>89</v>
      </c>
    </row>
    <row r="130" spans="1:10" ht="25" customHeight="1">
      <c r="A130" s="78"/>
      <c r="B130" s="79" t="s">
        <v>225</v>
      </c>
      <c r="C130" s="124" t="s">
        <v>224</v>
      </c>
      <c r="D130" s="81" t="s">
        <v>66</v>
      </c>
      <c r="E130" s="82">
        <v>3.84</v>
      </c>
      <c r="F130" s="82" t="s">
        <v>39</v>
      </c>
      <c r="G130" s="83">
        <v>200000</v>
      </c>
      <c r="H130" s="76">
        <v>1</v>
      </c>
      <c r="I130" s="84">
        <f>+G130/E130</f>
        <v>52083.333333333336</v>
      </c>
      <c r="J130" s="5" t="s">
        <v>89</v>
      </c>
    </row>
    <row r="131" spans="1:10" ht="25" customHeight="1">
      <c r="A131" s="78"/>
      <c r="B131" s="79" t="s">
        <v>226</v>
      </c>
      <c r="C131" s="124" t="s">
        <v>224</v>
      </c>
      <c r="D131" s="81" t="s">
        <v>68</v>
      </c>
      <c r="E131" s="82">
        <v>3.84</v>
      </c>
      <c r="F131" s="82" t="s">
        <v>39</v>
      </c>
      <c r="G131" s="83">
        <v>500000</v>
      </c>
      <c r="H131" s="76">
        <v>1</v>
      </c>
      <c r="I131" s="84">
        <f>+G131/E131</f>
        <v>130208.33333333334</v>
      </c>
      <c r="J131" s="5" t="s">
        <v>89</v>
      </c>
    </row>
    <row r="132" spans="1:10" ht="25" customHeight="1">
      <c r="A132" s="78"/>
      <c r="B132" s="79" t="s">
        <v>227</v>
      </c>
      <c r="C132" s="124" t="s">
        <v>224</v>
      </c>
      <c r="D132" s="81" t="s">
        <v>70</v>
      </c>
      <c r="E132" s="82">
        <v>3.84</v>
      </c>
      <c r="F132" s="82" t="s">
        <v>39</v>
      </c>
      <c r="G132" s="83">
        <v>700000</v>
      </c>
      <c r="H132" s="76">
        <v>1</v>
      </c>
      <c r="I132" s="84">
        <f>+G132/E132</f>
        <v>182291.66666666669</v>
      </c>
      <c r="J132" s="5" t="s">
        <v>89</v>
      </c>
    </row>
    <row r="133" spans="1:10" ht="25" customHeight="1">
      <c r="A133" s="85"/>
      <c r="B133" s="86" t="s">
        <v>228</v>
      </c>
      <c r="C133" s="125" t="s">
        <v>224</v>
      </c>
      <c r="D133" s="88" t="s">
        <v>94</v>
      </c>
      <c r="E133" s="82">
        <v>3.84</v>
      </c>
      <c r="F133" s="89" t="s">
        <v>39</v>
      </c>
      <c r="G133" s="90">
        <v>1000000</v>
      </c>
      <c r="H133" s="76">
        <v>1</v>
      </c>
      <c r="I133" s="91">
        <f>+G133/E133</f>
        <v>260416.66666666669</v>
      </c>
      <c r="J133" s="5" t="s">
        <v>89</v>
      </c>
    </row>
    <row r="134" spans="1:10" ht="25" customHeight="1">
      <c r="A134" s="137"/>
      <c r="B134" s="138" t="s">
        <v>229</v>
      </c>
      <c r="C134" s="125" t="s">
        <v>230</v>
      </c>
      <c r="D134" s="81" t="s">
        <v>66</v>
      </c>
      <c r="E134" s="82">
        <v>3.84</v>
      </c>
      <c r="F134" s="139" t="s">
        <v>39</v>
      </c>
      <c r="G134" s="140">
        <v>40000</v>
      </c>
      <c r="H134" s="111">
        <v>1</v>
      </c>
      <c r="I134" s="141"/>
      <c r="J134" s="5" t="s">
        <v>119</v>
      </c>
    </row>
    <row r="135" spans="1:10" ht="25" customHeight="1">
      <c r="A135" s="70"/>
      <c r="B135" s="71" t="s">
        <v>231</v>
      </c>
      <c r="C135" s="123" t="s">
        <v>232</v>
      </c>
      <c r="D135" s="73" t="s">
        <v>63</v>
      </c>
      <c r="E135" s="82">
        <v>3.84</v>
      </c>
      <c r="F135" s="74" t="s">
        <v>31</v>
      </c>
      <c r="G135" s="75">
        <v>70000</v>
      </c>
      <c r="H135" s="76">
        <v>0.5</v>
      </c>
      <c r="I135" s="77">
        <f>+G135</f>
        <v>70000</v>
      </c>
      <c r="J135" s="5" t="s">
        <v>89</v>
      </c>
    </row>
    <row r="136" spans="1:10" ht="25" customHeight="1">
      <c r="A136" s="78"/>
      <c r="B136" s="79" t="s">
        <v>233</v>
      </c>
      <c r="C136" s="124" t="s">
        <v>232</v>
      </c>
      <c r="D136" s="81" t="s">
        <v>66</v>
      </c>
      <c r="E136" s="82">
        <v>3.84</v>
      </c>
      <c r="F136" s="82" t="s">
        <v>39</v>
      </c>
      <c r="G136" s="83">
        <v>200000</v>
      </c>
      <c r="H136" s="76">
        <v>0.5</v>
      </c>
      <c r="I136" s="84">
        <f>+G136/E136</f>
        <v>52083.333333333336</v>
      </c>
      <c r="J136" s="5" t="s">
        <v>89</v>
      </c>
    </row>
    <row r="137" spans="1:10" ht="25" customHeight="1">
      <c r="A137" s="78"/>
      <c r="B137" s="79" t="s">
        <v>234</v>
      </c>
      <c r="C137" s="124" t="s">
        <v>232</v>
      </c>
      <c r="D137" s="81" t="s">
        <v>68</v>
      </c>
      <c r="E137" s="82">
        <v>3.84</v>
      </c>
      <c r="F137" s="82" t="s">
        <v>39</v>
      </c>
      <c r="G137" s="83">
        <v>500000</v>
      </c>
      <c r="H137" s="76">
        <v>0.5</v>
      </c>
      <c r="I137" s="84">
        <f>+G137/E137</f>
        <v>130208.33333333334</v>
      </c>
      <c r="J137" s="5" t="s">
        <v>89</v>
      </c>
    </row>
    <row r="138" spans="1:10" ht="25" customHeight="1">
      <c r="A138" s="78"/>
      <c r="B138" s="79" t="s">
        <v>235</v>
      </c>
      <c r="C138" s="124" t="s">
        <v>232</v>
      </c>
      <c r="D138" s="81" t="s">
        <v>70</v>
      </c>
      <c r="E138" s="82">
        <v>3.84</v>
      </c>
      <c r="F138" s="82" t="s">
        <v>39</v>
      </c>
      <c r="G138" s="83">
        <v>700000</v>
      </c>
      <c r="H138" s="76">
        <v>0.5</v>
      </c>
      <c r="I138" s="84">
        <f>+G138/E138</f>
        <v>182291.66666666669</v>
      </c>
      <c r="J138" s="5" t="s">
        <v>89</v>
      </c>
    </row>
    <row r="139" spans="1:10" ht="25" customHeight="1">
      <c r="A139" s="85"/>
      <c r="B139" s="86" t="s">
        <v>236</v>
      </c>
      <c r="C139" s="125" t="s">
        <v>232</v>
      </c>
      <c r="D139" s="88" t="s">
        <v>94</v>
      </c>
      <c r="E139" s="82">
        <v>3.84</v>
      </c>
      <c r="F139" s="89" t="s">
        <v>39</v>
      </c>
      <c r="G139" s="90">
        <v>1000000</v>
      </c>
      <c r="H139" s="76">
        <v>0.5</v>
      </c>
      <c r="I139" s="91">
        <f>+G139/E139</f>
        <v>260416.66666666669</v>
      </c>
      <c r="J139" s="5" t="s">
        <v>89</v>
      </c>
    </row>
    <row r="140" spans="1:10" ht="25" customHeight="1">
      <c r="A140" s="63">
        <v>15</v>
      </c>
      <c r="B140" s="64"/>
      <c r="C140" s="65" t="s">
        <v>49</v>
      </c>
      <c r="D140" s="66"/>
      <c r="E140" s="67">
        <f>10000/2200</f>
        <v>4.5454545454545459</v>
      </c>
      <c r="F140" s="66"/>
      <c r="G140" s="68"/>
      <c r="H140" s="69"/>
      <c r="I140" s="68"/>
    </row>
    <row r="141" spans="1:10" ht="25" customHeight="1">
      <c r="A141" s="70"/>
      <c r="B141" s="71" t="s">
        <v>237</v>
      </c>
      <c r="C141" s="123" t="s">
        <v>238</v>
      </c>
      <c r="D141" s="73" t="s">
        <v>239</v>
      </c>
      <c r="E141" s="74">
        <v>4.54</v>
      </c>
      <c r="F141" s="74" t="s">
        <v>39</v>
      </c>
      <c r="G141" s="75">
        <v>15000</v>
      </c>
      <c r="H141" s="76">
        <v>0.5</v>
      </c>
      <c r="I141" s="77">
        <f>+G141</f>
        <v>15000</v>
      </c>
      <c r="J141" s="5" t="s">
        <v>89</v>
      </c>
    </row>
    <row r="142" spans="1:10" ht="25" customHeight="1">
      <c r="A142" s="78"/>
      <c r="B142" s="79" t="s">
        <v>240</v>
      </c>
      <c r="C142" s="124" t="s">
        <v>238</v>
      </c>
      <c r="D142" s="81" t="s">
        <v>241</v>
      </c>
      <c r="E142" s="74">
        <v>4.54</v>
      </c>
      <c r="F142" s="82" t="s">
        <v>39</v>
      </c>
      <c r="G142" s="83">
        <v>30000</v>
      </c>
      <c r="H142" s="76">
        <v>0.5</v>
      </c>
      <c r="I142" s="84">
        <f t="shared" ref="I142:I147" si="4">+G142/E142</f>
        <v>6607.929515418502</v>
      </c>
      <c r="J142" s="5" t="s">
        <v>89</v>
      </c>
    </row>
    <row r="143" spans="1:10" ht="25" customHeight="1">
      <c r="A143" s="78"/>
      <c r="B143" s="79" t="s">
        <v>242</v>
      </c>
      <c r="C143" s="124" t="s">
        <v>238</v>
      </c>
      <c r="D143" s="81" t="s">
        <v>243</v>
      </c>
      <c r="E143" s="74">
        <v>4.54</v>
      </c>
      <c r="F143" s="82" t="s">
        <v>39</v>
      </c>
      <c r="G143" s="83">
        <v>60000</v>
      </c>
      <c r="H143" s="76">
        <v>0.5</v>
      </c>
      <c r="I143" s="84">
        <f t="shared" si="4"/>
        <v>13215.859030837004</v>
      </c>
      <c r="J143" s="5" t="s">
        <v>89</v>
      </c>
    </row>
    <row r="144" spans="1:10" ht="25" customHeight="1">
      <c r="A144" s="85"/>
      <c r="B144" s="86" t="s">
        <v>244</v>
      </c>
      <c r="C144" s="125" t="s">
        <v>245</v>
      </c>
      <c r="D144" s="88" t="s">
        <v>63</v>
      </c>
      <c r="E144" s="74">
        <v>4.54</v>
      </c>
      <c r="F144" s="89" t="s">
        <v>31</v>
      </c>
      <c r="G144" s="90">
        <v>50000</v>
      </c>
      <c r="H144" s="111">
        <v>1</v>
      </c>
      <c r="I144" s="84">
        <f t="shared" si="4"/>
        <v>11013.215859030837</v>
      </c>
      <c r="J144" s="5" t="s">
        <v>89</v>
      </c>
    </row>
    <row r="145" spans="1:10" ht="29.25" customHeight="1">
      <c r="A145" s="78"/>
      <c r="B145" s="79" t="s">
        <v>246</v>
      </c>
      <c r="C145" s="124" t="s">
        <v>245</v>
      </c>
      <c r="D145" s="81" t="s">
        <v>239</v>
      </c>
      <c r="E145" s="74">
        <v>4.54</v>
      </c>
      <c r="F145" s="82" t="s">
        <v>39</v>
      </c>
      <c r="G145" s="83">
        <v>15000</v>
      </c>
      <c r="H145" s="111">
        <v>1</v>
      </c>
      <c r="I145" s="84">
        <f t="shared" si="4"/>
        <v>3303.964757709251</v>
      </c>
      <c r="J145" s="5" t="s">
        <v>89</v>
      </c>
    </row>
    <row r="146" spans="1:10" ht="25" customHeight="1">
      <c r="A146" s="78"/>
      <c r="B146" s="79" t="s">
        <v>247</v>
      </c>
      <c r="C146" s="124" t="s">
        <v>245</v>
      </c>
      <c r="D146" s="81" t="s">
        <v>241</v>
      </c>
      <c r="E146" s="74">
        <v>4.54</v>
      </c>
      <c r="F146" s="82" t="s">
        <v>39</v>
      </c>
      <c r="G146" s="83">
        <v>30000</v>
      </c>
      <c r="H146" s="111">
        <v>1</v>
      </c>
      <c r="I146" s="84">
        <f t="shared" si="4"/>
        <v>6607.929515418502</v>
      </c>
      <c r="J146" s="5" t="s">
        <v>89</v>
      </c>
    </row>
    <row r="147" spans="1:10" ht="25" customHeight="1">
      <c r="A147" s="85"/>
      <c r="B147" s="86" t="s">
        <v>248</v>
      </c>
      <c r="C147" s="125" t="s">
        <v>245</v>
      </c>
      <c r="D147" s="88" t="s">
        <v>243</v>
      </c>
      <c r="E147" s="74">
        <v>4.54</v>
      </c>
      <c r="F147" s="89" t="s">
        <v>39</v>
      </c>
      <c r="G147" s="90">
        <v>60000</v>
      </c>
      <c r="H147" s="111">
        <v>1</v>
      </c>
      <c r="I147" s="91">
        <f t="shared" si="4"/>
        <v>13215.859030837004</v>
      </c>
      <c r="J147" s="5" t="s">
        <v>89</v>
      </c>
    </row>
    <row r="148" spans="1:10" s="51" customFormat="1" ht="25" customHeight="1">
      <c r="A148" s="63">
        <v>1</v>
      </c>
      <c r="B148" s="106"/>
      <c r="C148" s="107" t="s">
        <v>41</v>
      </c>
      <c r="D148" s="108"/>
      <c r="E148" s="66">
        <f t="shared" ref="E148:E154" si="5">10000/2500</f>
        <v>4</v>
      </c>
      <c r="F148" s="66"/>
      <c r="G148" s="109"/>
      <c r="H148" s="69"/>
      <c r="I148" s="68"/>
      <c r="J148" s="5"/>
    </row>
    <row r="149" spans="1:10" ht="25" customHeight="1">
      <c r="A149" s="70"/>
      <c r="B149" s="71" t="s">
        <v>249</v>
      </c>
      <c r="C149" s="123" t="s">
        <v>41</v>
      </c>
      <c r="D149" s="73" t="s">
        <v>250</v>
      </c>
      <c r="E149" s="66">
        <f t="shared" si="5"/>
        <v>4</v>
      </c>
      <c r="F149" s="74" t="s">
        <v>39</v>
      </c>
      <c r="G149" s="75">
        <v>30000</v>
      </c>
      <c r="H149" s="76">
        <v>1</v>
      </c>
      <c r="I149" s="77">
        <f t="shared" ref="I149:I154" si="6">+G149/E149</f>
        <v>7500</v>
      </c>
      <c r="J149" s="5" t="s">
        <v>89</v>
      </c>
    </row>
    <row r="150" spans="1:10" ht="25" customHeight="1">
      <c r="A150" s="85"/>
      <c r="B150" s="71" t="s">
        <v>251</v>
      </c>
      <c r="C150" s="125" t="s">
        <v>41</v>
      </c>
      <c r="D150" s="88" t="s">
        <v>252</v>
      </c>
      <c r="E150" s="66">
        <f t="shared" si="5"/>
        <v>4</v>
      </c>
      <c r="F150" s="89" t="s">
        <v>39</v>
      </c>
      <c r="G150" s="90">
        <v>60000</v>
      </c>
      <c r="H150" s="76">
        <v>1</v>
      </c>
      <c r="I150" s="91">
        <f t="shared" si="6"/>
        <v>15000</v>
      </c>
      <c r="J150" s="5" t="s">
        <v>89</v>
      </c>
    </row>
    <row r="151" spans="1:10" ht="25" customHeight="1">
      <c r="A151" s="70"/>
      <c r="B151" s="71" t="s">
        <v>253</v>
      </c>
      <c r="C151" s="123" t="s">
        <v>254</v>
      </c>
      <c r="D151" s="73" t="s">
        <v>250</v>
      </c>
      <c r="E151" s="66">
        <f t="shared" si="5"/>
        <v>4</v>
      </c>
      <c r="F151" s="74" t="s">
        <v>39</v>
      </c>
      <c r="G151" s="75">
        <v>30000</v>
      </c>
      <c r="H151" s="76">
        <v>0.5</v>
      </c>
      <c r="I151" s="77">
        <f t="shared" si="6"/>
        <v>7500</v>
      </c>
      <c r="J151" s="5" t="s">
        <v>89</v>
      </c>
    </row>
    <row r="152" spans="1:10" ht="25" customHeight="1">
      <c r="A152" s="85"/>
      <c r="B152" s="86" t="s">
        <v>255</v>
      </c>
      <c r="C152" s="125" t="s">
        <v>254</v>
      </c>
      <c r="D152" s="88" t="s">
        <v>252</v>
      </c>
      <c r="E152" s="66">
        <f t="shared" si="5"/>
        <v>4</v>
      </c>
      <c r="F152" s="89" t="s">
        <v>39</v>
      </c>
      <c r="G152" s="90">
        <v>60000</v>
      </c>
      <c r="H152" s="76">
        <v>0.5</v>
      </c>
      <c r="I152" s="91">
        <f t="shared" si="6"/>
        <v>15000</v>
      </c>
      <c r="J152" s="5" t="s">
        <v>89</v>
      </c>
    </row>
    <row r="153" spans="1:10" ht="25" customHeight="1">
      <c r="A153" s="70"/>
      <c r="B153" s="71" t="s">
        <v>256</v>
      </c>
      <c r="C153" s="123" t="s">
        <v>257</v>
      </c>
      <c r="D153" s="73" t="s">
        <v>250</v>
      </c>
      <c r="E153" s="66">
        <f t="shared" si="5"/>
        <v>4</v>
      </c>
      <c r="F153" s="74" t="s">
        <v>39</v>
      </c>
      <c r="G153" s="75">
        <v>30000</v>
      </c>
      <c r="H153" s="76">
        <v>0.3</v>
      </c>
      <c r="I153" s="77">
        <f t="shared" si="6"/>
        <v>7500</v>
      </c>
      <c r="J153" s="5" t="s">
        <v>89</v>
      </c>
    </row>
    <row r="154" spans="1:10" ht="25" customHeight="1">
      <c r="A154" s="85"/>
      <c r="B154" s="86" t="s">
        <v>258</v>
      </c>
      <c r="C154" s="125" t="s">
        <v>257</v>
      </c>
      <c r="D154" s="88" t="s">
        <v>252</v>
      </c>
      <c r="E154" s="66">
        <f t="shared" si="5"/>
        <v>4</v>
      </c>
      <c r="F154" s="89" t="s">
        <v>39</v>
      </c>
      <c r="G154" s="90">
        <v>60000</v>
      </c>
      <c r="H154" s="111">
        <v>0.3</v>
      </c>
      <c r="I154" s="91">
        <f t="shared" si="6"/>
        <v>15000</v>
      </c>
      <c r="J154" s="5" t="s">
        <v>89</v>
      </c>
    </row>
    <row r="155" spans="1:10" s="51" customFormat="1" ht="25" customHeight="1">
      <c r="A155" s="63">
        <v>2</v>
      </c>
      <c r="B155" s="106"/>
      <c r="C155" s="107" t="s">
        <v>259</v>
      </c>
      <c r="D155" s="108"/>
      <c r="E155" s="66">
        <f t="shared" ref="E155:E186" si="7">10000/400</f>
        <v>25</v>
      </c>
      <c r="F155" s="66"/>
      <c r="G155" s="109"/>
      <c r="H155" s="69"/>
      <c r="I155" s="68"/>
      <c r="J155" s="5"/>
    </row>
    <row r="156" spans="1:10" ht="25" customHeight="1">
      <c r="A156" s="70"/>
      <c r="B156" s="71" t="s">
        <v>260</v>
      </c>
      <c r="C156" s="123" t="s">
        <v>261</v>
      </c>
      <c r="D156" s="73" t="s">
        <v>63</v>
      </c>
      <c r="E156" s="66">
        <f t="shared" si="7"/>
        <v>25</v>
      </c>
      <c r="F156" s="74" t="s">
        <v>31</v>
      </c>
      <c r="G156" s="75">
        <v>180000</v>
      </c>
      <c r="H156" s="76">
        <v>1</v>
      </c>
      <c r="I156" s="77">
        <f>+G156</f>
        <v>180000</v>
      </c>
      <c r="J156" s="5" t="s">
        <v>89</v>
      </c>
    </row>
    <row r="157" spans="1:10" ht="25" customHeight="1">
      <c r="A157" s="78"/>
      <c r="B157" s="79" t="s">
        <v>262</v>
      </c>
      <c r="C157" s="124" t="s">
        <v>261</v>
      </c>
      <c r="D157" s="81" t="s">
        <v>263</v>
      </c>
      <c r="E157" s="66">
        <f t="shared" si="7"/>
        <v>25</v>
      </c>
      <c r="F157" s="82" t="s">
        <v>39</v>
      </c>
      <c r="G157" s="83">
        <v>370000</v>
      </c>
      <c r="H157" s="76">
        <v>1</v>
      </c>
      <c r="I157" s="84">
        <f t="shared" ref="I157:I162" si="8">+G157/E157</f>
        <v>14800</v>
      </c>
      <c r="J157" s="5" t="s">
        <v>89</v>
      </c>
    </row>
    <row r="158" spans="1:10" ht="25" customHeight="1">
      <c r="A158" s="78"/>
      <c r="B158" s="79" t="s">
        <v>264</v>
      </c>
      <c r="C158" s="124" t="s">
        <v>261</v>
      </c>
      <c r="D158" s="81" t="s">
        <v>40</v>
      </c>
      <c r="E158" s="66">
        <f t="shared" si="7"/>
        <v>25</v>
      </c>
      <c r="F158" s="82" t="s">
        <v>39</v>
      </c>
      <c r="G158" s="83">
        <v>1125000</v>
      </c>
      <c r="H158" s="76">
        <v>1</v>
      </c>
      <c r="I158" s="84">
        <f t="shared" si="8"/>
        <v>45000</v>
      </c>
      <c r="J158" s="5" t="s">
        <v>89</v>
      </c>
    </row>
    <row r="159" spans="1:10" ht="25" customHeight="1">
      <c r="A159" s="78"/>
      <c r="B159" s="79" t="s">
        <v>265</v>
      </c>
      <c r="C159" s="124" t="s">
        <v>261</v>
      </c>
      <c r="D159" s="81" t="s">
        <v>68</v>
      </c>
      <c r="E159" s="66">
        <f t="shared" si="7"/>
        <v>25</v>
      </c>
      <c r="F159" s="82" t="s">
        <v>39</v>
      </c>
      <c r="G159" s="83">
        <v>2700000</v>
      </c>
      <c r="H159" s="76">
        <v>1</v>
      </c>
      <c r="I159" s="84">
        <f t="shared" si="8"/>
        <v>108000</v>
      </c>
      <c r="J159" s="5" t="s">
        <v>89</v>
      </c>
    </row>
    <row r="160" spans="1:10" ht="25" customHeight="1">
      <c r="A160" s="78"/>
      <c r="B160" s="79" t="s">
        <v>266</v>
      </c>
      <c r="C160" s="124" t="s">
        <v>261</v>
      </c>
      <c r="D160" s="81" t="s">
        <v>70</v>
      </c>
      <c r="E160" s="66">
        <f t="shared" si="7"/>
        <v>25</v>
      </c>
      <c r="F160" s="82" t="s">
        <v>39</v>
      </c>
      <c r="G160" s="83">
        <v>3750000</v>
      </c>
      <c r="H160" s="76">
        <v>1</v>
      </c>
      <c r="I160" s="84">
        <f t="shared" si="8"/>
        <v>150000</v>
      </c>
      <c r="J160" s="5" t="s">
        <v>89</v>
      </c>
    </row>
    <row r="161" spans="1:10" ht="25" customHeight="1">
      <c r="A161" s="78"/>
      <c r="B161" s="79" t="s">
        <v>267</v>
      </c>
      <c r="C161" s="124" t="s">
        <v>261</v>
      </c>
      <c r="D161" s="81" t="s">
        <v>72</v>
      </c>
      <c r="E161" s="66">
        <f t="shared" si="7"/>
        <v>25</v>
      </c>
      <c r="F161" s="82" t="s">
        <v>39</v>
      </c>
      <c r="G161" s="83">
        <v>3850000</v>
      </c>
      <c r="H161" s="76">
        <v>1</v>
      </c>
      <c r="I161" s="84">
        <f t="shared" si="8"/>
        <v>154000</v>
      </c>
      <c r="J161" s="5" t="s">
        <v>89</v>
      </c>
    </row>
    <row r="162" spans="1:10" ht="25" customHeight="1">
      <c r="A162" s="85"/>
      <c r="B162" s="86" t="s">
        <v>268</v>
      </c>
      <c r="C162" s="125" t="s">
        <v>261</v>
      </c>
      <c r="D162" s="88" t="s">
        <v>74</v>
      </c>
      <c r="E162" s="66">
        <f t="shared" si="7"/>
        <v>25</v>
      </c>
      <c r="F162" s="89" t="s">
        <v>39</v>
      </c>
      <c r="G162" s="90">
        <v>4500000</v>
      </c>
      <c r="H162" s="76">
        <v>1</v>
      </c>
      <c r="I162" s="91">
        <f t="shared" si="8"/>
        <v>180000</v>
      </c>
      <c r="J162" s="5" t="s">
        <v>89</v>
      </c>
    </row>
    <row r="163" spans="1:10" ht="25" customHeight="1">
      <c r="A163" s="78"/>
      <c r="B163" s="79" t="s">
        <v>269</v>
      </c>
      <c r="C163" s="124" t="s">
        <v>270</v>
      </c>
      <c r="D163" s="73" t="s">
        <v>63</v>
      </c>
      <c r="E163" s="66">
        <f t="shared" si="7"/>
        <v>25</v>
      </c>
      <c r="F163" s="82" t="s">
        <v>31</v>
      </c>
      <c r="G163" s="83">
        <f>+G156</f>
        <v>180000</v>
      </c>
      <c r="H163" s="110">
        <v>0.5</v>
      </c>
      <c r="I163" s="84">
        <f>+G163</f>
        <v>180000</v>
      </c>
      <c r="J163" s="5" t="s">
        <v>89</v>
      </c>
    </row>
    <row r="164" spans="1:10" ht="25" customHeight="1">
      <c r="A164" s="78"/>
      <c r="B164" s="79" t="s">
        <v>271</v>
      </c>
      <c r="C164" s="124" t="s">
        <v>270</v>
      </c>
      <c r="D164" s="81" t="s">
        <v>263</v>
      </c>
      <c r="E164" s="66">
        <f t="shared" si="7"/>
        <v>25</v>
      </c>
      <c r="F164" s="82" t="s">
        <v>39</v>
      </c>
      <c r="G164" s="83">
        <v>370000</v>
      </c>
      <c r="H164" s="110">
        <v>0.5</v>
      </c>
      <c r="I164" s="84">
        <f t="shared" ref="I164:I169" si="9">+G164/E164</f>
        <v>14800</v>
      </c>
      <c r="J164" s="5" t="s">
        <v>89</v>
      </c>
    </row>
    <row r="165" spans="1:10" ht="25" customHeight="1">
      <c r="A165" s="78"/>
      <c r="B165" s="79" t="s">
        <v>272</v>
      </c>
      <c r="C165" s="124" t="s">
        <v>270</v>
      </c>
      <c r="D165" s="81" t="s">
        <v>40</v>
      </c>
      <c r="E165" s="66">
        <f t="shared" si="7"/>
        <v>25</v>
      </c>
      <c r="F165" s="82" t="s">
        <v>39</v>
      </c>
      <c r="G165" s="83">
        <v>1125000</v>
      </c>
      <c r="H165" s="110">
        <v>0.5</v>
      </c>
      <c r="I165" s="84">
        <f t="shared" si="9"/>
        <v>45000</v>
      </c>
      <c r="J165" s="5" t="s">
        <v>89</v>
      </c>
    </row>
    <row r="166" spans="1:10" ht="25" customHeight="1">
      <c r="A166" s="78"/>
      <c r="B166" s="79" t="s">
        <v>273</v>
      </c>
      <c r="C166" s="124" t="s">
        <v>270</v>
      </c>
      <c r="D166" s="81" t="s">
        <v>68</v>
      </c>
      <c r="E166" s="66">
        <f t="shared" si="7"/>
        <v>25</v>
      </c>
      <c r="F166" s="82" t="s">
        <v>39</v>
      </c>
      <c r="G166" s="83">
        <v>2700000</v>
      </c>
      <c r="H166" s="110">
        <v>0.5</v>
      </c>
      <c r="I166" s="84">
        <f t="shared" si="9"/>
        <v>108000</v>
      </c>
      <c r="J166" s="5" t="s">
        <v>89</v>
      </c>
    </row>
    <row r="167" spans="1:10" ht="25" customHeight="1">
      <c r="A167" s="78"/>
      <c r="B167" s="79" t="s">
        <v>274</v>
      </c>
      <c r="C167" s="124" t="s">
        <v>270</v>
      </c>
      <c r="D167" s="81" t="s">
        <v>70</v>
      </c>
      <c r="E167" s="66">
        <f t="shared" si="7"/>
        <v>25</v>
      </c>
      <c r="F167" s="82" t="s">
        <v>39</v>
      </c>
      <c r="G167" s="83">
        <v>3750000</v>
      </c>
      <c r="H167" s="110">
        <v>0.5</v>
      </c>
      <c r="I167" s="84">
        <f t="shared" si="9"/>
        <v>150000</v>
      </c>
      <c r="J167" s="5" t="s">
        <v>89</v>
      </c>
    </row>
    <row r="168" spans="1:10" ht="25" customHeight="1">
      <c r="A168" s="78"/>
      <c r="B168" s="79" t="s">
        <v>275</v>
      </c>
      <c r="C168" s="124" t="s">
        <v>270</v>
      </c>
      <c r="D168" s="81" t="s">
        <v>72</v>
      </c>
      <c r="E168" s="66">
        <f t="shared" si="7"/>
        <v>25</v>
      </c>
      <c r="F168" s="82" t="s">
        <v>39</v>
      </c>
      <c r="G168" s="83">
        <v>3850000</v>
      </c>
      <c r="H168" s="110">
        <v>0.5</v>
      </c>
      <c r="I168" s="84">
        <f t="shared" si="9"/>
        <v>154000</v>
      </c>
      <c r="J168" s="5" t="s">
        <v>89</v>
      </c>
    </row>
    <row r="169" spans="1:10" ht="25" customHeight="1">
      <c r="A169" s="85"/>
      <c r="B169" s="86" t="s">
        <v>276</v>
      </c>
      <c r="C169" s="125" t="s">
        <v>270</v>
      </c>
      <c r="D169" s="88" t="s">
        <v>74</v>
      </c>
      <c r="E169" s="66">
        <f t="shared" si="7"/>
        <v>25</v>
      </c>
      <c r="F169" s="89" t="s">
        <v>39</v>
      </c>
      <c r="G169" s="90">
        <v>4500000</v>
      </c>
      <c r="H169" s="110">
        <v>0.5</v>
      </c>
      <c r="I169" s="91">
        <f t="shared" si="9"/>
        <v>180000</v>
      </c>
      <c r="J169" s="5" t="s">
        <v>89</v>
      </c>
    </row>
    <row r="170" spans="1:10" ht="25" customHeight="1">
      <c r="A170" s="78"/>
      <c r="B170" s="79" t="s">
        <v>277</v>
      </c>
      <c r="C170" s="124" t="s">
        <v>278</v>
      </c>
      <c r="D170" s="81" t="s">
        <v>263</v>
      </c>
      <c r="E170" s="66">
        <f t="shared" si="7"/>
        <v>25</v>
      </c>
      <c r="F170" s="82" t="s">
        <v>39</v>
      </c>
      <c r="G170" s="83">
        <v>370000</v>
      </c>
      <c r="H170" s="110">
        <v>0.3</v>
      </c>
      <c r="I170" s="84">
        <f>+G170/E170*H170</f>
        <v>4440</v>
      </c>
      <c r="J170" s="5" t="s">
        <v>89</v>
      </c>
    </row>
    <row r="171" spans="1:10" ht="25" customHeight="1">
      <c r="A171" s="78"/>
      <c r="B171" s="79" t="s">
        <v>279</v>
      </c>
      <c r="C171" s="124" t="s">
        <v>278</v>
      </c>
      <c r="D171" s="81" t="s">
        <v>40</v>
      </c>
      <c r="E171" s="66">
        <f t="shared" si="7"/>
        <v>25</v>
      </c>
      <c r="F171" s="82" t="s">
        <v>39</v>
      </c>
      <c r="G171" s="83">
        <v>1125000</v>
      </c>
      <c r="H171" s="110">
        <v>0.3</v>
      </c>
      <c r="I171" s="84">
        <f>+G171/E171*H171</f>
        <v>13500</v>
      </c>
      <c r="J171" s="5" t="s">
        <v>89</v>
      </c>
    </row>
    <row r="172" spans="1:10" ht="25" customHeight="1">
      <c r="A172" s="78"/>
      <c r="B172" s="79" t="s">
        <v>280</v>
      </c>
      <c r="C172" s="124" t="s">
        <v>278</v>
      </c>
      <c r="D172" s="81" t="s">
        <v>68</v>
      </c>
      <c r="E172" s="66">
        <f t="shared" si="7"/>
        <v>25</v>
      </c>
      <c r="F172" s="82" t="s">
        <v>39</v>
      </c>
      <c r="G172" s="83">
        <v>2700000</v>
      </c>
      <c r="H172" s="110">
        <v>0.3</v>
      </c>
      <c r="I172" s="84">
        <f>+G172/E172*H172</f>
        <v>32400</v>
      </c>
      <c r="J172" s="5" t="s">
        <v>89</v>
      </c>
    </row>
    <row r="173" spans="1:10" ht="25" customHeight="1">
      <c r="A173" s="78"/>
      <c r="B173" s="79" t="s">
        <v>281</v>
      </c>
      <c r="C173" s="124" t="s">
        <v>278</v>
      </c>
      <c r="D173" s="81" t="s">
        <v>70</v>
      </c>
      <c r="E173" s="66">
        <f t="shared" si="7"/>
        <v>25</v>
      </c>
      <c r="F173" s="82" t="s">
        <v>39</v>
      </c>
      <c r="G173" s="83">
        <v>3750000</v>
      </c>
      <c r="H173" s="110">
        <v>0.3</v>
      </c>
      <c r="I173" s="84">
        <f>+G173/E173</f>
        <v>150000</v>
      </c>
      <c r="J173" s="5" t="s">
        <v>89</v>
      </c>
    </row>
    <row r="174" spans="1:10" ht="25" customHeight="1">
      <c r="A174" s="78"/>
      <c r="B174" s="79" t="s">
        <v>282</v>
      </c>
      <c r="C174" s="124" t="s">
        <v>278</v>
      </c>
      <c r="D174" s="81" t="s">
        <v>72</v>
      </c>
      <c r="E174" s="66">
        <f t="shared" si="7"/>
        <v>25</v>
      </c>
      <c r="F174" s="82" t="s">
        <v>39</v>
      </c>
      <c r="G174" s="83">
        <v>3850000</v>
      </c>
      <c r="H174" s="110">
        <v>0.3</v>
      </c>
      <c r="I174" s="84">
        <f>+G174/E174</f>
        <v>154000</v>
      </c>
      <c r="J174" s="5" t="s">
        <v>89</v>
      </c>
    </row>
    <row r="175" spans="1:10" ht="25" customHeight="1">
      <c r="A175" s="85"/>
      <c r="B175" s="86" t="s">
        <v>283</v>
      </c>
      <c r="C175" s="125" t="s">
        <v>278</v>
      </c>
      <c r="D175" s="88" t="s">
        <v>74</v>
      </c>
      <c r="E175" s="66">
        <f t="shared" si="7"/>
        <v>25</v>
      </c>
      <c r="F175" s="89" t="s">
        <v>39</v>
      </c>
      <c r="G175" s="90">
        <v>4500000</v>
      </c>
      <c r="H175" s="111">
        <v>0.3</v>
      </c>
      <c r="I175" s="84">
        <f>+G175/E175*H175</f>
        <v>54000</v>
      </c>
      <c r="J175" s="5" t="s">
        <v>89</v>
      </c>
    </row>
    <row r="176" spans="1:10" ht="25" customHeight="1">
      <c r="A176" s="78"/>
      <c r="B176" s="79" t="s">
        <v>284</v>
      </c>
      <c r="C176" s="124" t="s">
        <v>285</v>
      </c>
      <c r="D176" s="81" t="s">
        <v>263</v>
      </c>
      <c r="E176" s="66">
        <f t="shared" si="7"/>
        <v>25</v>
      </c>
      <c r="F176" s="82" t="s">
        <v>39</v>
      </c>
      <c r="G176" s="83">
        <v>370000</v>
      </c>
      <c r="H176" s="110">
        <v>0.15</v>
      </c>
      <c r="I176" s="84"/>
      <c r="J176" s="5" t="s">
        <v>89</v>
      </c>
    </row>
    <row r="177" spans="1:10" ht="25" customHeight="1">
      <c r="A177" s="78"/>
      <c r="B177" s="79" t="s">
        <v>286</v>
      </c>
      <c r="C177" s="124" t="s">
        <v>285</v>
      </c>
      <c r="D177" s="81" t="s">
        <v>40</v>
      </c>
      <c r="E177" s="66">
        <f t="shared" si="7"/>
        <v>25</v>
      </c>
      <c r="F177" s="82" t="s">
        <v>39</v>
      </c>
      <c r="G177" s="83">
        <v>1125000</v>
      </c>
      <c r="H177" s="110">
        <v>0.15</v>
      </c>
      <c r="I177" s="84"/>
      <c r="J177" s="5" t="s">
        <v>89</v>
      </c>
    </row>
    <row r="178" spans="1:10" ht="25" customHeight="1">
      <c r="A178" s="78"/>
      <c r="B178" s="79" t="s">
        <v>287</v>
      </c>
      <c r="C178" s="124" t="s">
        <v>285</v>
      </c>
      <c r="D178" s="81" t="s">
        <v>68</v>
      </c>
      <c r="E178" s="66">
        <f t="shared" si="7"/>
        <v>25</v>
      </c>
      <c r="F178" s="82" t="s">
        <v>39</v>
      </c>
      <c r="G178" s="83">
        <v>2700000</v>
      </c>
      <c r="H178" s="110">
        <v>0.15</v>
      </c>
      <c r="I178" s="84"/>
      <c r="J178" s="5" t="s">
        <v>89</v>
      </c>
    </row>
    <row r="179" spans="1:10" ht="25" customHeight="1">
      <c r="A179" s="78"/>
      <c r="B179" s="79" t="s">
        <v>288</v>
      </c>
      <c r="C179" s="124" t="s">
        <v>285</v>
      </c>
      <c r="D179" s="81" t="s">
        <v>70</v>
      </c>
      <c r="E179" s="66">
        <f t="shared" si="7"/>
        <v>25</v>
      </c>
      <c r="F179" s="82" t="s">
        <v>39</v>
      </c>
      <c r="G179" s="83">
        <v>3750000</v>
      </c>
      <c r="H179" s="110">
        <v>0.15</v>
      </c>
      <c r="I179" s="84">
        <f>+G179/E179</f>
        <v>150000</v>
      </c>
      <c r="J179" s="5" t="s">
        <v>89</v>
      </c>
    </row>
    <row r="180" spans="1:10" ht="25" customHeight="1">
      <c r="A180" s="78"/>
      <c r="B180" s="79" t="s">
        <v>289</v>
      </c>
      <c r="C180" s="124" t="s">
        <v>285</v>
      </c>
      <c r="D180" s="81" t="s">
        <v>72</v>
      </c>
      <c r="E180" s="66">
        <f t="shared" si="7"/>
        <v>25</v>
      </c>
      <c r="F180" s="82" t="s">
        <v>39</v>
      </c>
      <c r="G180" s="83">
        <v>3850000</v>
      </c>
      <c r="H180" s="110">
        <v>0.15</v>
      </c>
      <c r="I180" s="84">
        <f>+G180/E180</f>
        <v>154000</v>
      </c>
      <c r="J180" s="5" t="s">
        <v>89</v>
      </c>
    </row>
    <row r="181" spans="1:10" ht="25" customHeight="1">
      <c r="A181" s="85"/>
      <c r="B181" s="86" t="s">
        <v>290</v>
      </c>
      <c r="C181" s="125" t="s">
        <v>285</v>
      </c>
      <c r="D181" s="88" t="s">
        <v>74</v>
      </c>
      <c r="E181" s="66">
        <f t="shared" si="7"/>
        <v>25</v>
      </c>
      <c r="F181" s="89" t="s">
        <v>39</v>
      </c>
      <c r="G181" s="90">
        <v>4500000</v>
      </c>
      <c r="H181" s="111">
        <v>0.15</v>
      </c>
      <c r="I181" s="91"/>
      <c r="J181" s="5" t="s">
        <v>89</v>
      </c>
    </row>
    <row r="182" spans="1:10" ht="25" customHeight="1">
      <c r="A182" s="128"/>
      <c r="B182" s="79" t="s">
        <v>291</v>
      </c>
      <c r="C182" s="124" t="s">
        <v>292</v>
      </c>
      <c r="D182" s="81" t="s">
        <v>293</v>
      </c>
      <c r="E182" s="66">
        <f t="shared" si="7"/>
        <v>25</v>
      </c>
      <c r="F182" s="82" t="s">
        <v>31</v>
      </c>
      <c r="G182" s="113">
        <v>48000</v>
      </c>
      <c r="H182" s="134">
        <v>1</v>
      </c>
      <c r="I182" s="135"/>
      <c r="J182" s="5" t="s">
        <v>119</v>
      </c>
    </row>
    <row r="183" spans="1:10" ht="25" customHeight="1">
      <c r="A183" s="128"/>
      <c r="B183" s="79" t="s">
        <v>294</v>
      </c>
      <c r="C183" s="124" t="s">
        <v>292</v>
      </c>
      <c r="D183" s="81" t="s">
        <v>263</v>
      </c>
      <c r="E183" s="66">
        <f t="shared" si="7"/>
        <v>25</v>
      </c>
      <c r="F183" s="82" t="s">
        <v>39</v>
      </c>
      <c r="G183" s="113">
        <v>81000</v>
      </c>
      <c r="H183" s="134">
        <v>1</v>
      </c>
      <c r="I183" s="135"/>
      <c r="J183" s="5" t="s">
        <v>119</v>
      </c>
    </row>
    <row r="184" spans="1:10" ht="25" customHeight="1">
      <c r="A184" s="128"/>
      <c r="B184" s="79" t="s">
        <v>295</v>
      </c>
      <c r="C184" s="124" t="s">
        <v>292</v>
      </c>
      <c r="D184" s="81" t="s">
        <v>40</v>
      </c>
      <c r="E184" s="66">
        <f t="shared" si="7"/>
        <v>25</v>
      </c>
      <c r="F184" s="82" t="s">
        <v>39</v>
      </c>
      <c r="G184" s="113">
        <v>241000</v>
      </c>
      <c r="H184" s="134">
        <v>1</v>
      </c>
      <c r="I184" s="135"/>
      <c r="J184" s="5" t="s">
        <v>119</v>
      </c>
    </row>
    <row r="185" spans="1:10" ht="25" customHeight="1">
      <c r="A185" s="78"/>
      <c r="B185" s="79" t="s">
        <v>296</v>
      </c>
      <c r="C185" s="124" t="s">
        <v>292</v>
      </c>
      <c r="D185" s="81" t="s">
        <v>68</v>
      </c>
      <c r="E185" s="66">
        <f t="shared" si="7"/>
        <v>25</v>
      </c>
      <c r="F185" s="82" t="s">
        <v>39</v>
      </c>
      <c r="G185" s="113">
        <v>455000</v>
      </c>
      <c r="H185" s="110">
        <v>1</v>
      </c>
      <c r="I185" s="84">
        <f>+G185/E185</f>
        <v>18200</v>
      </c>
      <c r="J185" s="5" t="s">
        <v>119</v>
      </c>
    </row>
    <row r="186" spans="1:10" ht="25" customHeight="1">
      <c r="A186" s="78"/>
      <c r="B186" s="79" t="s">
        <v>297</v>
      </c>
      <c r="C186" s="124" t="s">
        <v>292</v>
      </c>
      <c r="D186" s="81" t="s">
        <v>298</v>
      </c>
      <c r="E186" s="66">
        <f t="shared" si="7"/>
        <v>25</v>
      </c>
      <c r="F186" s="82" t="s">
        <v>39</v>
      </c>
      <c r="G186" s="113">
        <v>595000</v>
      </c>
      <c r="H186" s="110">
        <v>1</v>
      </c>
      <c r="I186" s="84">
        <f>+G186/E186</f>
        <v>23800</v>
      </c>
      <c r="J186" s="5" t="s">
        <v>119</v>
      </c>
    </row>
    <row r="187" spans="1:10" ht="25" customHeight="1">
      <c r="A187" s="78"/>
      <c r="B187" s="79" t="s">
        <v>299</v>
      </c>
      <c r="C187" s="124" t="s">
        <v>292</v>
      </c>
      <c r="D187" s="81" t="s">
        <v>74</v>
      </c>
      <c r="E187" s="66">
        <f t="shared" ref="E187:E215" si="10">10000/400</f>
        <v>25</v>
      </c>
      <c r="F187" s="82" t="s">
        <v>39</v>
      </c>
      <c r="G187" s="113">
        <v>952000</v>
      </c>
      <c r="H187" s="110">
        <v>1</v>
      </c>
      <c r="I187" s="84">
        <f>+G187/E187</f>
        <v>38080</v>
      </c>
      <c r="J187" s="5" t="s">
        <v>119</v>
      </c>
    </row>
    <row r="188" spans="1:10" ht="25" customHeight="1">
      <c r="A188" s="128"/>
      <c r="B188" s="79" t="s">
        <v>300</v>
      </c>
      <c r="C188" s="124" t="s">
        <v>301</v>
      </c>
      <c r="D188" s="81" t="s">
        <v>293</v>
      </c>
      <c r="E188" s="66">
        <f t="shared" si="10"/>
        <v>25</v>
      </c>
      <c r="F188" s="82" t="s">
        <v>31</v>
      </c>
      <c r="G188" s="113">
        <v>43000</v>
      </c>
      <c r="H188" s="134">
        <v>0.5</v>
      </c>
      <c r="I188" s="135"/>
      <c r="J188" s="5" t="s">
        <v>119</v>
      </c>
    </row>
    <row r="189" spans="1:10" ht="25" customHeight="1">
      <c r="A189" s="128"/>
      <c r="B189" s="79" t="s">
        <v>302</v>
      </c>
      <c r="C189" s="124" t="s">
        <v>301</v>
      </c>
      <c r="D189" s="81" t="s">
        <v>263</v>
      </c>
      <c r="E189" s="66">
        <f t="shared" si="10"/>
        <v>25</v>
      </c>
      <c r="F189" s="82" t="s">
        <v>39</v>
      </c>
      <c r="G189" s="113">
        <v>81000</v>
      </c>
      <c r="H189" s="134">
        <v>0.5</v>
      </c>
      <c r="I189" s="135"/>
      <c r="J189" s="5" t="s">
        <v>119</v>
      </c>
    </row>
    <row r="190" spans="1:10" ht="25" customHeight="1">
      <c r="A190" s="128"/>
      <c r="B190" s="79" t="s">
        <v>303</v>
      </c>
      <c r="C190" s="124" t="s">
        <v>301</v>
      </c>
      <c r="D190" s="81" t="s">
        <v>40</v>
      </c>
      <c r="E190" s="66">
        <f t="shared" si="10"/>
        <v>25</v>
      </c>
      <c r="F190" s="82" t="s">
        <v>39</v>
      </c>
      <c r="G190" s="113">
        <v>241000</v>
      </c>
      <c r="H190" s="134">
        <v>0.5</v>
      </c>
      <c r="I190" s="135"/>
      <c r="J190" s="5" t="s">
        <v>119</v>
      </c>
    </row>
    <row r="191" spans="1:10" ht="25" customHeight="1">
      <c r="A191" s="78"/>
      <c r="B191" s="79" t="s">
        <v>304</v>
      </c>
      <c r="C191" s="124" t="s">
        <v>301</v>
      </c>
      <c r="D191" s="81" t="s">
        <v>68</v>
      </c>
      <c r="E191" s="66">
        <f t="shared" si="10"/>
        <v>25</v>
      </c>
      <c r="F191" s="82" t="s">
        <v>39</v>
      </c>
      <c r="G191" s="113">
        <v>455000</v>
      </c>
      <c r="H191" s="110">
        <v>0.5</v>
      </c>
      <c r="I191" s="84">
        <f>+G191/E191</f>
        <v>18200</v>
      </c>
      <c r="J191" s="5" t="s">
        <v>119</v>
      </c>
    </row>
    <row r="192" spans="1:10" ht="25" customHeight="1">
      <c r="A192" s="78"/>
      <c r="B192" s="79" t="s">
        <v>305</v>
      </c>
      <c r="C192" s="124" t="s">
        <v>301</v>
      </c>
      <c r="D192" s="81" t="s">
        <v>298</v>
      </c>
      <c r="E192" s="66">
        <f t="shared" si="10"/>
        <v>25</v>
      </c>
      <c r="F192" s="82" t="s">
        <v>39</v>
      </c>
      <c r="G192" s="113">
        <v>595000</v>
      </c>
      <c r="H192" s="110">
        <v>0.5</v>
      </c>
      <c r="I192" s="84">
        <f>+G192/E192</f>
        <v>23800</v>
      </c>
      <c r="J192" s="5" t="s">
        <v>119</v>
      </c>
    </row>
    <row r="193" spans="1:10" ht="25" customHeight="1">
      <c r="A193" s="78"/>
      <c r="B193" s="79" t="s">
        <v>306</v>
      </c>
      <c r="C193" s="124" t="s">
        <v>301</v>
      </c>
      <c r="D193" s="88" t="s">
        <v>74</v>
      </c>
      <c r="E193" s="66">
        <f t="shared" si="10"/>
        <v>25</v>
      </c>
      <c r="F193" s="82" t="s">
        <v>39</v>
      </c>
      <c r="G193" s="113">
        <v>952000</v>
      </c>
      <c r="H193" s="110">
        <v>0.5</v>
      </c>
      <c r="I193" s="84">
        <f>+G193/E193</f>
        <v>38080</v>
      </c>
      <c r="J193" s="5" t="s">
        <v>119</v>
      </c>
    </row>
    <row r="194" spans="1:10" ht="27" customHeight="1">
      <c r="A194" s="128"/>
      <c r="B194" s="79" t="s">
        <v>307</v>
      </c>
      <c r="C194" s="124" t="s">
        <v>308</v>
      </c>
      <c r="D194" s="81" t="s">
        <v>263</v>
      </c>
      <c r="E194" s="66">
        <f t="shared" si="10"/>
        <v>25</v>
      </c>
      <c r="F194" s="82" t="s">
        <v>39</v>
      </c>
      <c r="G194" s="113">
        <v>370000</v>
      </c>
      <c r="H194" s="134">
        <v>0.5</v>
      </c>
      <c r="I194" s="135"/>
      <c r="J194" s="5" t="s">
        <v>119</v>
      </c>
    </row>
    <row r="195" spans="1:10" ht="27" customHeight="1">
      <c r="A195" s="137"/>
      <c r="B195" s="79" t="s">
        <v>309</v>
      </c>
      <c r="C195" s="124" t="s">
        <v>308</v>
      </c>
      <c r="D195" s="81" t="s">
        <v>40</v>
      </c>
      <c r="E195" s="66">
        <f t="shared" si="10"/>
        <v>25</v>
      </c>
      <c r="F195" s="82" t="s">
        <v>39</v>
      </c>
      <c r="G195" s="142">
        <v>1125000</v>
      </c>
      <c r="H195" s="134">
        <v>0.5</v>
      </c>
      <c r="I195" s="141"/>
    </row>
    <row r="196" spans="1:10" ht="27" customHeight="1">
      <c r="A196" s="137"/>
      <c r="B196" s="138" t="s">
        <v>310</v>
      </c>
      <c r="C196" s="124" t="s">
        <v>308</v>
      </c>
      <c r="D196" s="81" t="s">
        <v>68</v>
      </c>
      <c r="E196" s="66">
        <f t="shared" si="10"/>
        <v>25</v>
      </c>
      <c r="F196" s="82" t="s">
        <v>39</v>
      </c>
      <c r="G196" s="142">
        <v>2700000</v>
      </c>
      <c r="H196" s="134">
        <v>0.5</v>
      </c>
      <c r="I196" s="141"/>
    </row>
    <row r="197" spans="1:10" ht="27" customHeight="1">
      <c r="A197" s="137"/>
      <c r="B197" s="138" t="s">
        <v>311</v>
      </c>
      <c r="C197" s="124" t="s">
        <v>308</v>
      </c>
      <c r="D197" s="81" t="s">
        <v>70</v>
      </c>
      <c r="E197" s="66">
        <f t="shared" si="10"/>
        <v>25</v>
      </c>
      <c r="F197" s="82" t="s">
        <v>39</v>
      </c>
      <c r="G197" s="142">
        <v>3750000</v>
      </c>
      <c r="H197" s="134">
        <v>0.5</v>
      </c>
      <c r="I197" s="141"/>
    </row>
    <row r="198" spans="1:10" ht="27" customHeight="1">
      <c r="A198" s="137"/>
      <c r="B198" s="138" t="s">
        <v>312</v>
      </c>
      <c r="C198" s="124" t="s">
        <v>308</v>
      </c>
      <c r="D198" s="81" t="s">
        <v>72</v>
      </c>
      <c r="E198" s="66">
        <f t="shared" si="10"/>
        <v>25</v>
      </c>
      <c r="F198" s="82" t="s">
        <v>39</v>
      </c>
      <c r="G198" s="142">
        <v>3850000</v>
      </c>
      <c r="H198" s="134">
        <v>0.5</v>
      </c>
      <c r="I198" s="141"/>
    </row>
    <row r="199" spans="1:10" ht="27" customHeight="1">
      <c r="A199" s="137"/>
      <c r="B199" s="138" t="s">
        <v>313</v>
      </c>
      <c r="C199" s="124" t="s">
        <v>308</v>
      </c>
      <c r="D199" s="88" t="s">
        <v>74</v>
      </c>
      <c r="E199" s="66">
        <f t="shared" si="10"/>
        <v>25</v>
      </c>
      <c r="F199" s="82" t="s">
        <v>39</v>
      </c>
      <c r="G199" s="142">
        <v>4500000</v>
      </c>
      <c r="H199" s="134">
        <v>0.5</v>
      </c>
      <c r="I199" s="141"/>
    </row>
    <row r="200" spans="1:10" s="51" customFormat="1" ht="25" customHeight="1">
      <c r="A200" s="63">
        <v>9</v>
      </c>
      <c r="B200" s="106"/>
      <c r="C200" s="107" t="s">
        <v>314</v>
      </c>
      <c r="D200" s="108"/>
      <c r="E200" s="66">
        <f t="shared" si="10"/>
        <v>25</v>
      </c>
      <c r="F200" s="66"/>
      <c r="G200" s="109"/>
      <c r="H200" s="69"/>
      <c r="I200" s="68"/>
      <c r="J200" s="5"/>
    </row>
    <row r="201" spans="1:10" ht="25" customHeight="1">
      <c r="A201" s="70"/>
      <c r="B201" s="71" t="s">
        <v>315</v>
      </c>
      <c r="C201" s="123" t="s">
        <v>314</v>
      </c>
      <c r="D201" s="73" t="s">
        <v>63</v>
      </c>
      <c r="E201" s="66">
        <f t="shared" si="10"/>
        <v>25</v>
      </c>
      <c r="F201" s="74" t="s">
        <v>31</v>
      </c>
      <c r="G201" s="75">
        <v>180000</v>
      </c>
      <c r="H201" s="76">
        <v>1</v>
      </c>
      <c r="I201" s="77">
        <f>+G201</f>
        <v>180000</v>
      </c>
      <c r="J201" s="5" t="s">
        <v>89</v>
      </c>
    </row>
    <row r="202" spans="1:10" ht="25" customHeight="1">
      <c r="A202" s="143"/>
      <c r="B202" s="144" t="s">
        <v>316</v>
      </c>
      <c r="C202" s="123" t="s">
        <v>314</v>
      </c>
      <c r="D202" s="145" t="s">
        <v>317</v>
      </c>
      <c r="E202" s="66">
        <f t="shared" si="10"/>
        <v>25</v>
      </c>
      <c r="F202" s="74" t="s">
        <v>31</v>
      </c>
      <c r="G202" s="83">
        <v>370000</v>
      </c>
      <c r="H202" s="76">
        <v>1</v>
      </c>
      <c r="I202" s="146"/>
    </row>
    <row r="203" spans="1:10" ht="25" customHeight="1">
      <c r="A203" s="78"/>
      <c r="B203" s="79" t="s">
        <v>318</v>
      </c>
      <c r="C203" s="124" t="s">
        <v>314</v>
      </c>
      <c r="D203" s="81" t="s">
        <v>66</v>
      </c>
      <c r="E203" s="66">
        <f t="shared" si="10"/>
        <v>25</v>
      </c>
      <c r="F203" s="82" t="s">
        <v>39</v>
      </c>
      <c r="G203" s="83">
        <v>1125000</v>
      </c>
      <c r="H203" s="76">
        <v>1</v>
      </c>
      <c r="I203" s="84">
        <f>+G202/E203</f>
        <v>14800</v>
      </c>
      <c r="J203" s="5" t="s">
        <v>89</v>
      </c>
    </row>
    <row r="204" spans="1:10" ht="25" customHeight="1">
      <c r="A204" s="78"/>
      <c r="B204" s="79" t="s">
        <v>319</v>
      </c>
      <c r="C204" s="124" t="s">
        <v>314</v>
      </c>
      <c r="D204" s="81" t="s">
        <v>68</v>
      </c>
      <c r="E204" s="66">
        <f t="shared" si="10"/>
        <v>25</v>
      </c>
      <c r="F204" s="82" t="s">
        <v>39</v>
      </c>
      <c r="G204" s="83">
        <v>2700000</v>
      </c>
      <c r="H204" s="76">
        <v>1</v>
      </c>
      <c r="I204" s="84">
        <f>+G203/E204</f>
        <v>45000</v>
      </c>
      <c r="J204" s="5" t="s">
        <v>89</v>
      </c>
    </row>
    <row r="205" spans="1:10" ht="25" customHeight="1">
      <c r="A205" s="78"/>
      <c r="B205" s="79" t="s">
        <v>320</v>
      </c>
      <c r="C205" s="124" t="s">
        <v>314</v>
      </c>
      <c r="D205" s="81" t="s">
        <v>70</v>
      </c>
      <c r="E205" s="66">
        <f t="shared" si="10"/>
        <v>25</v>
      </c>
      <c r="F205" s="82" t="s">
        <v>39</v>
      </c>
      <c r="G205" s="83">
        <v>3750000</v>
      </c>
      <c r="H205" s="76">
        <v>1</v>
      </c>
      <c r="I205" s="84">
        <f>+G204/E205</f>
        <v>108000</v>
      </c>
      <c r="J205" s="5" t="s">
        <v>89</v>
      </c>
    </row>
    <row r="206" spans="1:10" ht="25" customHeight="1">
      <c r="A206" s="78"/>
      <c r="B206" s="79" t="s">
        <v>321</v>
      </c>
      <c r="C206" s="124" t="s">
        <v>314</v>
      </c>
      <c r="D206" s="81" t="s">
        <v>72</v>
      </c>
      <c r="E206" s="66">
        <f t="shared" si="10"/>
        <v>25</v>
      </c>
      <c r="F206" s="82" t="s">
        <v>39</v>
      </c>
      <c r="G206" s="90">
        <v>3850000</v>
      </c>
      <c r="H206" s="76">
        <v>1</v>
      </c>
      <c r="I206" s="84">
        <f>+G205/E206</f>
        <v>150000</v>
      </c>
      <c r="J206" s="5" t="s">
        <v>89</v>
      </c>
    </row>
    <row r="207" spans="1:10" ht="25" customHeight="1">
      <c r="A207" s="85"/>
      <c r="B207" s="86" t="s">
        <v>322</v>
      </c>
      <c r="C207" s="125" t="s">
        <v>314</v>
      </c>
      <c r="D207" s="88" t="s">
        <v>323</v>
      </c>
      <c r="E207" s="66">
        <f t="shared" si="10"/>
        <v>25</v>
      </c>
      <c r="F207" s="89" t="s">
        <v>39</v>
      </c>
      <c r="G207" s="90">
        <v>4500000</v>
      </c>
      <c r="H207" s="76">
        <v>1</v>
      </c>
      <c r="I207" s="91">
        <f>+G206/E207</f>
        <v>154000</v>
      </c>
      <c r="J207" s="5" t="s">
        <v>89</v>
      </c>
    </row>
    <row r="208" spans="1:10" ht="25" customHeight="1">
      <c r="A208" s="70"/>
      <c r="B208" s="71" t="s">
        <v>324</v>
      </c>
      <c r="C208" s="123" t="s">
        <v>325</v>
      </c>
      <c r="D208" s="73" t="s">
        <v>63</v>
      </c>
      <c r="E208" s="66">
        <f t="shared" si="10"/>
        <v>25</v>
      </c>
      <c r="F208" s="74" t="s">
        <v>31</v>
      </c>
      <c r="G208" s="75">
        <v>180000</v>
      </c>
      <c r="H208" s="76">
        <v>0.5</v>
      </c>
      <c r="I208" s="77">
        <f>+G208</f>
        <v>180000</v>
      </c>
      <c r="J208" s="5" t="s">
        <v>89</v>
      </c>
    </row>
    <row r="209" spans="1:10" ht="25" customHeight="1">
      <c r="A209" s="143"/>
      <c r="B209" s="144" t="s">
        <v>316</v>
      </c>
      <c r="C209" s="123" t="s">
        <v>314</v>
      </c>
      <c r="D209" s="145" t="s">
        <v>317</v>
      </c>
      <c r="E209" s="66">
        <f t="shared" si="10"/>
        <v>25</v>
      </c>
      <c r="F209" s="74" t="s">
        <v>31</v>
      </c>
      <c r="G209" s="83">
        <v>370000</v>
      </c>
      <c r="H209" s="76">
        <v>0.5</v>
      </c>
      <c r="I209" s="146"/>
    </row>
    <row r="210" spans="1:10" ht="25" customHeight="1">
      <c r="A210" s="78"/>
      <c r="B210" s="79" t="s">
        <v>326</v>
      </c>
      <c r="C210" s="124" t="s">
        <v>325</v>
      </c>
      <c r="D210" s="81" t="s">
        <v>66</v>
      </c>
      <c r="E210" s="66">
        <f t="shared" si="10"/>
        <v>25</v>
      </c>
      <c r="F210" s="82" t="s">
        <v>39</v>
      </c>
      <c r="G210" s="83">
        <v>1125000</v>
      </c>
      <c r="H210" s="76">
        <v>0.5</v>
      </c>
      <c r="I210" s="84">
        <f>+G210/E210</f>
        <v>45000</v>
      </c>
      <c r="J210" s="5" t="s">
        <v>89</v>
      </c>
    </row>
    <row r="211" spans="1:10" ht="25" customHeight="1">
      <c r="A211" s="78"/>
      <c r="B211" s="79" t="s">
        <v>327</v>
      </c>
      <c r="C211" s="124" t="s">
        <v>325</v>
      </c>
      <c r="D211" s="81" t="s">
        <v>68</v>
      </c>
      <c r="E211" s="66">
        <f t="shared" si="10"/>
        <v>25</v>
      </c>
      <c r="F211" s="82" t="s">
        <v>39</v>
      </c>
      <c r="G211" s="83">
        <v>2700000</v>
      </c>
      <c r="H211" s="76">
        <v>0.5</v>
      </c>
      <c r="I211" s="84">
        <f>+G211/E211</f>
        <v>108000</v>
      </c>
      <c r="J211" s="5" t="s">
        <v>89</v>
      </c>
    </row>
    <row r="212" spans="1:10" ht="25" customHeight="1">
      <c r="A212" s="78"/>
      <c r="B212" s="79" t="s">
        <v>328</v>
      </c>
      <c r="C212" s="124" t="s">
        <v>325</v>
      </c>
      <c r="D212" s="81" t="s">
        <v>70</v>
      </c>
      <c r="E212" s="66">
        <f t="shared" si="10"/>
        <v>25</v>
      </c>
      <c r="F212" s="82" t="s">
        <v>39</v>
      </c>
      <c r="G212" s="83">
        <v>3750000</v>
      </c>
      <c r="H212" s="76">
        <v>0.5</v>
      </c>
      <c r="I212" s="84">
        <f>+G212/E212</f>
        <v>150000</v>
      </c>
      <c r="J212" s="5" t="s">
        <v>89</v>
      </c>
    </row>
    <row r="213" spans="1:10" ht="25" customHeight="1">
      <c r="A213" s="78"/>
      <c r="B213" s="79" t="s">
        <v>329</v>
      </c>
      <c r="C213" s="124" t="s">
        <v>325</v>
      </c>
      <c r="D213" s="81" t="s">
        <v>72</v>
      </c>
      <c r="E213" s="66">
        <f t="shared" si="10"/>
        <v>25</v>
      </c>
      <c r="F213" s="82" t="s">
        <v>39</v>
      </c>
      <c r="G213" s="90">
        <v>3850000</v>
      </c>
      <c r="H213" s="76">
        <v>0.5</v>
      </c>
      <c r="I213" s="84">
        <f>+G213/E213</f>
        <v>154000</v>
      </c>
      <c r="J213" s="5" t="s">
        <v>89</v>
      </c>
    </row>
    <row r="214" spans="1:10" ht="25" customHeight="1">
      <c r="A214" s="85"/>
      <c r="B214" s="86" t="s">
        <v>330</v>
      </c>
      <c r="C214" s="125" t="s">
        <v>325</v>
      </c>
      <c r="D214" s="88" t="s">
        <v>323</v>
      </c>
      <c r="E214" s="66">
        <f t="shared" si="10"/>
        <v>25</v>
      </c>
      <c r="F214" s="89" t="s">
        <v>39</v>
      </c>
      <c r="G214" s="90">
        <v>4500000</v>
      </c>
      <c r="H214" s="76">
        <v>0.5</v>
      </c>
      <c r="I214" s="91">
        <f>+G214/E214</f>
        <v>180000</v>
      </c>
      <c r="J214" s="5" t="s">
        <v>89</v>
      </c>
    </row>
    <row r="215" spans="1:10" s="51" customFormat="1" ht="25" customHeight="1">
      <c r="A215" s="63">
        <v>9</v>
      </c>
      <c r="B215" s="106"/>
      <c r="C215" s="107" t="s">
        <v>331</v>
      </c>
      <c r="D215" s="108"/>
      <c r="E215" s="66">
        <f t="shared" si="10"/>
        <v>25</v>
      </c>
      <c r="F215" s="66"/>
      <c r="G215" s="109"/>
      <c r="H215" s="69"/>
      <c r="I215" s="68"/>
      <c r="J215" s="5"/>
    </row>
    <row r="216" spans="1:10" ht="25" customHeight="1">
      <c r="A216" s="70"/>
      <c r="B216" s="71" t="s">
        <v>332</v>
      </c>
      <c r="C216" s="123" t="s">
        <v>331</v>
      </c>
      <c r="D216" s="73" t="s">
        <v>63</v>
      </c>
      <c r="E216" s="74"/>
      <c r="F216" s="74" t="s">
        <v>31</v>
      </c>
      <c r="G216" s="75">
        <v>100000</v>
      </c>
      <c r="H216" s="76">
        <v>1</v>
      </c>
      <c r="I216" s="77">
        <f>+G216</f>
        <v>100000</v>
      </c>
      <c r="J216" s="5" t="s">
        <v>89</v>
      </c>
    </row>
    <row r="217" spans="1:10" ht="25" customHeight="1">
      <c r="A217" s="78"/>
      <c r="B217" s="79" t="s">
        <v>333</v>
      </c>
      <c r="C217" s="124" t="s">
        <v>331</v>
      </c>
      <c r="D217" s="81" t="s">
        <v>66</v>
      </c>
      <c r="E217" s="66">
        <f t="shared" ref="E217:E227" si="11">10000/400</f>
        <v>25</v>
      </c>
      <c r="F217" s="82" t="s">
        <v>39</v>
      </c>
      <c r="G217" s="83">
        <v>220000</v>
      </c>
      <c r="H217" s="76">
        <v>1</v>
      </c>
      <c r="I217" s="84">
        <f>+G217/E217</f>
        <v>8800</v>
      </c>
      <c r="J217" s="5" t="s">
        <v>89</v>
      </c>
    </row>
    <row r="218" spans="1:10" ht="25" customHeight="1">
      <c r="A218" s="78"/>
      <c r="B218" s="79" t="s">
        <v>334</v>
      </c>
      <c r="C218" s="124" t="s">
        <v>331</v>
      </c>
      <c r="D218" s="81" t="s">
        <v>68</v>
      </c>
      <c r="E218" s="66">
        <f t="shared" si="11"/>
        <v>25</v>
      </c>
      <c r="F218" s="82" t="s">
        <v>39</v>
      </c>
      <c r="G218" s="83">
        <v>370000</v>
      </c>
      <c r="H218" s="76">
        <v>1</v>
      </c>
      <c r="I218" s="84">
        <f>+G218/E218</f>
        <v>14800</v>
      </c>
      <c r="J218" s="5" t="s">
        <v>89</v>
      </c>
    </row>
    <row r="219" spans="1:10" ht="25" customHeight="1">
      <c r="A219" s="78"/>
      <c r="B219" s="79" t="s">
        <v>335</v>
      </c>
      <c r="C219" s="124" t="s">
        <v>331</v>
      </c>
      <c r="D219" s="81" t="s">
        <v>70</v>
      </c>
      <c r="E219" s="66">
        <f t="shared" si="11"/>
        <v>25</v>
      </c>
      <c r="F219" s="82" t="s">
        <v>39</v>
      </c>
      <c r="G219" s="83">
        <v>520000</v>
      </c>
      <c r="H219" s="76">
        <v>1</v>
      </c>
      <c r="I219" s="84">
        <f>+G219/E219</f>
        <v>20800</v>
      </c>
      <c r="J219" s="5" t="s">
        <v>89</v>
      </c>
    </row>
    <row r="220" spans="1:10" ht="25" customHeight="1">
      <c r="A220" s="78"/>
      <c r="B220" s="79" t="s">
        <v>336</v>
      </c>
      <c r="C220" s="124" t="s">
        <v>331</v>
      </c>
      <c r="D220" s="81" t="s">
        <v>72</v>
      </c>
      <c r="E220" s="66">
        <f t="shared" si="11"/>
        <v>25</v>
      </c>
      <c r="F220" s="82" t="s">
        <v>39</v>
      </c>
      <c r="G220" s="83">
        <v>600000</v>
      </c>
      <c r="H220" s="76">
        <v>1</v>
      </c>
      <c r="I220" s="84">
        <f>+G220/E220</f>
        <v>24000</v>
      </c>
      <c r="J220" s="5" t="s">
        <v>89</v>
      </c>
    </row>
    <row r="221" spans="1:10" ht="25" customHeight="1">
      <c r="A221" s="85"/>
      <c r="B221" s="86" t="s">
        <v>337</v>
      </c>
      <c r="C221" s="125" t="s">
        <v>331</v>
      </c>
      <c r="D221" s="88" t="s">
        <v>323</v>
      </c>
      <c r="E221" s="66">
        <f t="shared" si="11"/>
        <v>25</v>
      </c>
      <c r="F221" s="89" t="s">
        <v>39</v>
      </c>
      <c r="G221" s="90">
        <v>750000</v>
      </c>
      <c r="H221" s="76">
        <v>1</v>
      </c>
      <c r="I221" s="91">
        <f>+G221/E221</f>
        <v>30000</v>
      </c>
      <c r="J221" s="5" t="s">
        <v>89</v>
      </c>
    </row>
    <row r="222" spans="1:10" ht="25" customHeight="1">
      <c r="A222" s="70"/>
      <c r="B222" s="71" t="s">
        <v>338</v>
      </c>
      <c r="C222" s="123" t="s">
        <v>339</v>
      </c>
      <c r="D222" s="73" t="s">
        <v>63</v>
      </c>
      <c r="E222" s="66">
        <f t="shared" si="11"/>
        <v>25</v>
      </c>
      <c r="F222" s="74" t="s">
        <v>31</v>
      </c>
      <c r="G222" s="75">
        <v>100000</v>
      </c>
      <c r="H222" s="76">
        <v>0.5</v>
      </c>
      <c r="I222" s="77">
        <f>+G222</f>
        <v>100000</v>
      </c>
      <c r="J222" s="5" t="s">
        <v>89</v>
      </c>
    </row>
    <row r="223" spans="1:10" ht="25" customHeight="1">
      <c r="A223" s="78"/>
      <c r="B223" s="79" t="s">
        <v>340</v>
      </c>
      <c r="C223" s="124" t="s">
        <v>339</v>
      </c>
      <c r="D223" s="81" t="s">
        <v>66</v>
      </c>
      <c r="E223" s="66">
        <f t="shared" si="11"/>
        <v>25</v>
      </c>
      <c r="F223" s="82" t="s">
        <v>39</v>
      </c>
      <c r="G223" s="83">
        <v>220000</v>
      </c>
      <c r="H223" s="76">
        <v>0.5</v>
      </c>
      <c r="I223" s="84">
        <f>+G223/E223</f>
        <v>8800</v>
      </c>
      <c r="J223" s="5" t="s">
        <v>89</v>
      </c>
    </row>
    <row r="224" spans="1:10" ht="25" customHeight="1">
      <c r="A224" s="78"/>
      <c r="B224" s="79" t="s">
        <v>341</v>
      </c>
      <c r="C224" s="124" t="s">
        <v>339</v>
      </c>
      <c r="D224" s="81" t="s">
        <v>68</v>
      </c>
      <c r="E224" s="66">
        <f t="shared" si="11"/>
        <v>25</v>
      </c>
      <c r="F224" s="82" t="s">
        <v>39</v>
      </c>
      <c r="G224" s="83">
        <v>370000</v>
      </c>
      <c r="H224" s="76">
        <v>0.5</v>
      </c>
      <c r="I224" s="84">
        <f>+G224/E224</f>
        <v>14800</v>
      </c>
      <c r="J224" s="5" t="s">
        <v>89</v>
      </c>
    </row>
    <row r="225" spans="1:10" ht="25" customHeight="1">
      <c r="A225" s="78"/>
      <c r="B225" s="79" t="s">
        <v>342</v>
      </c>
      <c r="C225" s="124" t="s">
        <v>339</v>
      </c>
      <c r="D225" s="81" t="s">
        <v>70</v>
      </c>
      <c r="E225" s="66">
        <f t="shared" si="11"/>
        <v>25</v>
      </c>
      <c r="F225" s="82" t="s">
        <v>39</v>
      </c>
      <c r="G225" s="83">
        <v>520000</v>
      </c>
      <c r="H225" s="76">
        <v>0.5</v>
      </c>
      <c r="I225" s="84">
        <f>+G225/E225</f>
        <v>20800</v>
      </c>
      <c r="J225" s="5" t="s">
        <v>89</v>
      </c>
    </row>
    <row r="226" spans="1:10" ht="25" customHeight="1">
      <c r="A226" s="78"/>
      <c r="B226" s="79" t="s">
        <v>343</v>
      </c>
      <c r="C226" s="124" t="s">
        <v>339</v>
      </c>
      <c r="D226" s="81" t="s">
        <v>72</v>
      </c>
      <c r="E226" s="66">
        <f t="shared" si="11"/>
        <v>25</v>
      </c>
      <c r="F226" s="82" t="s">
        <v>39</v>
      </c>
      <c r="G226" s="83">
        <v>600000</v>
      </c>
      <c r="H226" s="76">
        <v>0.5</v>
      </c>
      <c r="I226" s="84">
        <f>+G226/E226</f>
        <v>24000</v>
      </c>
      <c r="J226" s="5" t="s">
        <v>89</v>
      </c>
    </row>
    <row r="227" spans="1:10" ht="25" customHeight="1">
      <c r="A227" s="85"/>
      <c r="B227" s="86" t="s">
        <v>344</v>
      </c>
      <c r="C227" s="124" t="s">
        <v>339</v>
      </c>
      <c r="D227" s="88" t="s">
        <v>323</v>
      </c>
      <c r="E227" s="66">
        <f t="shared" si="11"/>
        <v>25</v>
      </c>
      <c r="F227" s="89" t="s">
        <v>39</v>
      </c>
      <c r="G227" s="90">
        <v>750000</v>
      </c>
      <c r="H227" s="76">
        <v>0.5</v>
      </c>
      <c r="I227" s="91">
        <f>+G227/E227</f>
        <v>30000</v>
      </c>
      <c r="J227" s="5" t="s">
        <v>89</v>
      </c>
    </row>
    <row r="228" spans="1:10" s="51" customFormat="1" ht="25" customHeight="1">
      <c r="A228" s="63">
        <v>9</v>
      </c>
      <c r="B228" s="106"/>
      <c r="C228" s="107" t="s">
        <v>345</v>
      </c>
      <c r="D228" s="108"/>
      <c r="E228" s="66">
        <f>10000/330</f>
        <v>30.303030303030305</v>
      </c>
      <c r="F228" s="66"/>
      <c r="G228" s="109"/>
      <c r="H228" s="69"/>
      <c r="I228" s="68"/>
      <c r="J228" s="5"/>
    </row>
    <row r="229" spans="1:10" ht="25" customHeight="1">
      <c r="A229" s="70"/>
      <c r="B229" s="71" t="s">
        <v>346</v>
      </c>
      <c r="C229" s="123" t="s">
        <v>347</v>
      </c>
      <c r="D229" s="73" t="s">
        <v>63</v>
      </c>
      <c r="E229" s="74"/>
      <c r="F229" s="74" t="s">
        <v>31</v>
      </c>
      <c r="G229" s="75">
        <v>100000</v>
      </c>
      <c r="H229" s="76">
        <v>1</v>
      </c>
      <c r="I229" s="77">
        <f>+G229</f>
        <v>100000</v>
      </c>
      <c r="J229" s="5" t="s">
        <v>89</v>
      </c>
    </row>
    <row r="230" spans="1:10" ht="25" customHeight="1">
      <c r="A230" s="78"/>
      <c r="B230" s="79" t="s">
        <v>348</v>
      </c>
      <c r="C230" s="124" t="s">
        <v>347</v>
      </c>
      <c r="D230" s="81" t="s">
        <v>66</v>
      </c>
      <c r="E230" s="74">
        <v>30.3</v>
      </c>
      <c r="F230" s="82" t="s">
        <v>39</v>
      </c>
      <c r="G230" s="83">
        <v>220000</v>
      </c>
      <c r="H230" s="76">
        <v>1</v>
      </c>
      <c r="I230" s="84">
        <f>+G230/E230</f>
        <v>7260.7260726072609</v>
      </c>
      <c r="J230" s="5" t="s">
        <v>89</v>
      </c>
    </row>
    <row r="231" spans="1:10" ht="25" customHeight="1">
      <c r="A231" s="78"/>
      <c r="B231" s="79" t="s">
        <v>349</v>
      </c>
      <c r="C231" s="124" t="s">
        <v>347</v>
      </c>
      <c r="D231" s="81" t="s">
        <v>68</v>
      </c>
      <c r="E231" s="74">
        <v>30.3</v>
      </c>
      <c r="F231" s="82" t="s">
        <v>39</v>
      </c>
      <c r="G231" s="83">
        <v>370000</v>
      </c>
      <c r="H231" s="76">
        <v>1</v>
      </c>
      <c r="I231" s="84">
        <f>+G231/E231</f>
        <v>12211.221122112211</v>
      </c>
      <c r="J231" s="5" t="s">
        <v>89</v>
      </c>
    </row>
    <row r="232" spans="1:10" ht="25" customHeight="1">
      <c r="A232" s="78"/>
      <c r="B232" s="79" t="s">
        <v>350</v>
      </c>
      <c r="C232" s="124" t="s">
        <v>347</v>
      </c>
      <c r="D232" s="81" t="s">
        <v>70</v>
      </c>
      <c r="E232" s="74">
        <v>30.3</v>
      </c>
      <c r="F232" s="82" t="s">
        <v>39</v>
      </c>
      <c r="G232" s="83">
        <v>520000</v>
      </c>
      <c r="H232" s="76">
        <v>1</v>
      </c>
      <c r="I232" s="84">
        <f>+G232/E232</f>
        <v>17161.716171617161</v>
      </c>
      <c r="J232" s="5" t="s">
        <v>89</v>
      </c>
    </row>
    <row r="233" spans="1:10" ht="25" customHeight="1">
      <c r="A233" s="78"/>
      <c r="B233" s="79" t="s">
        <v>351</v>
      </c>
      <c r="C233" s="124" t="s">
        <v>347</v>
      </c>
      <c r="D233" s="81" t="s">
        <v>72</v>
      </c>
      <c r="E233" s="74">
        <v>30.3</v>
      </c>
      <c r="F233" s="82" t="s">
        <v>39</v>
      </c>
      <c r="G233" s="83">
        <v>600000</v>
      </c>
      <c r="H233" s="76">
        <v>1</v>
      </c>
      <c r="I233" s="84">
        <f>+G233/E233</f>
        <v>19801.980198019803</v>
      </c>
      <c r="J233" s="5" t="s">
        <v>89</v>
      </c>
    </row>
    <row r="234" spans="1:10" ht="25" customHeight="1">
      <c r="A234" s="85"/>
      <c r="B234" s="86" t="s">
        <v>352</v>
      </c>
      <c r="C234" s="125" t="s">
        <v>347</v>
      </c>
      <c r="D234" s="88" t="s">
        <v>323</v>
      </c>
      <c r="E234" s="74">
        <v>30.3</v>
      </c>
      <c r="F234" s="89" t="s">
        <v>39</v>
      </c>
      <c r="G234" s="90">
        <v>750000</v>
      </c>
      <c r="H234" s="76">
        <v>1</v>
      </c>
      <c r="I234" s="91">
        <f>+G234/E234</f>
        <v>24752.475247524751</v>
      </c>
      <c r="J234" s="5" t="s">
        <v>89</v>
      </c>
    </row>
    <row r="235" spans="1:10" ht="25" customHeight="1">
      <c r="A235" s="70"/>
      <c r="B235" s="71" t="s">
        <v>353</v>
      </c>
      <c r="C235" s="123" t="s">
        <v>354</v>
      </c>
      <c r="D235" s="73" t="s">
        <v>63</v>
      </c>
      <c r="E235" s="74"/>
      <c r="F235" s="74" t="s">
        <v>31</v>
      </c>
      <c r="G235" s="75">
        <v>100000</v>
      </c>
      <c r="H235" s="76">
        <v>0.5</v>
      </c>
      <c r="I235" s="77">
        <f>+G235</f>
        <v>100000</v>
      </c>
      <c r="J235" s="5" t="s">
        <v>89</v>
      </c>
    </row>
    <row r="236" spans="1:10" ht="25" customHeight="1">
      <c r="A236" s="78"/>
      <c r="B236" s="79" t="s">
        <v>355</v>
      </c>
      <c r="C236" s="124" t="s">
        <v>354</v>
      </c>
      <c r="D236" s="81" t="s">
        <v>66</v>
      </c>
      <c r="E236" s="82">
        <f>360/72</f>
        <v>5</v>
      </c>
      <c r="F236" s="82" t="s">
        <v>39</v>
      </c>
      <c r="G236" s="83">
        <v>220000</v>
      </c>
      <c r="H236" s="76">
        <v>0.5</v>
      </c>
      <c r="I236" s="84">
        <f>+G236/E236</f>
        <v>44000</v>
      </c>
      <c r="J236" s="5" t="s">
        <v>89</v>
      </c>
    </row>
    <row r="237" spans="1:10" ht="25" customHeight="1">
      <c r="A237" s="78"/>
      <c r="B237" s="79" t="s">
        <v>356</v>
      </c>
      <c r="C237" s="124" t="s">
        <v>354</v>
      </c>
      <c r="D237" s="81" t="s">
        <v>68</v>
      </c>
      <c r="E237" s="82">
        <f>360/54</f>
        <v>6.666666666666667</v>
      </c>
      <c r="F237" s="82" t="s">
        <v>39</v>
      </c>
      <c r="G237" s="83">
        <v>370000</v>
      </c>
      <c r="H237" s="76">
        <v>0.5</v>
      </c>
      <c r="I237" s="84">
        <f>+G237/E237</f>
        <v>55500</v>
      </c>
      <c r="J237" s="5" t="s">
        <v>89</v>
      </c>
    </row>
    <row r="238" spans="1:10" ht="25" customHeight="1">
      <c r="A238" s="78"/>
      <c r="B238" s="79" t="s">
        <v>357</v>
      </c>
      <c r="C238" s="124" t="s">
        <v>354</v>
      </c>
      <c r="D238" s="81" t="s">
        <v>70</v>
      </c>
      <c r="E238" s="82">
        <f>360/43</f>
        <v>8.3720930232558146</v>
      </c>
      <c r="F238" s="82" t="s">
        <v>39</v>
      </c>
      <c r="G238" s="83">
        <v>520000</v>
      </c>
      <c r="H238" s="76">
        <v>0.5</v>
      </c>
      <c r="I238" s="84">
        <f>+G238/E238</f>
        <v>62111.111111111109</v>
      </c>
      <c r="J238" s="5" t="s">
        <v>89</v>
      </c>
    </row>
    <row r="239" spans="1:10" ht="25" customHeight="1">
      <c r="A239" s="78"/>
      <c r="B239" s="79" t="s">
        <v>358</v>
      </c>
      <c r="C239" s="124" t="s">
        <v>354</v>
      </c>
      <c r="D239" s="81" t="s">
        <v>72</v>
      </c>
      <c r="E239" s="82">
        <f>360/43</f>
        <v>8.3720930232558146</v>
      </c>
      <c r="F239" s="82" t="s">
        <v>39</v>
      </c>
      <c r="G239" s="83">
        <v>600000</v>
      </c>
      <c r="H239" s="76">
        <v>0.5</v>
      </c>
      <c r="I239" s="84">
        <f>+G239/E239</f>
        <v>71666.666666666657</v>
      </c>
      <c r="J239" s="5" t="s">
        <v>89</v>
      </c>
    </row>
    <row r="240" spans="1:10" ht="25" customHeight="1">
      <c r="A240" s="85"/>
      <c r="B240" s="86" t="s">
        <v>359</v>
      </c>
      <c r="C240" s="125" t="s">
        <v>354</v>
      </c>
      <c r="D240" s="88" t="s">
        <v>323</v>
      </c>
      <c r="E240" s="89">
        <f>360/29</f>
        <v>12.413793103448276</v>
      </c>
      <c r="F240" s="89" t="s">
        <v>39</v>
      </c>
      <c r="G240" s="90">
        <v>750000</v>
      </c>
      <c r="H240" s="76">
        <v>0.5</v>
      </c>
      <c r="I240" s="91">
        <f>+G240/E240</f>
        <v>60416.666666666664</v>
      </c>
      <c r="J240" s="5" t="s">
        <v>89</v>
      </c>
    </row>
    <row r="241" spans="1:10" s="51" customFormat="1" ht="25" customHeight="1">
      <c r="A241" s="63">
        <v>9</v>
      </c>
      <c r="B241" s="106"/>
      <c r="C241" s="107" t="s">
        <v>360</v>
      </c>
      <c r="D241" s="108"/>
      <c r="E241" s="66"/>
      <c r="F241" s="66"/>
      <c r="G241" s="109"/>
      <c r="H241" s="69"/>
      <c r="I241" s="68"/>
      <c r="J241" s="5"/>
    </row>
    <row r="242" spans="1:10" s="52" customFormat="1" ht="25" customHeight="1">
      <c r="A242" s="147"/>
      <c r="B242" s="148" t="s">
        <v>361</v>
      </c>
      <c r="C242" s="149" t="s">
        <v>360</v>
      </c>
      <c r="D242" s="150" t="s">
        <v>63</v>
      </c>
      <c r="E242" s="151"/>
      <c r="F242" s="151" t="s">
        <v>31</v>
      </c>
      <c r="G242" s="152">
        <v>36000</v>
      </c>
      <c r="H242" s="153">
        <v>1</v>
      </c>
      <c r="I242" s="154">
        <f>+G242</f>
        <v>36000</v>
      </c>
      <c r="J242" s="52" t="s">
        <v>89</v>
      </c>
    </row>
    <row r="243" spans="1:10" s="52" customFormat="1" ht="25" customHeight="1">
      <c r="A243" s="155"/>
      <c r="B243" s="156" t="s">
        <v>362</v>
      </c>
      <c r="C243" s="157" t="s">
        <v>360</v>
      </c>
      <c r="D243" s="158" t="s">
        <v>66</v>
      </c>
      <c r="E243" s="159">
        <f>360/72</f>
        <v>5</v>
      </c>
      <c r="F243" s="159" t="s">
        <v>39</v>
      </c>
      <c r="G243" s="160">
        <v>48000</v>
      </c>
      <c r="H243" s="153">
        <v>1</v>
      </c>
      <c r="I243" s="161">
        <f>+G243/E243</f>
        <v>9600</v>
      </c>
      <c r="J243" s="52" t="s">
        <v>89</v>
      </c>
    </row>
    <row r="244" spans="1:10" s="52" customFormat="1" ht="25" customHeight="1">
      <c r="A244" s="155"/>
      <c r="B244" s="156" t="s">
        <v>363</v>
      </c>
      <c r="C244" s="157" t="s">
        <v>360</v>
      </c>
      <c r="D244" s="158" t="s">
        <v>68</v>
      </c>
      <c r="E244" s="159">
        <f>360/54</f>
        <v>6.666666666666667</v>
      </c>
      <c r="F244" s="159" t="s">
        <v>39</v>
      </c>
      <c r="G244" s="160">
        <v>85000</v>
      </c>
      <c r="H244" s="153">
        <v>1</v>
      </c>
      <c r="I244" s="161">
        <f>+G244/E244</f>
        <v>12750</v>
      </c>
      <c r="J244" s="52" t="s">
        <v>89</v>
      </c>
    </row>
    <row r="245" spans="1:10" s="52" customFormat="1" ht="25" customHeight="1">
      <c r="A245" s="155"/>
      <c r="B245" s="156" t="s">
        <v>364</v>
      </c>
      <c r="C245" s="157" t="s">
        <v>360</v>
      </c>
      <c r="D245" s="158" t="s">
        <v>70</v>
      </c>
      <c r="E245" s="159">
        <f>360/43</f>
        <v>8.3720930232558146</v>
      </c>
      <c r="F245" s="159" t="s">
        <v>39</v>
      </c>
      <c r="G245" s="160">
        <v>120000</v>
      </c>
      <c r="H245" s="153">
        <v>1</v>
      </c>
      <c r="I245" s="161"/>
      <c r="J245" s="52" t="s">
        <v>89</v>
      </c>
    </row>
    <row r="246" spans="1:10" s="52" customFormat="1" ht="25" customHeight="1">
      <c r="A246" s="155"/>
      <c r="B246" s="156" t="s">
        <v>365</v>
      </c>
      <c r="C246" s="157" t="s">
        <v>360</v>
      </c>
      <c r="D246" s="158" t="s">
        <v>72</v>
      </c>
      <c r="E246" s="159">
        <f>360/43</f>
        <v>8.3720930232558146</v>
      </c>
      <c r="F246" s="159" t="s">
        <v>39</v>
      </c>
      <c r="G246" s="160">
        <v>200000</v>
      </c>
      <c r="H246" s="153">
        <v>1</v>
      </c>
      <c r="I246" s="161">
        <f>+G246/E246</f>
        <v>23888.888888888887</v>
      </c>
      <c r="J246" s="52" t="s">
        <v>89</v>
      </c>
    </row>
    <row r="247" spans="1:10" s="52" customFormat="1" ht="25" customHeight="1">
      <c r="A247" s="162"/>
      <c r="B247" s="163" t="s">
        <v>366</v>
      </c>
      <c r="C247" s="164" t="s">
        <v>360</v>
      </c>
      <c r="D247" s="165" t="s">
        <v>323</v>
      </c>
      <c r="E247" s="166">
        <f>360/29</f>
        <v>12.413793103448276</v>
      </c>
      <c r="F247" s="166" t="s">
        <v>39</v>
      </c>
      <c r="G247" s="167">
        <v>360000</v>
      </c>
      <c r="H247" s="153">
        <v>1</v>
      </c>
      <c r="I247" s="168">
        <f>+G247/E247</f>
        <v>29000</v>
      </c>
      <c r="J247" s="52" t="s">
        <v>89</v>
      </c>
    </row>
    <row r="248" spans="1:10" s="51" customFormat="1" ht="25" customHeight="1">
      <c r="A248" s="63">
        <v>9</v>
      </c>
      <c r="B248" s="106"/>
      <c r="C248" s="107" t="s">
        <v>367</v>
      </c>
      <c r="D248" s="108"/>
      <c r="E248" s="66"/>
      <c r="F248" s="66"/>
      <c r="G248" s="109"/>
      <c r="H248" s="69"/>
      <c r="I248" s="68"/>
      <c r="J248" s="5" t="s">
        <v>89</v>
      </c>
    </row>
    <row r="249" spans="1:10" s="52" customFormat="1" ht="24.75" customHeight="1">
      <c r="A249" s="147"/>
      <c r="B249" s="148" t="s">
        <v>368</v>
      </c>
      <c r="C249" s="149" t="s">
        <v>367</v>
      </c>
      <c r="D249" s="150" t="s">
        <v>63</v>
      </c>
      <c r="E249" s="151"/>
      <c r="F249" s="151" t="s">
        <v>31</v>
      </c>
      <c r="G249" s="152">
        <v>36000</v>
      </c>
      <c r="H249" s="153">
        <v>1</v>
      </c>
      <c r="I249" s="154">
        <f>+G249</f>
        <v>36000</v>
      </c>
      <c r="J249" s="52" t="s">
        <v>89</v>
      </c>
    </row>
    <row r="250" spans="1:10" s="52" customFormat="1" ht="25" customHeight="1">
      <c r="A250" s="155"/>
      <c r="B250" s="156" t="s">
        <v>369</v>
      </c>
      <c r="C250" s="157" t="s">
        <v>367</v>
      </c>
      <c r="D250" s="158" t="s">
        <v>66</v>
      </c>
      <c r="E250" s="159">
        <f>360/72</f>
        <v>5</v>
      </c>
      <c r="F250" s="159" t="s">
        <v>39</v>
      </c>
      <c r="G250" s="160">
        <v>48000</v>
      </c>
      <c r="H250" s="153">
        <v>1</v>
      </c>
      <c r="I250" s="161">
        <f>+G250/E250</f>
        <v>9600</v>
      </c>
      <c r="J250" s="52" t="s">
        <v>89</v>
      </c>
    </row>
    <row r="251" spans="1:10" s="52" customFormat="1" ht="25" customHeight="1">
      <c r="A251" s="155"/>
      <c r="B251" s="156" t="s">
        <v>370</v>
      </c>
      <c r="C251" s="157" t="s">
        <v>367</v>
      </c>
      <c r="D251" s="158" t="s">
        <v>68</v>
      </c>
      <c r="E251" s="159">
        <f>360/54</f>
        <v>6.666666666666667</v>
      </c>
      <c r="F251" s="159" t="s">
        <v>39</v>
      </c>
      <c r="G251" s="160">
        <v>85000</v>
      </c>
      <c r="H251" s="153">
        <v>1</v>
      </c>
      <c r="I251" s="161">
        <f>+G251/E251</f>
        <v>12750</v>
      </c>
      <c r="J251" s="52" t="s">
        <v>89</v>
      </c>
    </row>
    <row r="252" spans="1:10" s="52" customFormat="1" ht="25" customHeight="1">
      <c r="A252" s="155"/>
      <c r="B252" s="156" t="s">
        <v>371</v>
      </c>
      <c r="C252" s="157" t="s">
        <v>367</v>
      </c>
      <c r="D252" s="158" t="s">
        <v>70</v>
      </c>
      <c r="E252" s="159">
        <f>360/43</f>
        <v>8.3720930232558146</v>
      </c>
      <c r="F252" s="159" t="s">
        <v>39</v>
      </c>
      <c r="G252" s="160">
        <v>120000</v>
      </c>
      <c r="H252" s="153">
        <v>1</v>
      </c>
      <c r="I252" s="161"/>
      <c r="J252" s="52" t="s">
        <v>89</v>
      </c>
    </row>
    <row r="253" spans="1:10" s="52" customFormat="1" ht="25" customHeight="1">
      <c r="A253" s="155"/>
      <c r="B253" s="156" t="s">
        <v>372</v>
      </c>
      <c r="C253" s="157" t="s">
        <v>367</v>
      </c>
      <c r="D253" s="158" t="s">
        <v>72</v>
      </c>
      <c r="E253" s="159">
        <f>360/43</f>
        <v>8.3720930232558146</v>
      </c>
      <c r="F253" s="159" t="s">
        <v>39</v>
      </c>
      <c r="G253" s="160">
        <v>200000</v>
      </c>
      <c r="H253" s="153">
        <v>1</v>
      </c>
      <c r="I253" s="161">
        <f>+G253/E253</f>
        <v>23888.888888888887</v>
      </c>
      <c r="J253" s="52" t="s">
        <v>89</v>
      </c>
    </row>
    <row r="254" spans="1:10" s="52" customFormat="1" ht="25" customHeight="1">
      <c r="A254" s="162"/>
      <c r="B254" s="163" t="s">
        <v>373</v>
      </c>
      <c r="C254" s="164" t="s">
        <v>367</v>
      </c>
      <c r="D254" s="165" t="s">
        <v>323</v>
      </c>
      <c r="E254" s="166">
        <f>360/29</f>
        <v>12.413793103448276</v>
      </c>
      <c r="F254" s="166" t="s">
        <v>39</v>
      </c>
      <c r="G254" s="167">
        <v>360000</v>
      </c>
      <c r="H254" s="153">
        <v>1</v>
      </c>
      <c r="I254" s="168">
        <f>+G254/E254</f>
        <v>29000</v>
      </c>
      <c r="J254" s="52" t="s">
        <v>89</v>
      </c>
    </row>
    <row r="255" spans="1:10" s="51" customFormat="1" ht="25" customHeight="1">
      <c r="A255" s="63">
        <v>9</v>
      </c>
      <c r="B255" s="106"/>
      <c r="C255" s="107" t="s">
        <v>374</v>
      </c>
      <c r="D255" s="108"/>
      <c r="E255" s="66">
        <f>10000/150</f>
        <v>66.666666666666671</v>
      </c>
      <c r="F255" s="66"/>
      <c r="G255" s="109"/>
      <c r="H255" s="69"/>
      <c r="I255" s="68"/>
      <c r="J255" s="5" t="s">
        <v>89</v>
      </c>
    </row>
    <row r="256" spans="1:10" ht="25" customHeight="1">
      <c r="A256" s="70"/>
      <c r="B256" s="71" t="s">
        <v>375</v>
      </c>
      <c r="C256" s="123" t="s">
        <v>374</v>
      </c>
      <c r="D256" s="73" t="s">
        <v>63</v>
      </c>
      <c r="E256" s="74"/>
      <c r="F256" s="74" t="s">
        <v>31</v>
      </c>
      <c r="G256" s="75">
        <v>100000</v>
      </c>
      <c r="H256" s="76">
        <v>1</v>
      </c>
      <c r="I256" s="77">
        <f>+G256</f>
        <v>100000</v>
      </c>
      <c r="J256" s="5" t="s">
        <v>89</v>
      </c>
    </row>
    <row r="257" spans="1:10" ht="25" customHeight="1">
      <c r="A257" s="78"/>
      <c r="B257" s="79" t="s">
        <v>376</v>
      </c>
      <c r="C257" s="124" t="s">
        <v>374</v>
      </c>
      <c r="D257" s="81" t="s">
        <v>66</v>
      </c>
      <c r="E257" s="82">
        <v>66.599999999999994</v>
      </c>
      <c r="F257" s="82" t="s">
        <v>39</v>
      </c>
      <c r="G257" s="83">
        <v>220000</v>
      </c>
      <c r="H257" s="76">
        <v>1</v>
      </c>
      <c r="I257" s="84">
        <f>+G257/E257</f>
        <v>3303.3033033033034</v>
      </c>
      <c r="J257" s="5" t="s">
        <v>89</v>
      </c>
    </row>
    <row r="258" spans="1:10" ht="25" customHeight="1">
      <c r="A258" s="78"/>
      <c r="B258" s="79" t="s">
        <v>377</v>
      </c>
      <c r="C258" s="124" t="s">
        <v>374</v>
      </c>
      <c r="D258" s="81" t="s">
        <v>68</v>
      </c>
      <c r="E258" s="82">
        <v>66.599999999999994</v>
      </c>
      <c r="F258" s="82" t="s">
        <v>39</v>
      </c>
      <c r="G258" s="83">
        <v>370000</v>
      </c>
      <c r="H258" s="76">
        <v>1</v>
      </c>
      <c r="I258" s="84">
        <f>+G258/E258</f>
        <v>5555.5555555555557</v>
      </c>
      <c r="J258" s="5" t="s">
        <v>89</v>
      </c>
    </row>
    <row r="259" spans="1:10" ht="25" customHeight="1">
      <c r="A259" s="78"/>
      <c r="B259" s="79" t="s">
        <v>378</v>
      </c>
      <c r="C259" s="124" t="s">
        <v>374</v>
      </c>
      <c r="D259" s="81" t="s">
        <v>70</v>
      </c>
      <c r="E259" s="82">
        <v>66.599999999999994</v>
      </c>
      <c r="F259" s="82" t="s">
        <v>39</v>
      </c>
      <c r="G259" s="83">
        <v>520000</v>
      </c>
      <c r="H259" s="76">
        <v>1</v>
      </c>
      <c r="I259" s="84">
        <f>+G259/E259</f>
        <v>7807.8078078078088</v>
      </c>
      <c r="J259" s="5" t="s">
        <v>89</v>
      </c>
    </row>
    <row r="260" spans="1:10" ht="25" customHeight="1">
      <c r="A260" s="78"/>
      <c r="B260" s="79" t="s">
        <v>379</v>
      </c>
      <c r="C260" s="124" t="s">
        <v>374</v>
      </c>
      <c r="D260" s="81" t="s">
        <v>72</v>
      </c>
      <c r="E260" s="82">
        <v>66.599999999999994</v>
      </c>
      <c r="F260" s="82" t="s">
        <v>39</v>
      </c>
      <c r="G260" s="83">
        <v>600000</v>
      </c>
      <c r="H260" s="76">
        <v>1</v>
      </c>
      <c r="I260" s="84">
        <f>+G260/E260</f>
        <v>9009.0090090090089</v>
      </c>
      <c r="J260" s="5" t="s">
        <v>89</v>
      </c>
    </row>
    <row r="261" spans="1:10" ht="25" customHeight="1">
      <c r="A261" s="85"/>
      <c r="B261" s="86" t="s">
        <v>380</v>
      </c>
      <c r="C261" s="125" t="s">
        <v>374</v>
      </c>
      <c r="D261" s="88" t="s">
        <v>323</v>
      </c>
      <c r="E261" s="82">
        <v>66.599999999999994</v>
      </c>
      <c r="F261" s="89" t="s">
        <v>39</v>
      </c>
      <c r="G261" s="90">
        <v>750000</v>
      </c>
      <c r="H261" s="76">
        <v>1</v>
      </c>
      <c r="I261" s="91">
        <f>+G261/E261</f>
        <v>11261.261261261263</v>
      </c>
      <c r="J261" s="5" t="s">
        <v>89</v>
      </c>
    </row>
    <row r="262" spans="1:10" ht="25" customHeight="1">
      <c r="A262" s="70"/>
      <c r="B262" s="71" t="s">
        <v>381</v>
      </c>
      <c r="C262" s="123" t="s">
        <v>382</v>
      </c>
      <c r="D262" s="73" t="s">
        <v>63</v>
      </c>
      <c r="E262" s="74"/>
      <c r="F262" s="74" t="s">
        <v>31</v>
      </c>
      <c r="G262" s="75">
        <v>100000</v>
      </c>
      <c r="H262" s="76">
        <v>0.5</v>
      </c>
      <c r="I262" s="77">
        <f>+G262</f>
        <v>100000</v>
      </c>
      <c r="J262" s="5" t="s">
        <v>89</v>
      </c>
    </row>
    <row r="263" spans="1:10" ht="25" customHeight="1">
      <c r="A263" s="78"/>
      <c r="B263" s="79" t="s">
        <v>383</v>
      </c>
      <c r="C263" s="124" t="s">
        <v>382</v>
      </c>
      <c r="D263" s="81" t="s">
        <v>66</v>
      </c>
      <c r="E263" s="82">
        <f>360/72</f>
        <v>5</v>
      </c>
      <c r="F263" s="82" t="s">
        <v>39</v>
      </c>
      <c r="G263" s="83">
        <v>220000</v>
      </c>
      <c r="H263" s="76">
        <v>0.5</v>
      </c>
      <c r="I263" s="84">
        <f>+G263/E263</f>
        <v>44000</v>
      </c>
      <c r="J263" s="5" t="s">
        <v>89</v>
      </c>
    </row>
    <row r="264" spans="1:10" ht="25" customHeight="1">
      <c r="A264" s="78"/>
      <c r="B264" s="79" t="s">
        <v>384</v>
      </c>
      <c r="C264" s="124" t="s">
        <v>382</v>
      </c>
      <c r="D264" s="81" t="s">
        <v>68</v>
      </c>
      <c r="E264" s="82">
        <f>360/54</f>
        <v>6.666666666666667</v>
      </c>
      <c r="F264" s="82" t="s">
        <v>39</v>
      </c>
      <c r="G264" s="83">
        <v>370000</v>
      </c>
      <c r="H264" s="76">
        <v>0.5</v>
      </c>
      <c r="I264" s="84">
        <f>+G264/E264</f>
        <v>55500</v>
      </c>
      <c r="J264" s="5" t="s">
        <v>89</v>
      </c>
    </row>
    <row r="265" spans="1:10" ht="25" customHeight="1">
      <c r="A265" s="78"/>
      <c r="B265" s="79" t="s">
        <v>385</v>
      </c>
      <c r="C265" s="124" t="s">
        <v>382</v>
      </c>
      <c r="D265" s="81" t="s">
        <v>70</v>
      </c>
      <c r="E265" s="82">
        <f>360/43</f>
        <v>8.3720930232558146</v>
      </c>
      <c r="F265" s="82" t="s">
        <v>39</v>
      </c>
      <c r="G265" s="83">
        <v>520000</v>
      </c>
      <c r="H265" s="76">
        <v>0.5</v>
      </c>
      <c r="I265" s="84">
        <f>+G265/E265</f>
        <v>62111.111111111109</v>
      </c>
      <c r="J265" s="5" t="s">
        <v>89</v>
      </c>
    </row>
    <row r="266" spans="1:10" ht="25" customHeight="1">
      <c r="A266" s="78"/>
      <c r="B266" s="79" t="s">
        <v>386</v>
      </c>
      <c r="C266" s="124" t="s">
        <v>382</v>
      </c>
      <c r="D266" s="81" t="s">
        <v>72</v>
      </c>
      <c r="E266" s="82">
        <f>360/43</f>
        <v>8.3720930232558146</v>
      </c>
      <c r="F266" s="82" t="s">
        <v>39</v>
      </c>
      <c r="G266" s="83">
        <v>600000</v>
      </c>
      <c r="H266" s="76">
        <v>0.5</v>
      </c>
      <c r="I266" s="84">
        <f>+G266/E266</f>
        <v>71666.666666666657</v>
      </c>
      <c r="J266" s="5" t="s">
        <v>89</v>
      </c>
    </row>
    <row r="267" spans="1:10" ht="25" customHeight="1">
      <c r="A267" s="85"/>
      <c r="B267" s="86" t="s">
        <v>387</v>
      </c>
      <c r="C267" s="125" t="s">
        <v>382</v>
      </c>
      <c r="D267" s="88" t="s">
        <v>323</v>
      </c>
      <c r="E267" s="89">
        <f>360/29</f>
        <v>12.413793103448276</v>
      </c>
      <c r="F267" s="89" t="s">
        <v>39</v>
      </c>
      <c r="G267" s="90">
        <v>750000</v>
      </c>
      <c r="H267" s="76">
        <v>0.5</v>
      </c>
      <c r="I267" s="91">
        <f>+G267/E267</f>
        <v>60416.666666666664</v>
      </c>
      <c r="J267" s="5" t="s">
        <v>89</v>
      </c>
    </row>
    <row r="268" spans="1:10" s="51" customFormat="1" ht="25" customHeight="1">
      <c r="A268" s="63">
        <v>4</v>
      </c>
      <c r="B268" s="106"/>
      <c r="C268" s="107" t="s">
        <v>388</v>
      </c>
      <c r="D268" s="108"/>
      <c r="E268" s="66">
        <f t="shared" ref="E268:E281" si="12">10000/400</f>
        <v>25</v>
      </c>
      <c r="F268" s="66"/>
      <c r="G268" s="109"/>
      <c r="H268" s="69"/>
      <c r="I268" s="68"/>
      <c r="J268" s="5" t="s">
        <v>89</v>
      </c>
    </row>
    <row r="269" spans="1:10" ht="25" customHeight="1">
      <c r="A269" s="70"/>
      <c r="B269" s="71" t="s">
        <v>389</v>
      </c>
      <c r="C269" s="123" t="s">
        <v>390</v>
      </c>
      <c r="D269" s="19" t="s">
        <v>63</v>
      </c>
      <c r="E269" s="66">
        <f t="shared" si="12"/>
        <v>25</v>
      </c>
      <c r="F269" s="74" t="s">
        <v>31</v>
      </c>
      <c r="G269" s="75">
        <v>100000</v>
      </c>
      <c r="H269" s="76">
        <v>1</v>
      </c>
      <c r="I269" s="77">
        <f>+G269</f>
        <v>100000</v>
      </c>
      <c r="J269" s="5" t="s">
        <v>89</v>
      </c>
    </row>
    <row r="270" spans="1:10" ht="25" customHeight="1">
      <c r="A270" s="78"/>
      <c r="B270" s="79" t="s">
        <v>391</v>
      </c>
      <c r="C270" s="124" t="s">
        <v>390</v>
      </c>
      <c r="D270" s="81" t="s">
        <v>66</v>
      </c>
      <c r="E270" s="66">
        <f t="shared" si="12"/>
        <v>25</v>
      </c>
      <c r="F270" s="82" t="s">
        <v>39</v>
      </c>
      <c r="G270" s="83">
        <v>220000</v>
      </c>
      <c r="H270" s="110">
        <v>1</v>
      </c>
      <c r="I270" s="84">
        <f>+G270/E270</f>
        <v>8800</v>
      </c>
      <c r="J270" s="5" t="s">
        <v>89</v>
      </c>
    </row>
    <row r="271" spans="1:10" ht="25" customHeight="1">
      <c r="A271" s="78"/>
      <c r="B271" s="79" t="s">
        <v>392</v>
      </c>
      <c r="C271" s="124" t="s">
        <v>390</v>
      </c>
      <c r="D271" s="81" t="s">
        <v>68</v>
      </c>
      <c r="E271" s="66">
        <f t="shared" si="12"/>
        <v>25</v>
      </c>
      <c r="F271" s="82" t="s">
        <v>39</v>
      </c>
      <c r="G271" s="83">
        <v>370000</v>
      </c>
      <c r="H271" s="110">
        <v>1</v>
      </c>
      <c r="I271" s="84">
        <f>+G271/E271</f>
        <v>14800</v>
      </c>
      <c r="J271" s="5" t="s">
        <v>89</v>
      </c>
    </row>
    <row r="272" spans="1:10" ht="25" customHeight="1">
      <c r="A272" s="78"/>
      <c r="B272" s="79" t="s">
        <v>393</v>
      </c>
      <c r="C272" s="124" t="s">
        <v>390</v>
      </c>
      <c r="D272" s="81" t="s">
        <v>70</v>
      </c>
      <c r="E272" s="66">
        <f t="shared" si="12"/>
        <v>25</v>
      </c>
      <c r="F272" s="82" t="s">
        <v>39</v>
      </c>
      <c r="G272" s="83">
        <v>520000</v>
      </c>
      <c r="H272" s="110">
        <v>1</v>
      </c>
      <c r="I272" s="84">
        <f>+G272/E272</f>
        <v>20800</v>
      </c>
      <c r="J272" s="5" t="s">
        <v>89</v>
      </c>
    </row>
    <row r="273" spans="1:10" ht="25" customHeight="1">
      <c r="A273" s="78"/>
      <c r="B273" s="79" t="s">
        <v>394</v>
      </c>
      <c r="C273" s="124" t="s">
        <v>390</v>
      </c>
      <c r="D273" s="81" t="s">
        <v>72</v>
      </c>
      <c r="E273" s="66">
        <f t="shared" si="12"/>
        <v>25</v>
      </c>
      <c r="F273" s="82" t="s">
        <v>39</v>
      </c>
      <c r="G273" s="83">
        <v>600000</v>
      </c>
      <c r="H273" s="110">
        <v>1</v>
      </c>
      <c r="I273" s="84">
        <f>+G273/E273</f>
        <v>24000</v>
      </c>
      <c r="J273" s="5" t="s">
        <v>89</v>
      </c>
    </row>
    <row r="274" spans="1:10" ht="25" customHeight="1">
      <c r="A274" s="85"/>
      <c r="B274" s="86" t="s">
        <v>395</v>
      </c>
      <c r="C274" s="125" t="s">
        <v>390</v>
      </c>
      <c r="D274" s="88" t="s">
        <v>323</v>
      </c>
      <c r="E274" s="66">
        <f t="shared" si="12"/>
        <v>25</v>
      </c>
      <c r="F274" s="89" t="s">
        <v>39</v>
      </c>
      <c r="G274" s="90">
        <v>750000</v>
      </c>
      <c r="H274" s="110">
        <v>1</v>
      </c>
      <c r="I274" s="91">
        <f>+G274/E274</f>
        <v>30000</v>
      </c>
      <c r="J274" s="5" t="s">
        <v>89</v>
      </c>
    </row>
    <row r="275" spans="1:10" ht="25" customHeight="1">
      <c r="A275" s="70"/>
      <c r="B275" s="71" t="s">
        <v>396</v>
      </c>
      <c r="C275" s="124" t="s">
        <v>397</v>
      </c>
      <c r="D275" s="73" t="s">
        <v>63</v>
      </c>
      <c r="E275" s="66">
        <f t="shared" si="12"/>
        <v>25</v>
      </c>
      <c r="F275" s="74" t="s">
        <v>31</v>
      </c>
      <c r="G275" s="75">
        <v>100000</v>
      </c>
      <c r="H275" s="76">
        <v>0.5</v>
      </c>
      <c r="I275" s="77">
        <f>+G275</f>
        <v>100000</v>
      </c>
      <c r="J275" s="5" t="s">
        <v>89</v>
      </c>
    </row>
    <row r="276" spans="1:10" ht="25" customHeight="1">
      <c r="A276" s="78"/>
      <c r="B276" s="79" t="s">
        <v>398</v>
      </c>
      <c r="C276" s="124" t="s">
        <v>397</v>
      </c>
      <c r="D276" s="81" t="s">
        <v>66</v>
      </c>
      <c r="E276" s="66">
        <f t="shared" si="12"/>
        <v>25</v>
      </c>
      <c r="F276" s="82" t="s">
        <v>39</v>
      </c>
      <c r="G276" s="83">
        <v>220000</v>
      </c>
      <c r="H276" s="110">
        <v>0.5</v>
      </c>
      <c r="I276" s="84">
        <f t="shared" ref="I276:I281" si="13">+G276/E276</f>
        <v>8800</v>
      </c>
      <c r="J276" s="5" t="s">
        <v>89</v>
      </c>
    </row>
    <row r="277" spans="1:10" ht="25" customHeight="1">
      <c r="A277" s="78"/>
      <c r="B277" s="79" t="s">
        <v>399</v>
      </c>
      <c r="C277" s="124" t="s">
        <v>397</v>
      </c>
      <c r="D277" s="81" t="s">
        <v>68</v>
      </c>
      <c r="E277" s="66">
        <f t="shared" si="12"/>
        <v>25</v>
      </c>
      <c r="F277" s="82" t="s">
        <v>39</v>
      </c>
      <c r="G277" s="83">
        <v>370000</v>
      </c>
      <c r="H277" s="110">
        <v>0.5</v>
      </c>
      <c r="I277" s="84">
        <f t="shared" si="13"/>
        <v>14800</v>
      </c>
      <c r="J277" s="5" t="s">
        <v>89</v>
      </c>
    </row>
    <row r="278" spans="1:10" ht="25" customHeight="1">
      <c r="A278" s="78"/>
      <c r="B278" s="79" t="s">
        <v>400</v>
      </c>
      <c r="C278" s="124" t="s">
        <v>397</v>
      </c>
      <c r="D278" s="81" t="s">
        <v>70</v>
      </c>
      <c r="E278" s="66">
        <f t="shared" si="12"/>
        <v>25</v>
      </c>
      <c r="F278" s="82" t="s">
        <v>39</v>
      </c>
      <c r="G278" s="83">
        <v>520000</v>
      </c>
      <c r="H278" s="110">
        <v>0.5</v>
      </c>
      <c r="I278" s="84">
        <f t="shared" si="13"/>
        <v>20800</v>
      </c>
      <c r="J278" s="5" t="s">
        <v>89</v>
      </c>
    </row>
    <row r="279" spans="1:10" ht="25" customHeight="1">
      <c r="A279" s="78"/>
      <c r="B279" s="79" t="s">
        <v>401</v>
      </c>
      <c r="C279" s="124" t="s">
        <v>397</v>
      </c>
      <c r="D279" s="81" t="s">
        <v>72</v>
      </c>
      <c r="E279" s="66">
        <f t="shared" si="12"/>
        <v>25</v>
      </c>
      <c r="F279" s="82" t="s">
        <v>39</v>
      </c>
      <c r="G279" s="83">
        <v>600000</v>
      </c>
      <c r="H279" s="110">
        <v>0.5</v>
      </c>
      <c r="I279" s="84">
        <f t="shared" si="13"/>
        <v>24000</v>
      </c>
      <c r="J279" s="5" t="s">
        <v>89</v>
      </c>
    </row>
    <row r="280" spans="1:10" ht="25" customHeight="1">
      <c r="A280" s="85"/>
      <c r="B280" s="86" t="s">
        <v>402</v>
      </c>
      <c r="C280" s="125" t="s">
        <v>397</v>
      </c>
      <c r="D280" s="88" t="s">
        <v>323</v>
      </c>
      <c r="E280" s="66">
        <f t="shared" si="12"/>
        <v>25</v>
      </c>
      <c r="F280" s="89" t="s">
        <v>39</v>
      </c>
      <c r="G280" s="90">
        <v>750000</v>
      </c>
      <c r="H280" s="110">
        <v>0.5</v>
      </c>
      <c r="I280" s="91">
        <f t="shared" si="13"/>
        <v>30000</v>
      </c>
      <c r="J280" s="5" t="s">
        <v>89</v>
      </c>
    </row>
    <row r="281" spans="1:10" ht="25" customHeight="1">
      <c r="A281" s="85"/>
      <c r="B281" s="86" t="s">
        <v>403</v>
      </c>
      <c r="C281" s="125" t="s">
        <v>397</v>
      </c>
      <c r="D281" s="88" t="s">
        <v>404</v>
      </c>
      <c r="E281" s="66">
        <f t="shared" si="12"/>
        <v>25</v>
      </c>
      <c r="F281" s="89" t="s">
        <v>39</v>
      </c>
      <c r="G281" s="90">
        <v>4000000</v>
      </c>
      <c r="H281" s="110">
        <v>0.5</v>
      </c>
      <c r="I281" s="91">
        <f t="shared" si="13"/>
        <v>160000</v>
      </c>
      <c r="J281" s="5" t="s">
        <v>89</v>
      </c>
    </row>
    <row r="282" spans="1:10" s="51" customFormat="1" ht="25" customHeight="1">
      <c r="A282" s="63">
        <v>4</v>
      </c>
      <c r="B282" s="106"/>
      <c r="C282" s="107" t="s">
        <v>405</v>
      </c>
      <c r="D282" s="108"/>
      <c r="E282" s="66"/>
      <c r="F282" s="66"/>
      <c r="G282" s="109"/>
      <c r="H282" s="69"/>
      <c r="I282" s="68"/>
      <c r="J282" s="5" t="s">
        <v>89</v>
      </c>
    </row>
    <row r="283" spans="1:10" s="52" customFormat="1" ht="25" customHeight="1">
      <c r="A283" s="147"/>
      <c r="B283" s="148" t="s">
        <v>406</v>
      </c>
      <c r="C283" s="149" t="s">
        <v>407</v>
      </c>
      <c r="D283" s="150" t="s">
        <v>63</v>
      </c>
      <c r="E283" s="151"/>
      <c r="F283" s="151" t="s">
        <v>31</v>
      </c>
      <c r="G283" s="152">
        <v>100000</v>
      </c>
      <c r="H283" s="153">
        <v>1</v>
      </c>
      <c r="I283" s="154">
        <f>+G283</f>
        <v>100000</v>
      </c>
      <c r="J283" s="52" t="s">
        <v>89</v>
      </c>
    </row>
    <row r="284" spans="1:10" s="52" customFormat="1" ht="25" customHeight="1">
      <c r="A284" s="155"/>
      <c r="B284" s="156" t="s">
        <v>408</v>
      </c>
      <c r="C284" s="157" t="s">
        <v>407</v>
      </c>
      <c r="D284" s="158" t="s">
        <v>66</v>
      </c>
      <c r="E284" s="159">
        <f>360/43</f>
        <v>8.3720930232558146</v>
      </c>
      <c r="F284" s="159" t="s">
        <v>39</v>
      </c>
      <c r="G284" s="160">
        <v>220000</v>
      </c>
      <c r="H284" s="153">
        <v>1</v>
      </c>
      <c r="I284" s="161">
        <f>+G284/E284</f>
        <v>26277.777777777777</v>
      </c>
      <c r="J284" s="52" t="s">
        <v>89</v>
      </c>
    </row>
    <row r="285" spans="1:10" s="52" customFormat="1" ht="25" customHeight="1">
      <c r="A285" s="155"/>
      <c r="B285" s="156" t="s">
        <v>409</v>
      </c>
      <c r="C285" s="157" t="s">
        <v>407</v>
      </c>
      <c r="D285" s="158" t="s">
        <v>68</v>
      </c>
      <c r="E285" s="159">
        <f>360/36</f>
        <v>10</v>
      </c>
      <c r="F285" s="159" t="s">
        <v>39</v>
      </c>
      <c r="G285" s="160">
        <v>370000</v>
      </c>
      <c r="H285" s="153">
        <v>1</v>
      </c>
      <c r="I285" s="161">
        <f>+G285/E285</f>
        <v>37000</v>
      </c>
      <c r="J285" s="52" t="s">
        <v>89</v>
      </c>
    </row>
    <row r="286" spans="1:10" s="52" customFormat="1" ht="25" customHeight="1">
      <c r="A286" s="155"/>
      <c r="B286" s="156" t="s">
        <v>410</v>
      </c>
      <c r="C286" s="157" t="s">
        <v>407</v>
      </c>
      <c r="D286" s="158" t="s">
        <v>70</v>
      </c>
      <c r="E286" s="159">
        <f>360/29</f>
        <v>12.413793103448276</v>
      </c>
      <c r="F286" s="159" t="s">
        <v>39</v>
      </c>
      <c r="G286" s="160">
        <v>520000</v>
      </c>
      <c r="H286" s="153">
        <v>1</v>
      </c>
      <c r="I286" s="161">
        <f>+G286/E286</f>
        <v>41888.888888888891</v>
      </c>
      <c r="J286" s="52" t="s">
        <v>89</v>
      </c>
    </row>
    <row r="287" spans="1:10" s="52" customFormat="1" ht="25" customHeight="1">
      <c r="A287" s="155"/>
      <c r="B287" s="156" t="s">
        <v>411</v>
      </c>
      <c r="C287" s="157" t="s">
        <v>407</v>
      </c>
      <c r="D287" s="158" t="s">
        <v>72</v>
      </c>
      <c r="E287" s="159">
        <f>360/29</f>
        <v>12.413793103448276</v>
      </c>
      <c r="F287" s="159" t="s">
        <v>39</v>
      </c>
      <c r="G287" s="160">
        <v>600000</v>
      </c>
      <c r="H287" s="153">
        <v>1</v>
      </c>
      <c r="I287" s="161">
        <f>+G287/E287</f>
        <v>48333.333333333336</v>
      </c>
      <c r="J287" s="52" t="s">
        <v>89</v>
      </c>
    </row>
    <row r="288" spans="1:10" s="52" customFormat="1" ht="25" customHeight="1">
      <c r="A288" s="162"/>
      <c r="B288" s="163" t="s">
        <v>412</v>
      </c>
      <c r="C288" s="157" t="s">
        <v>407</v>
      </c>
      <c r="D288" s="165" t="s">
        <v>323</v>
      </c>
      <c r="E288" s="166">
        <f>360/25</f>
        <v>14.4</v>
      </c>
      <c r="F288" s="166" t="s">
        <v>39</v>
      </c>
      <c r="G288" s="167">
        <v>750000</v>
      </c>
      <c r="H288" s="153">
        <v>1</v>
      </c>
      <c r="I288" s="168">
        <f>+G288/E288</f>
        <v>52083.333333333328</v>
      </c>
      <c r="J288" s="52" t="s">
        <v>89</v>
      </c>
    </row>
    <row r="289" spans="1:10" s="52" customFormat="1" ht="25" customHeight="1">
      <c r="A289" s="147"/>
      <c r="B289" s="148" t="s">
        <v>413</v>
      </c>
      <c r="C289" s="157" t="s">
        <v>414</v>
      </c>
      <c r="D289" s="150" t="s">
        <v>63</v>
      </c>
      <c r="E289" s="151"/>
      <c r="F289" s="151" t="s">
        <v>31</v>
      </c>
      <c r="G289" s="152">
        <v>100000</v>
      </c>
      <c r="H289" s="153">
        <v>0</v>
      </c>
      <c r="I289" s="154">
        <f>+G289</f>
        <v>100000</v>
      </c>
      <c r="J289" s="52" t="s">
        <v>89</v>
      </c>
    </row>
    <row r="290" spans="1:10" s="52" customFormat="1" ht="25" customHeight="1">
      <c r="A290" s="155"/>
      <c r="B290" s="156" t="s">
        <v>415</v>
      </c>
      <c r="C290" s="157" t="s">
        <v>414</v>
      </c>
      <c r="D290" s="158" t="s">
        <v>66</v>
      </c>
      <c r="E290" s="159">
        <f>360/43</f>
        <v>8.3720930232558146</v>
      </c>
      <c r="F290" s="159" t="s">
        <v>39</v>
      </c>
      <c r="G290" s="160">
        <v>220000</v>
      </c>
      <c r="H290" s="169">
        <v>0.5</v>
      </c>
      <c r="I290" s="161">
        <f>+G290/E290</f>
        <v>26277.777777777777</v>
      </c>
      <c r="J290" s="52" t="s">
        <v>89</v>
      </c>
    </row>
    <row r="291" spans="1:10" s="52" customFormat="1" ht="25" customHeight="1">
      <c r="A291" s="155"/>
      <c r="B291" s="156" t="s">
        <v>416</v>
      </c>
      <c r="C291" s="157" t="s">
        <v>414</v>
      </c>
      <c r="D291" s="158" t="s">
        <v>68</v>
      </c>
      <c r="E291" s="159">
        <f>360/36</f>
        <v>10</v>
      </c>
      <c r="F291" s="159" t="s">
        <v>39</v>
      </c>
      <c r="G291" s="160">
        <v>370000</v>
      </c>
      <c r="H291" s="169">
        <v>0.5</v>
      </c>
      <c r="I291" s="161">
        <f>+G291/E291</f>
        <v>37000</v>
      </c>
      <c r="J291" s="52" t="s">
        <v>89</v>
      </c>
    </row>
    <row r="292" spans="1:10" s="52" customFormat="1" ht="25" customHeight="1">
      <c r="A292" s="155"/>
      <c r="B292" s="156" t="s">
        <v>417</v>
      </c>
      <c r="C292" s="157" t="s">
        <v>414</v>
      </c>
      <c r="D292" s="158" t="s">
        <v>70</v>
      </c>
      <c r="E292" s="159">
        <f>360/29</f>
        <v>12.413793103448276</v>
      </c>
      <c r="F292" s="159" t="s">
        <v>39</v>
      </c>
      <c r="G292" s="160">
        <v>520000</v>
      </c>
      <c r="H292" s="169">
        <v>0.5</v>
      </c>
      <c r="I292" s="161"/>
      <c r="J292" s="52" t="s">
        <v>89</v>
      </c>
    </row>
    <row r="293" spans="1:10" s="52" customFormat="1" ht="25" customHeight="1">
      <c r="A293" s="155"/>
      <c r="B293" s="156" t="s">
        <v>418</v>
      </c>
      <c r="C293" s="157" t="s">
        <v>414</v>
      </c>
      <c r="D293" s="158" t="s">
        <v>72</v>
      </c>
      <c r="E293" s="159">
        <f>360/29</f>
        <v>12.413793103448276</v>
      </c>
      <c r="F293" s="159" t="s">
        <v>39</v>
      </c>
      <c r="G293" s="160">
        <v>600000</v>
      </c>
      <c r="H293" s="169">
        <v>0.5</v>
      </c>
      <c r="I293" s="161">
        <f>+G293/E293</f>
        <v>48333.333333333336</v>
      </c>
      <c r="J293" s="52" t="s">
        <v>89</v>
      </c>
    </row>
    <row r="294" spans="1:10" s="52" customFormat="1" ht="25" customHeight="1">
      <c r="A294" s="162"/>
      <c r="B294" s="163" t="s">
        <v>419</v>
      </c>
      <c r="C294" s="157" t="s">
        <v>414</v>
      </c>
      <c r="D294" s="165" t="s">
        <v>323</v>
      </c>
      <c r="E294" s="166">
        <f>360/25</f>
        <v>14.4</v>
      </c>
      <c r="F294" s="166" t="s">
        <v>39</v>
      </c>
      <c r="G294" s="167">
        <v>750000</v>
      </c>
      <c r="H294" s="169">
        <v>0.5</v>
      </c>
      <c r="I294" s="168">
        <f>+G294/E294</f>
        <v>52083.333333333328</v>
      </c>
      <c r="J294" s="52" t="s">
        <v>89</v>
      </c>
    </row>
    <row r="295" spans="1:10" s="51" customFormat="1" ht="25" customHeight="1">
      <c r="A295" s="63"/>
      <c r="B295" s="106"/>
      <c r="C295" s="107" t="s">
        <v>420</v>
      </c>
      <c r="D295" s="108"/>
      <c r="E295" s="66">
        <f>10000/1000</f>
        <v>10</v>
      </c>
      <c r="F295" s="66"/>
      <c r="G295" s="109"/>
      <c r="H295" s="69"/>
      <c r="I295" s="68"/>
      <c r="J295" s="5" t="s">
        <v>89</v>
      </c>
    </row>
    <row r="296" spans="1:10" ht="25" customHeight="1">
      <c r="A296" s="70"/>
      <c r="B296" s="71" t="s">
        <v>421</v>
      </c>
      <c r="C296" s="123" t="s">
        <v>420</v>
      </c>
      <c r="D296" s="73" t="s">
        <v>63</v>
      </c>
      <c r="E296" s="66"/>
      <c r="F296" s="74" t="s">
        <v>31</v>
      </c>
      <c r="G296" s="75">
        <v>60000</v>
      </c>
      <c r="H296" s="76">
        <v>1</v>
      </c>
      <c r="I296" s="77">
        <f>+G296</f>
        <v>60000</v>
      </c>
      <c r="J296" s="5" t="s">
        <v>89</v>
      </c>
    </row>
    <row r="297" spans="1:10" ht="25" customHeight="1">
      <c r="A297" s="78"/>
      <c r="B297" s="79" t="s">
        <v>422</v>
      </c>
      <c r="C297" s="124" t="s">
        <v>420</v>
      </c>
      <c r="D297" s="81" t="s">
        <v>423</v>
      </c>
      <c r="E297" s="66">
        <f t="shared" ref="E297:E313" si="14">10000/1000</f>
        <v>10</v>
      </c>
      <c r="F297" s="82" t="s">
        <v>39</v>
      </c>
      <c r="G297" s="83">
        <v>95000</v>
      </c>
      <c r="H297" s="76">
        <v>1</v>
      </c>
      <c r="I297" s="84">
        <f t="shared" ref="I297:I304" si="15">+G297/E297</f>
        <v>9500</v>
      </c>
      <c r="J297" s="5" t="s">
        <v>89</v>
      </c>
    </row>
    <row r="298" spans="1:10" ht="25" customHeight="1">
      <c r="A298" s="78"/>
      <c r="B298" s="79" t="s">
        <v>424</v>
      </c>
      <c r="C298" s="124" t="s">
        <v>420</v>
      </c>
      <c r="D298" s="81" t="s">
        <v>425</v>
      </c>
      <c r="E298" s="66">
        <f t="shared" si="14"/>
        <v>10</v>
      </c>
      <c r="F298" s="82" t="s">
        <v>39</v>
      </c>
      <c r="G298" s="83">
        <v>140000</v>
      </c>
      <c r="H298" s="76">
        <v>1</v>
      </c>
      <c r="I298" s="84">
        <f t="shared" si="15"/>
        <v>14000</v>
      </c>
      <c r="J298" s="5" t="s">
        <v>89</v>
      </c>
    </row>
    <row r="299" spans="1:10" ht="25" customHeight="1">
      <c r="A299" s="78"/>
      <c r="B299" s="79" t="s">
        <v>426</v>
      </c>
      <c r="C299" s="124" t="s">
        <v>420</v>
      </c>
      <c r="D299" s="81" t="s">
        <v>427</v>
      </c>
      <c r="E299" s="66">
        <f t="shared" si="14"/>
        <v>10</v>
      </c>
      <c r="F299" s="82" t="s">
        <v>39</v>
      </c>
      <c r="G299" s="83">
        <v>190000</v>
      </c>
      <c r="H299" s="76">
        <v>1</v>
      </c>
      <c r="I299" s="84">
        <f t="shared" si="15"/>
        <v>19000</v>
      </c>
      <c r="J299" s="5" t="s">
        <v>89</v>
      </c>
    </row>
    <row r="300" spans="1:10" ht="25" customHeight="1">
      <c r="A300" s="78"/>
      <c r="B300" s="79" t="s">
        <v>428</v>
      </c>
      <c r="C300" s="124" t="s">
        <v>420</v>
      </c>
      <c r="D300" s="81" t="s">
        <v>429</v>
      </c>
      <c r="E300" s="66">
        <f t="shared" si="14"/>
        <v>10</v>
      </c>
      <c r="F300" s="82" t="s">
        <v>39</v>
      </c>
      <c r="G300" s="83">
        <v>240000</v>
      </c>
      <c r="H300" s="76">
        <v>1</v>
      </c>
      <c r="I300" s="84">
        <f t="shared" si="15"/>
        <v>24000</v>
      </c>
      <c r="J300" s="5" t="s">
        <v>89</v>
      </c>
    </row>
    <row r="301" spans="1:10" ht="25" customHeight="1">
      <c r="A301" s="78"/>
      <c r="B301" s="79" t="s">
        <v>430</v>
      </c>
      <c r="C301" s="124" t="s">
        <v>420</v>
      </c>
      <c r="D301" s="81" t="s">
        <v>431</v>
      </c>
      <c r="E301" s="66">
        <f t="shared" si="14"/>
        <v>10</v>
      </c>
      <c r="F301" s="82" t="s">
        <v>39</v>
      </c>
      <c r="G301" s="83">
        <v>320000</v>
      </c>
      <c r="H301" s="76">
        <v>1</v>
      </c>
      <c r="I301" s="84">
        <f t="shared" si="15"/>
        <v>32000</v>
      </c>
      <c r="J301" s="5" t="s">
        <v>89</v>
      </c>
    </row>
    <row r="302" spans="1:10" ht="25" customHeight="1">
      <c r="A302" s="78"/>
      <c r="B302" s="79" t="s">
        <v>432</v>
      </c>
      <c r="C302" s="124" t="s">
        <v>420</v>
      </c>
      <c r="D302" s="81" t="s">
        <v>433</v>
      </c>
      <c r="E302" s="66">
        <f t="shared" si="14"/>
        <v>10</v>
      </c>
      <c r="F302" s="82" t="s">
        <v>39</v>
      </c>
      <c r="G302" s="83">
        <v>330000</v>
      </c>
      <c r="H302" s="76">
        <v>1</v>
      </c>
      <c r="I302" s="84">
        <f t="shared" si="15"/>
        <v>33000</v>
      </c>
      <c r="J302" s="5" t="s">
        <v>89</v>
      </c>
    </row>
    <row r="303" spans="1:10" ht="25" customHeight="1">
      <c r="A303" s="78"/>
      <c r="B303" s="79" t="s">
        <v>434</v>
      </c>
      <c r="C303" s="124" t="s">
        <v>420</v>
      </c>
      <c r="D303" s="81" t="s">
        <v>435</v>
      </c>
      <c r="E303" s="66">
        <f t="shared" si="14"/>
        <v>10</v>
      </c>
      <c r="F303" s="82" t="s">
        <v>39</v>
      </c>
      <c r="G303" s="83">
        <v>400000</v>
      </c>
      <c r="H303" s="76">
        <v>1</v>
      </c>
      <c r="I303" s="84">
        <f t="shared" si="15"/>
        <v>40000</v>
      </c>
      <c r="J303" s="5" t="s">
        <v>89</v>
      </c>
    </row>
    <row r="304" spans="1:10" ht="25" customHeight="1">
      <c r="A304" s="85"/>
      <c r="B304" s="86" t="s">
        <v>436</v>
      </c>
      <c r="C304" s="125" t="s">
        <v>420</v>
      </c>
      <c r="D304" s="88" t="s">
        <v>437</v>
      </c>
      <c r="E304" s="66">
        <f t="shared" si="14"/>
        <v>10</v>
      </c>
      <c r="F304" s="89" t="s">
        <v>39</v>
      </c>
      <c r="G304" s="90">
        <v>430000</v>
      </c>
      <c r="H304" s="76">
        <v>1</v>
      </c>
      <c r="I304" s="91">
        <f t="shared" si="15"/>
        <v>43000</v>
      </c>
      <c r="J304" s="5" t="s">
        <v>89</v>
      </c>
    </row>
    <row r="305" spans="1:10" ht="25" customHeight="1">
      <c r="A305" s="70"/>
      <c r="B305" s="71" t="s">
        <v>438</v>
      </c>
      <c r="C305" s="123" t="s">
        <v>439</v>
      </c>
      <c r="D305" s="73" t="s">
        <v>63</v>
      </c>
      <c r="E305" s="66">
        <f t="shared" si="14"/>
        <v>10</v>
      </c>
      <c r="F305" s="74" t="s">
        <v>31</v>
      </c>
      <c r="G305" s="75">
        <v>60000</v>
      </c>
      <c r="H305" s="76">
        <v>0.5</v>
      </c>
      <c r="I305" s="77">
        <f>+G305</f>
        <v>60000</v>
      </c>
      <c r="J305" s="5" t="s">
        <v>89</v>
      </c>
    </row>
    <row r="306" spans="1:10" ht="25" customHeight="1">
      <c r="A306" s="78"/>
      <c r="B306" s="79" t="s">
        <v>440</v>
      </c>
      <c r="C306" s="124" t="s">
        <v>439</v>
      </c>
      <c r="D306" s="81" t="s">
        <v>423</v>
      </c>
      <c r="E306" s="66">
        <f t="shared" si="14"/>
        <v>10</v>
      </c>
      <c r="F306" s="82" t="s">
        <v>39</v>
      </c>
      <c r="G306" s="83">
        <v>95000</v>
      </c>
      <c r="H306" s="76">
        <v>0.5</v>
      </c>
      <c r="I306" s="84">
        <f t="shared" ref="I306:I313" si="16">+G306/E306</f>
        <v>9500</v>
      </c>
      <c r="J306" s="5" t="s">
        <v>89</v>
      </c>
    </row>
    <row r="307" spans="1:10" ht="25" customHeight="1">
      <c r="A307" s="78"/>
      <c r="B307" s="79" t="s">
        <v>441</v>
      </c>
      <c r="C307" s="124" t="s">
        <v>439</v>
      </c>
      <c r="D307" s="81" t="s">
        <v>425</v>
      </c>
      <c r="E307" s="66">
        <f t="shared" si="14"/>
        <v>10</v>
      </c>
      <c r="F307" s="82" t="s">
        <v>39</v>
      </c>
      <c r="G307" s="83">
        <v>140000</v>
      </c>
      <c r="H307" s="76">
        <v>0.5</v>
      </c>
      <c r="I307" s="84">
        <f t="shared" si="16"/>
        <v>14000</v>
      </c>
      <c r="J307" s="5" t="s">
        <v>89</v>
      </c>
    </row>
    <row r="308" spans="1:10" ht="25" customHeight="1">
      <c r="A308" s="78"/>
      <c r="B308" s="79" t="s">
        <v>442</v>
      </c>
      <c r="C308" s="124" t="s">
        <v>439</v>
      </c>
      <c r="D308" s="81" t="s">
        <v>427</v>
      </c>
      <c r="E308" s="66">
        <f t="shared" si="14"/>
        <v>10</v>
      </c>
      <c r="F308" s="82" t="s">
        <v>39</v>
      </c>
      <c r="G308" s="83">
        <v>190000</v>
      </c>
      <c r="H308" s="76">
        <v>0.5</v>
      </c>
      <c r="I308" s="84">
        <f t="shared" si="16"/>
        <v>19000</v>
      </c>
      <c r="J308" s="5" t="s">
        <v>89</v>
      </c>
    </row>
    <row r="309" spans="1:10" ht="25" customHeight="1">
      <c r="A309" s="78"/>
      <c r="B309" s="79" t="s">
        <v>443</v>
      </c>
      <c r="C309" s="124" t="s">
        <v>439</v>
      </c>
      <c r="D309" s="81" t="s">
        <v>429</v>
      </c>
      <c r="E309" s="66">
        <f t="shared" si="14"/>
        <v>10</v>
      </c>
      <c r="F309" s="82" t="s">
        <v>39</v>
      </c>
      <c r="G309" s="83">
        <v>240000</v>
      </c>
      <c r="H309" s="76">
        <v>0.5</v>
      </c>
      <c r="I309" s="84">
        <f t="shared" si="16"/>
        <v>24000</v>
      </c>
      <c r="J309" s="5" t="s">
        <v>89</v>
      </c>
    </row>
    <row r="310" spans="1:10" ht="25" customHeight="1">
      <c r="A310" s="78"/>
      <c r="B310" s="79" t="s">
        <v>444</v>
      </c>
      <c r="C310" s="124" t="s">
        <v>439</v>
      </c>
      <c r="D310" s="81" t="s">
        <v>431</v>
      </c>
      <c r="E310" s="66">
        <f t="shared" si="14"/>
        <v>10</v>
      </c>
      <c r="F310" s="82" t="s">
        <v>39</v>
      </c>
      <c r="G310" s="83">
        <v>320000</v>
      </c>
      <c r="H310" s="76">
        <v>0.5</v>
      </c>
      <c r="I310" s="84">
        <f t="shared" si="16"/>
        <v>32000</v>
      </c>
      <c r="J310" s="5" t="s">
        <v>89</v>
      </c>
    </row>
    <row r="311" spans="1:10" ht="25" customHeight="1">
      <c r="A311" s="78"/>
      <c r="B311" s="79" t="s">
        <v>445</v>
      </c>
      <c r="C311" s="124" t="s">
        <v>439</v>
      </c>
      <c r="D311" s="81" t="s">
        <v>433</v>
      </c>
      <c r="E311" s="66">
        <f t="shared" si="14"/>
        <v>10</v>
      </c>
      <c r="F311" s="82" t="s">
        <v>39</v>
      </c>
      <c r="G311" s="83">
        <v>330000</v>
      </c>
      <c r="H311" s="76">
        <v>0.5</v>
      </c>
      <c r="I311" s="84">
        <f t="shared" si="16"/>
        <v>33000</v>
      </c>
      <c r="J311" s="5" t="s">
        <v>89</v>
      </c>
    </row>
    <row r="312" spans="1:10" ht="25" customHeight="1">
      <c r="A312" s="78"/>
      <c r="B312" s="79" t="s">
        <v>446</v>
      </c>
      <c r="C312" s="124" t="s">
        <v>439</v>
      </c>
      <c r="D312" s="81" t="s">
        <v>435</v>
      </c>
      <c r="E312" s="66">
        <f t="shared" si="14"/>
        <v>10</v>
      </c>
      <c r="F312" s="82" t="s">
        <v>39</v>
      </c>
      <c r="G312" s="83">
        <v>400000</v>
      </c>
      <c r="H312" s="76">
        <v>0.5</v>
      </c>
      <c r="I312" s="84">
        <f t="shared" si="16"/>
        <v>40000</v>
      </c>
      <c r="J312" s="5" t="s">
        <v>89</v>
      </c>
    </row>
    <row r="313" spans="1:10" ht="25" customHeight="1">
      <c r="A313" s="85"/>
      <c r="B313" s="86" t="s">
        <v>447</v>
      </c>
      <c r="C313" s="125" t="s">
        <v>439</v>
      </c>
      <c r="D313" s="88" t="s">
        <v>437</v>
      </c>
      <c r="E313" s="66">
        <f t="shared" si="14"/>
        <v>10</v>
      </c>
      <c r="F313" s="89" t="s">
        <v>39</v>
      </c>
      <c r="G313" s="90">
        <v>430000</v>
      </c>
      <c r="H313" s="76">
        <v>0.5</v>
      </c>
      <c r="I313" s="91">
        <f t="shared" si="16"/>
        <v>43000</v>
      </c>
      <c r="J313" s="5" t="s">
        <v>89</v>
      </c>
    </row>
    <row r="314" spans="1:10" s="51" customFormat="1" ht="25" customHeight="1">
      <c r="A314" s="63"/>
      <c r="B314" s="106"/>
      <c r="C314" s="107" t="s">
        <v>448</v>
      </c>
      <c r="D314" s="108"/>
      <c r="E314" s="66"/>
      <c r="F314" s="66"/>
      <c r="G314" s="109"/>
      <c r="H314" s="69"/>
      <c r="I314" s="68"/>
      <c r="J314" s="5" t="s">
        <v>89</v>
      </c>
    </row>
    <row r="315" spans="1:10" ht="25" customHeight="1">
      <c r="A315" s="70"/>
      <c r="B315" s="71" t="s">
        <v>449</v>
      </c>
      <c r="C315" s="123" t="s">
        <v>450</v>
      </c>
      <c r="D315" s="73" t="s">
        <v>63</v>
      </c>
      <c r="E315" s="74"/>
      <c r="F315" s="74" t="s">
        <v>31</v>
      </c>
      <c r="G315" s="75">
        <v>45000</v>
      </c>
      <c r="H315" s="76">
        <v>1</v>
      </c>
      <c r="I315" s="77">
        <f>+G315</f>
        <v>45000</v>
      </c>
      <c r="J315" s="5" t="s">
        <v>89</v>
      </c>
    </row>
    <row r="316" spans="1:10" ht="25" customHeight="1">
      <c r="A316" s="78"/>
      <c r="B316" s="79" t="s">
        <v>451</v>
      </c>
      <c r="C316" s="124" t="s">
        <v>450</v>
      </c>
      <c r="D316" s="81" t="s">
        <v>66</v>
      </c>
      <c r="E316" s="82">
        <v>1</v>
      </c>
      <c r="F316" s="82" t="s">
        <v>39</v>
      </c>
      <c r="G316" s="83">
        <v>55000</v>
      </c>
      <c r="H316" s="76">
        <v>1</v>
      </c>
      <c r="I316" s="84">
        <f t="shared" ref="I316:I332" si="17">+G316/E316</f>
        <v>55000</v>
      </c>
      <c r="J316" s="5" t="s">
        <v>89</v>
      </c>
    </row>
    <row r="317" spans="1:10" ht="25" customHeight="1">
      <c r="A317" s="78"/>
      <c r="B317" s="79" t="s">
        <v>452</v>
      </c>
      <c r="C317" s="124" t="s">
        <v>450</v>
      </c>
      <c r="D317" s="81" t="s">
        <v>68</v>
      </c>
      <c r="E317" s="82">
        <v>2</v>
      </c>
      <c r="F317" s="82" t="s">
        <v>39</v>
      </c>
      <c r="G317" s="83">
        <v>120000</v>
      </c>
      <c r="H317" s="76">
        <v>1</v>
      </c>
      <c r="I317" s="84">
        <f t="shared" si="17"/>
        <v>60000</v>
      </c>
      <c r="J317" s="5" t="s">
        <v>89</v>
      </c>
    </row>
    <row r="318" spans="1:10" ht="25" customHeight="1">
      <c r="A318" s="78"/>
      <c r="B318" s="79" t="s">
        <v>453</v>
      </c>
      <c r="C318" s="124" t="s">
        <v>450</v>
      </c>
      <c r="D318" s="81" t="s">
        <v>454</v>
      </c>
      <c r="E318" s="82">
        <v>2</v>
      </c>
      <c r="F318" s="82" t="s">
        <v>39</v>
      </c>
      <c r="G318" s="83">
        <v>145000</v>
      </c>
      <c r="H318" s="76">
        <v>1</v>
      </c>
      <c r="I318" s="84">
        <f t="shared" si="17"/>
        <v>72500</v>
      </c>
      <c r="J318" s="5" t="s">
        <v>89</v>
      </c>
    </row>
    <row r="319" spans="1:10" ht="25" customHeight="1">
      <c r="A319" s="78"/>
      <c r="B319" s="79" t="s">
        <v>455</v>
      </c>
      <c r="C319" s="124" t="s">
        <v>450</v>
      </c>
      <c r="D319" s="81" t="s">
        <v>456</v>
      </c>
      <c r="E319" s="82">
        <v>2.5</v>
      </c>
      <c r="F319" s="82" t="s">
        <v>39</v>
      </c>
      <c r="G319" s="83">
        <v>190000</v>
      </c>
      <c r="H319" s="76">
        <v>1</v>
      </c>
      <c r="I319" s="84">
        <f t="shared" si="17"/>
        <v>76000</v>
      </c>
      <c r="J319" s="5" t="s">
        <v>89</v>
      </c>
    </row>
    <row r="320" spans="1:10" ht="25" customHeight="1">
      <c r="A320" s="78"/>
      <c r="B320" s="79" t="s">
        <v>457</v>
      </c>
      <c r="C320" s="124" t="s">
        <v>450</v>
      </c>
      <c r="D320" s="81" t="s">
        <v>458</v>
      </c>
      <c r="E320" s="82">
        <v>3</v>
      </c>
      <c r="F320" s="82" t="s">
        <v>39</v>
      </c>
      <c r="G320" s="83">
        <v>250000</v>
      </c>
      <c r="H320" s="76">
        <v>1</v>
      </c>
      <c r="I320" s="84">
        <f t="shared" si="17"/>
        <v>83333.333333333328</v>
      </c>
      <c r="J320" s="5" t="s">
        <v>89</v>
      </c>
    </row>
    <row r="321" spans="1:10" ht="25" customHeight="1">
      <c r="A321" s="78"/>
      <c r="B321" s="79" t="s">
        <v>459</v>
      </c>
      <c r="C321" s="124" t="s">
        <v>450</v>
      </c>
      <c r="D321" s="81" t="s">
        <v>460</v>
      </c>
      <c r="E321" s="82">
        <v>3.5</v>
      </c>
      <c r="F321" s="82" t="s">
        <v>39</v>
      </c>
      <c r="G321" s="83">
        <v>320000</v>
      </c>
      <c r="H321" s="76">
        <v>1</v>
      </c>
      <c r="I321" s="84">
        <f t="shared" si="17"/>
        <v>91428.571428571435</v>
      </c>
      <c r="J321" s="5" t="s">
        <v>89</v>
      </c>
    </row>
    <row r="322" spans="1:10" ht="25" customHeight="1">
      <c r="A322" s="78"/>
      <c r="B322" s="79" t="s">
        <v>461</v>
      </c>
      <c r="C322" s="124" t="s">
        <v>450</v>
      </c>
      <c r="D322" s="81" t="s">
        <v>462</v>
      </c>
      <c r="E322" s="82">
        <v>4</v>
      </c>
      <c r="F322" s="82" t="s">
        <v>39</v>
      </c>
      <c r="G322" s="83">
        <v>380000</v>
      </c>
      <c r="H322" s="76">
        <v>1</v>
      </c>
      <c r="I322" s="84">
        <f t="shared" si="17"/>
        <v>95000</v>
      </c>
      <c r="J322" s="5" t="s">
        <v>89</v>
      </c>
    </row>
    <row r="323" spans="1:10" ht="25" customHeight="1">
      <c r="A323" s="85"/>
      <c r="B323" s="86" t="s">
        <v>463</v>
      </c>
      <c r="C323" s="125" t="s">
        <v>450</v>
      </c>
      <c r="D323" s="88" t="s">
        <v>464</v>
      </c>
      <c r="E323" s="89">
        <v>4</v>
      </c>
      <c r="F323" s="89" t="s">
        <v>39</v>
      </c>
      <c r="G323" s="90">
        <v>400000</v>
      </c>
      <c r="H323" s="76">
        <v>1</v>
      </c>
      <c r="I323" s="91">
        <f t="shared" si="17"/>
        <v>100000</v>
      </c>
      <c r="J323" s="5" t="s">
        <v>89</v>
      </c>
    </row>
    <row r="324" spans="1:10" ht="25" customHeight="1">
      <c r="A324" s="70"/>
      <c r="B324" s="71" t="s">
        <v>465</v>
      </c>
      <c r="C324" s="123" t="s">
        <v>466</v>
      </c>
      <c r="D324" s="73" t="s">
        <v>66</v>
      </c>
      <c r="E324" s="82">
        <v>1</v>
      </c>
      <c r="F324" s="82" t="s">
        <v>39</v>
      </c>
      <c r="G324" s="83">
        <v>55000</v>
      </c>
      <c r="H324" s="76">
        <v>0.5</v>
      </c>
      <c r="I324" s="77">
        <f t="shared" si="17"/>
        <v>55000</v>
      </c>
      <c r="J324" s="5" t="s">
        <v>89</v>
      </c>
    </row>
    <row r="325" spans="1:10" ht="25" customHeight="1">
      <c r="A325" s="78"/>
      <c r="B325" s="79" t="s">
        <v>467</v>
      </c>
      <c r="C325" s="124" t="s">
        <v>466</v>
      </c>
      <c r="D325" s="81" t="s">
        <v>68</v>
      </c>
      <c r="E325" s="82">
        <v>2</v>
      </c>
      <c r="F325" s="82" t="s">
        <v>39</v>
      </c>
      <c r="G325" s="83">
        <v>120000</v>
      </c>
      <c r="H325" s="76">
        <v>0.5</v>
      </c>
      <c r="I325" s="84">
        <f t="shared" si="17"/>
        <v>60000</v>
      </c>
      <c r="J325" s="5" t="s">
        <v>89</v>
      </c>
    </row>
    <row r="326" spans="1:10" ht="25" customHeight="1">
      <c r="A326" s="78"/>
      <c r="B326" s="79" t="s">
        <v>468</v>
      </c>
      <c r="C326" s="124" t="s">
        <v>466</v>
      </c>
      <c r="D326" s="81" t="s">
        <v>454</v>
      </c>
      <c r="E326" s="82">
        <v>2</v>
      </c>
      <c r="F326" s="82" t="s">
        <v>39</v>
      </c>
      <c r="G326" s="83">
        <v>145000</v>
      </c>
      <c r="H326" s="76">
        <v>0.5</v>
      </c>
      <c r="I326" s="84">
        <f t="shared" si="17"/>
        <v>72500</v>
      </c>
      <c r="J326" s="5" t="s">
        <v>89</v>
      </c>
    </row>
    <row r="327" spans="1:10" ht="25" customHeight="1">
      <c r="A327" s="78"/>
      <c r="B327" s="79" t="s">
        <v>469</v>
      </c>
      <c r="C327" s="124" t="s">
        <v>466</v>
      </c>
      <c r="D327" s="81" t="s">
        <v>456</v>
      </c>
      <c r="E327" s="82">
        <v>2.5</v>
      </c>
      <c r="F327" s="82" t="s">
        <v>39</v>
      </c>
      <c r="G327" s="83">
        <v>190000</v>
      </c>
      <c r="H327" s="76">
        <v>0.5</v>
      </c>
      <c r="I327" s="84">
        <f t="shared" si="17"/>
        <v>76000</v>
      </c>
      <c r="J327" s="5" t="s">
        <v>89</v>
      </c>
    </row>
    <row r="328" spans="1:10" ht="25" customHeight="1">
      <c r="A328" s="78"/>
      <c r="B328" s="79" t="s">
        <v>470</v>
      </c>
      <c r="C328" s="124" t="s">
        <v>466</v>
      </c>
      <c r="D328" s="81" t="s">
        <v>458</v>
      </c>
      <c r="E328" s="82">
        <v>3</v>
      </c>
      <c r="F328" s="82" t="s">
        <v>39</v>
      </c>
      <c r="G328" s="83">
        <v>250000</v>
      </c>
      <c r="H328" s="76">
        <v>0.5</v>
      </c>
      <c r="I328" s="84">
        <f t="shared" si="17"/>
        <v>83333.333333333328</v>
      </c>
      <c r="J328" s="5" t="s">
        <v>89</v>
      </c>
    </row>
    <row r="329" spans="1:10" ht="25" customHeight="1">
      <c r="A329" s="78"/>
      <c r="B329" s="79" t="s">
        <v>471</v>
      </c>
      <c r="C329" s="124" t="s">
        <v>466</v>
      </c>
      <c r="D329" s="81" t="s">
        <v>460</v>
      </c>
      <c r="E329" s="82">
        <v>3.5</v>
      </c>
      <c r="F329" s="82" t="s">
        <v>39</v>
      </c>
      <c r="G329" s="83">
        <v>320000</v>
      </c>
      <c r="H329" s="76">
        <v>0.5</v>
      </c>
      <c r="I329" s="84">
        <f t="shared" si="17"/>
        <v>91428.571428571435</v>
      </c>
      <c r="J329" s="5" t="s">
        <v>89</v>
      </c>
    </row>
    <row r="330" spans="1:10" ht="25" customHeight="1">
      <c r="A330" s="78"/>
      <c r="B330" s="79" t="s">
        <v>472</v>
      </c>
      <c r="C330" s="124" t="s">
        <v>466</v>
      </c>
      <c r="D330" s="81" t="s">
        <v>462</v>
      </c>
      <c r="E330" s="82">
        <v>4</v>
      </c>
      <c r="F330" s="82" t="s">
        <v>39</v>
      </c>
      <c r="G330" s="83">
        <v>380000</v>
      </c>
      <c r="H330" s="76">
        <v>0.5</v>
      </c>
      <c r="I330" s="84">
        <f t="shared" si="17"/>
        <v>95000</v>
      </c>
      <c r="J330" s="5" t="s">
        <v>89</v>
      </c>
    </row>
    <row r="331" spans="1:10" ht="25" customHeight="1">
      <c r="A331" s="85"/>
      <c r="B331" s="86" t="s">
        <v>473</v>
      </c>
      <c r="C331" s="125" t="s">
        <v>466</v>
      </c>
      <c r="D331" s="88" t="s">
        <v>464</v>
      </c>
      <c r="E331" s="89">
        <v>4</v>
      </c>
      <c r="F331" s="89" t="s">
        <v>39</v>
      </c>
      <c r="G331" s="90">
        <v>400000</v>
      </c>
      <c r="H331" s="76">
        <v>0.5</v>
      </c>
      <c r="I331" s="91">
        <f t="shared" si="17"/>
        <v>100000</v>
      </c>
      <c r="J331" s="5" t="s">
        <v>89</v>
      </c>
    </row>
    <row r="332" spans="1:10" ht="25" customHeight="1">
      <c r="A332" s="78"/>
      <c r="B332" s="79" t="s">
        <v>474</v>
      </c>
      <c r="C332" s="124" t="s">
        <v>475</v>
      </c>
      <c r="D332" s="81" t="s">
        <v>68</v>
      </c>
      <c r="E332" s="82">
        <v>2</v>
      </c>
      <c r="F332" s="82" t="s">
        <v>39</v>
      </c>
      <c r="G332" s="83">
        <v>120000</v>
      </c>
      <c r="H332" s="110">
        <v>0.3</v>
      </c>
      <c r="I332" s="84">
        <f t="shared" si="17"/>
        <v>60000</v>
      </c>
      <c r="J332" s="5" t="s">
        <v>89</v>
      </c>
    </row>
    <row r="333" spans="1:10" s="51" customFormat="1" ht="25" customHeight="1">
      <c r="A333" s="63"/>
      <c r="B333" s="106"/>
      <c r="C333" s="107" t="s">
        <v>476</v>
      </c>
      <c r="D333" s="108"/>
      <c r="E333" s="66"/>
      <c r="F333" s="66"/>
      <c r="G333" s="109"/>
      <c r="H333" s="69"/>
      <c r="I333" s="68"/>
      <c r="J333" s="5" t="s">
        <v>89</v>
      </c>
    </row>
    <row r="334" spans="1:10" ht="25" customHeight="1">
      <c r="A334" s="70"/>
      <c r="B334" s="71" t="s">
        <v>477</v>
      </c>
      <c r="C334" s="123" t="s">
        <v>38</v>
      </c>
      <c r="D334" s="73" t="s">
        <v>478</v>
      </c>
      <c r="E334" s="74"/>
      <c r="F334" s="74" t="s">
        <v>39</v>
      </c>
      <c r="G334" s="75">
        <v>30000</v>
      </c>
      <c r="H334" s="76">
        <v>1</v>
      </c>
      <c r="I334" s="77">
        <f>+G334</f>
        <v>30000</v>
      </c>
      <c r="J334" s="5" t="s">
        <v>89</v>
      </c>
    </row>
    <row r="335" spans="1:10" ht="25" customHeight="1">
      <c r="A335" s="78"/>
      <c r="B335" s="79" t="s">
        <v>479</v>
      </c>
      <c r="C335" s="124" t="s">
        <v>38</v>
      </c>
      <c r="D335" s="81" t="s">
        <v>480</v>
      </c>
      <c r="E335" s="82"/>
      <c r="F335" s="82" t="s">
        <v>39</v>
      </c>
      <c r="G335" s="83">
        <v>60000</v>
      </c>
      <c r="H335" s="76">
        <v>1</v>
      </c>
      <c r="I335" s="84" t="e">
        <f>+G335/E335</f>
        <v>#DIV/0!</v>
      </c>
      <c r="J335" s="5" t="s">
        <v>89</v>
      </c>
    </row>
    <row r="336" spans="1:10" ht="25" customHeight="1">
      <c r="A336" s="78"/>
      <c r="B336" s="79" t="s">
        <v>481</v>
      </c>
      <c r="C336" s="124" t="s">
        <v>38</v>
      </c>
      <c r="D336" s="81" t="s">
        <v>482</v>
      </c>
      <c r="E336" s="82"/>
      <c r="F336" s="82" t="s">
        <v>39</v>
      </c>
      <c r="G336" s="83">
        <v>80000</v>
      </c>
      <c r="H336" s="76">
        <v>1</v>
      </c>
      <c r="I336" s="84" t="e">
        <f>+G336/E336</f>
        <v>#DIV/0!</v>
      </c>
      <c r="J336" s="5" t="s">
        <v>89</v>
      </c>
    </row>
    <row r="337" spans="1:10" s="48" customFormat="1" ht="25" customHeight="1">
      <c r="A337" s="12"/>
      <c r="B337" s="12"/>
      <c r="C337" s="253" t="s">
        <v>483</v>
      </c>
      <c r="D337" s="12"/>
      <c r="E337" s="13"/>
      <c r="F337" s="12"/>
      <c r="G337" s="14"/>
      <c r="H337" s="15"/>
      <c r="I337" s="14"/>
    </row>
    <row r="338" spans="1:10" s="51" customFormat="1" ht="25" customHeight="1">
      <c r="A338" s="63">
        <v>26</v>
      </c>
      <c r="B338" s="106"/>
      <c r="C338" s="107" t="s">
        <v>484</v>
      </c>
      <c r="D338" s="108"/>
      <c r="E338" s="66"/>
      <c r="F338" s="66"/>
      <c r="G338" s="109"/>
      <c r="H338" s="69"/>
      <c r="I338" s="68"/>
    </row>
    <row r="339" spans="1:10" ht="25" customHeight="1">
      <c r="A339" s="70"/>
      <c r="B339" s="71" t="s">
        <v>485</v>
      </c>
      <c r="C339" s="123" t="s">
        <v>484</v>
      </c>
      <c r="D339" s="73" t="s">
        <v>63</v>
      </c>
      <c r="E339" s="74"/>
      <c r="F339" s="74" t="s">
        <v>31</v>
      </c>
      <c r="G339" s="75">
        <v>45000</v>
      </c>
      <c r="H339" s="76">
        <v>1</v>
      </c>
      <c r="I339" s="77"/>
      <c r="J339" s="5" t="s">
        <v>89</v>
      </c>
    </row>
    <row r="340" spans="1:10" ht="25" customHeight="1">
      <c r="A340" s="78"/>
      <c r="B340" s="79" t="s">
        <v>486</v>
      </c>
      <c r="C340" s="124" t="s">
        <v>484</v>
      </c>
      <c r="D340" s="81" t="s">
        <v>478</v>
      </c>
      <c r="E340" s="82"/>
      <c r="F340" s="82" t="s">
        <v>39</v>
      </c>
      <c r="G340" s="83">
        <v>80000</v>
      </c>
      <c r="H340" s="76">
        <v>1</v>
      </c>
      <c r="I340" s="84" t="e">
        <f>+G340/E340</f>
        <v>#DIV/0!</v>
      </c>
      <c r="J340" s="5" t="s">
        <v>89</v>
      </c>
    </row>
    <row r="341" spans="1:10" ht="25" customHeight="1">
      <c r="A341" s="78"/>
      <c r="B341" s="79" t="s">
        <v>487</v>
      </c>
      <c r="C341" s="124" t="s">
        <v>484</v>
      </c>
      <c r="D341" s="81" t="s">
        <v>480</v>
      </c>
      <c r="E341" s="82"/>
      <c r="F341" s="82" t="s">
        <v>39</v>
      </c>
      <c r="G341" s="83">
        <v>240000</v>
      </c>
      <c r="H341" s="76">
        <v>1</v>
      </c>
      <c r="I341" s="84" t="e">
        <f>+G341/E341</f>
        <v>#DIV/0!</v>
      </c>
      <c r="J341" s="5" t="s">
        <v>89</v>
      </c>
    </row>
    <row r="342" spans="1:10" ht="25" customHeight="1">
      <c r="A342" s="78"/>
      <c r="B342" s="79" t="s">
        <v>488</v>
      </c>
      <c r="C342" s="124" t="s">
        <v>484</v>
      </c>
      <c r="D342" s="81" t="s">
        <v>489</v>
      </c>
      <c r="E342" s="82"/>
      <c r="F342" s="82" t="s">
        <v>39</v>
      </c>
      <c r="G342" s="83">
        <v>380000</v>
      </c>
      <c r="H342" s="76">
        <v>1</v>
      </c>
      <c r="I342" s="84" t="e">
        <f>+G342/E342</f>
        <v>#DIV/0!</v>
      </c>
      <c r="J342" s="5" t="s">
        <v>89</v>
      </c>
    </row>
    <row r="343" spans="1:10" ht="25" customHeight="1">
      <c r="A343" s="78"/>
      <c r="B343" s="79" t="s">
        <v>490</v>
      </c>
      <c r="C343" s="124" t="s">
        <v>484</v>
      </c>
      <c r="D343" s="81" t="s">
        <v>491</v>
      </c>
      <c r="E343" s="82"/>
      <c r="F343" s="82" t="s">
        <v>39</v>
      </c>
      <c r="G343" s="83">
        <v>450000</v>
      </c>
      <c r="H343" s="76">
        <v>1</v>
      </c>
      <c r="I343" s="84" t="e">
        <f>+G343/E343</f>
        <v>#DIV/0!</v>
      </c>
      <c r="J343" s="5" t="s">
        <v>89</v>
      </c>
    </row>
    <row r="344" spans="1:10" ht="25" customHeight="1">
      <c r="A344" s="85"/>
      <c r="B344" s="86" t="s">
        <v>492</v>
      </c>
      <c r="C344" s="125" t="s">
        <v>484</v>
      </c>
      <c r="D344" s="88" t="s">
        <v>493</v>
      </c>
      <c r="E344" s="89"/>
      <c r="F344" s="89" t="s">
        <v>39</v>
      </c>
      <c r="G344" s="90">
        <v>650000</v>
      </c>
      <c r="H344" s="76">
        <v>1</v>
      </c>
      <c r="I344" s="91" t="e">
        <f>+G344/E344</f>
        <v>#DIV/0!</v>
      </c>
      <c r="J344" s="5" t="s">
        <v>89</v>
      </c>
    </row>
    <row r="345" spans="1:10" ht="25" customHeight="1">
      <c r="A345" s="70"/>
      <c r="B345" s="71" t="s">
        <v>494</v>
      </c>
      <c r="C345" s="123" t="s">
        <v>495</v>
      </c>
      <c r="D345" s="73" t="s">
        <v>63</v>
      </c>
      <c r="E345" s="74"/>
      <c r="F345" s="74" t="s">
        <v>31</v>
      </c>
      <c r="G345" s="75">
        <v>45000</v>
      </c>
      <c r="H345" s="76">
        <v>0.5</v>
      </c>
      <c r="I345" s="77"/>
      <c r="J345" s="5" t="s">
        <v>89</v>
      </c>
    </row>
    <row r="346" spans="1:10" ht="25" customHeight="1">
      <c r="A346" s="78"/>
      <c r="B346" s="79" t="s">
        <v>496</v>
      </c>
      <c r="C346" s="124" t="s">
        <v>495</v>
      </c>
      <c r="D346" s="81" t="s">
        <v>478</v>
      </c>
      <c r="E346" s="82"/>
      <c r="F346" s="82" t="s">
        <v>39</v>
      </c>
      <c r="G346" s="83">
        <v>80000</v>
      </c>
      <c r="H346" s="76">
        <v>0.5</v>
      </c>
      <c r="I346" s="84" t="e">
        <f>+G346/E346</f>
        <v>#DIV/0!</v>
      </c>
      <c r="J346" s="5" t="s">
        <v>89</v>
      </c>
    </row>
    <row r="347" spans="1:10" ht="25" customHeight="1">
      <c r="A347" s="78"/>
      <c r="B347" s="79" t="s">
        <v>497</v>
      </c>
      <c r="C347" s="124" t="s">
        <v>495</v>
      </c>
      <c r="D347" s="81" t="s">
        <v>480</v>
      </c>
      <c r="E347" s="82"/>
      <c r="F347" s="82" t="s">
        <v>39</v>
      </c>
      <c r="G347" s="83">
        <v>240000</v>
      </c>
      <c r="H347" s="76">
        <v>0.5</v>
      </c>
      <c r="I347" s="84" t="e">
        <f>+G347/E347</f>
        <v>#DIV/0!</v>
      </c>
      <c r="J347" s="5" t="s">
        <v>89</v>
      </c>
    </row>
    <row r="348" spans="1:10" ht="25" customHeight="1">
      <c r="A348" s="78"/>
      <c r="B348" s="79" t="s">
        <v>498</v>
      </c>
      <c r="C348" s="124" t="s">
        <v>495</v>
      </c>
      <c r="D348" s="81" t="s">
        <v>499</v>
      </c>
      <c r="E348" s="82"/>
      <c r="F348" s="82" t="s">
        <v>39</v>
      </c>
      <c r="G348" s="83">
        <v>380000</v>
      </c>
      <c r="H348" s="76">
        <v>0.5</v>
      </c>
      <c r="I348" s="84" t="e">
        <f>+G348/E348</f>
        <v>#DIV/0!</v>
      </c>
      <c r="J348" s="5" t="s">
        <v>89</v>
      </c>
    </row>
    <row r="349" spans="1:10" ht="25" customHeight="1">
      <c r="A349" s="78"/>
      <c r="B349" s="79" t="s">
        <v>500</v>
      </c>
      <c r="C349" s="124" t="s">
        <v>495</v>
      </c>
      <c r="D349" s="81" t="s">
        <v>491</v>
      </c>
      <c r="E349" s="82"/>
      <c r="F349" s="82" t="s">
        <v>39</v>
      </c>
      <c r="G349" s="83">
        <v>450000</v>
      </c>
      <c r="H349" s="76">
        <v>0.5</v>
      </c>
      <c r="I349" s="84" t="e">
        <f>+G349/E349</f>
        <v>#DIV/0!</v>
      </c>
      <c r="J349" s="5" t="s">
        <v>89</v>
      </c>
    </row>
    <row r="350" spans="1:10" ht="25" customHeight="1">
      <c r="A350" s="85"/>
      <c r="B350" s="86" t="s">
        <v>501</v>
      </c>
      <c r="C350" s="125" t="s">
        <v>495</v>
      </c>
      <c r="D350" s="88" t="s">
        <v>493</v>
      </c>
      <c r="E350" s="89"/>
      <c r="F350" s="89" t="s">
        <v>39</v>
      </c>
      <c r="G350" s="90">
        <v>650000</v>
      </c>
      <c r="H350" s="76">
        <v>0.5</v>
      </c>
      <c r="I350" s="91" t="e">
        <f>+G350/E350</f>
        <v>#DIV/0!</v>
      </c>
      <c r="J350" s="5" t="s">
        <v>89</v>
      </c>
    </row>
    <row r="351" spans="1:10" s="51" customFormat="1" ht="25" customHeight="1">
      <c r="A351" s="63">
        <v>26</v>
      </c>
      <c r="B351" s="106"/>
      <c r="C351" s="107" t="s">
        <v>502</v>
      </c>
      <c r="D351" s="108"/>
      <c r="E351" s="66"/>
      <c r="F351" s="66"/>
      <c r="G351" s="109"/>
      <c r="H351" s="69"/>
      <c r="I351" s="68"/>
      <c r="J351" s="5" t="s">
        <v>89</v>
      </c>
    </row>
    <row r="352" spans="1:10" ht="25" customHeight="1">
      <c r="A352" s="70"/>
      <c r="B352" s="71" t="s">
        <v>503</v>
      </c>
      <c r="C352" s="123" t="s">
        <v>502</v>
      </c>
      <c r="D352" s="73" t="s">
        <v>63</v>
      </c>
      <c r="E352" s="74"/>
      <c r="F352" s="74" t="s">
        <v>31</v>
      </c>
      <c r="G352" s="75">
        <v>45000</v>
      </c>
      <c r="H352" s="76">
        <v>1</v>
      </c>
      <c r="I352" s="77"/>
      <c r="J352" s="5" t="s">
        <v>89</v>
      </c>
    </row>
    <row r="353" spans="1:10" ht="25" customHeight="1">
      <c r="A353" s="78"/>
      <c r="B353" s="79" t="s">
        <v>504</v>
      </c>
      <c r="C353" s="123" t="s">
        <v>502</v>
      </c>
      <c r="D353" s="81" t="s">
        <v>478</v>
      </c>
      <c r="E353" s="82"/>
      <c r="F353" s="82" t="s">
        <v>39</v>
      </c>
      <c r="G353" s="83">
        <v>80000</v>
      </c>
      <c r="H353" s="76">
        <v>1</v>
      </c>
      <c r="I353" s="84" t="e">
        <f>+G353/E353</f>
        <v>#DIV/0!</v>
      </c>
      <c r="J353" s="5" t="s">
        <v>89</v>
      </c>
    </row>
    <row r="354" spans="1:10" ht="25" customHeight="1">
      <c r="A354" s="78"/>
      <c r="B354" s="79" t="s">
        <v>505</v>
      </c>
      <c r="C354" s="123" t="s">
        <v>502</v>
      </c>
      <c r="D354" s="81" t="s">
        <v>480</v>
      </c>
      <c r="E354" s="82"/>
      <c r="F354" s="82" t="s">
        <v>39</v>
      </c>
      <c r="G354" s="83">
        <v>240000</v>
      </c>
      <c r="H354" s="76">
        <v>1</v>
      </c>
      <c r="I354" s="84" t="e">
        <f>+G354/E354</f>
        <v>#DIV/0!</v>
      </c>
      <c r="J354" s="5" t="s">
        <v>89</v>
      </c>
    </row>
    <row r="355" spans="1:10" ht="25" customHeight="1">
      <c r="A355" s="78"/>
      <c r="B355" s="79" t="s">
        <v>506</v>
      </c>
      <c r="C355" s="123" t="s">
        <v>502</v>
      </c>
      <c r="D355" s="81" t="s">
        <v>489</v>
      </c>
      <c r="E355" s="82"/>
      <c r="F355" s="82" t="s">
        <v>39</v>
      </c>
      <c r="G355" s="83">
        <v>380000</v>
      </c>
      <c r="H355" s="76">
        <v>1</v>
      </c>
      <c r="I355" s="84" t="e">
        <f>+G355/E355</f>
        <v>#DIV/0!</v>
      </c>
      <c r="J355" s="5" t="s">
        <v>89</v>
      </c>
    </row>
    <row r="356" spans="1:10" ht="25" customHeight="1">
      <c r="A356" s="78"/>
      <c r="B356" s="79" t="s">
        <v>507</v>
      </c>
      <c r="C356" s="123" t="s">
        <v>502</v>
      </c>
      <c r="D356" s="81" t="s">
        <v>491</v>
      </c>
      <c r="E356" s="82"/>
      <c r="F356" s="82" t="s">
        <v>39</v>
      </c>
      <c r="G356" s="83">
        <v>450000</v>
      </c>
      <c r="H356" s="76">
        <v>1</v>
      </c>
      <c r="I356" s="84" t="e">
        <f>+G356/E356</f>
        <v>#DIV/0!</v>
      </c>
      <c r="J356" s="5" t="s">
        <v>89</v>
      </c>
    </row>
    <row r="357" spans="1:10" ht="25" customHeight="1">
      <c r="A357" s="85"/>
      <c r="B357" s="86" t="s">
        <v>508</v>
      </c>
      <c r="C357" s="123" t="s">
        <v>502</v>
      </c>
      <c r="D357" s="88" t="s">
        <v>493</v>
      </c>
      <c r="E357" s="89"/>
      <c r="F357" s="89" t="s">
        <v>39</v>
      </c>
      <c r="G357" s="90">
        <v>650000</v>
      </c>
      <c r="H357" s="76">
        <v>1</v>
      </c>
      <c r="I357" s="91" t="e">
        <f>+G357/E357</f>
        <v>#DIV/0!</v>
      </c>
      <c r="J357" s="5" t="s">
        <v>89</v>
      </c>
    </row>
    <row r="358" spans="1:10" ht="25" customHeight="1">
      <c r="A358" s="70"/>
      <c r="B358" s="71" t="s">
        <v>509</v>
      </c>
      <c r="C358" s="123" t="s">
        <v>510</v>
      </c>
      <c r="D358" s="73" t="s">
        <v>63</v>
      </c>
      <c r="E358" s="74"/>
      <c r="F358" s="74" t="s">
        <v>31</v>
      </c>
      <c r="G358" s="75">
        <v>45000</v>
      </c>
      <c r="H358" s="76">
        <v>0.5</v>
      </c>
      <c r="I358" s="77"/>
      <c r="J358" s="5" t="s">
        <v>89</v>
      </c>
    </row>
    <row r="359" spans="1:10" ht="25" customHeight="1">
      <c r="A359" s="78"/>
      <c r="B359" s="79" t="s">
        <v>511</v>
      </c>
      <c r="C359" s="123" t="s">
        <v>510</v>
      </c>
      <c r="D359" s="81" t="s">
        <v>478</v>
      </c>
      <c r="E359" s="82"/>
      <c r="F359" s="82" t="s">
        <v>39</v>
      </c>
      <c r="G359" s="83">
        <v>80000</v>
      </c>
      <c r="H359" s="76">
        <v>0.5</v>
      </c>
      <c r="I359" s="84" t="e">
        <f>+G359/E359</f>
        <v>#DIV/0!</v>
      </c>
      <c r="J359" s="5" t="s">
        <v>89</v>
      </c>
    </row>
    <row r="360" spans="1:10" ht="25" customHeight="1">
      <c r="A360" s="78"/>
      <c r="B360" s="79" t="s">
        <v>512</v>
      </c>
      <c r="C360" s="123" t="s">
        <v>510</v>
      </c>
      <c r="D360" s="81" t="s">
        <v>480</v>
      </c>
      <c r="E360" s="82"/>
      <c r="F360" s="82" t="s">
        <v>39</v>
      </c>
      <c r="G360" s="83">
        <v>240000</v>
      </c>
      <c r="H360" s="76">
        <v>0.5</v>
      </c>
      <c r="I360" s="84" t="e">
        <f>+G360/E360</f>
        <v>#DIV/0!</v>
      </c>
      <c r="J360" s="5" t="s">
        <v>89</v>
      </c>
    </row>
    <row r="361" spans="1:10" ht="25" customHeight="1">
      <c r="A361" s="78"/>
      <c r="B361" s="79" t="s">
        <v>513</v>
      </c>
      <c r="C361" s="123" t="s">
        <v>510</v>
      </c>
      <c r="D361" s="81" t="s">
        <v>489</v>
      </c>
      <c r="E361" s="82"/>
      <c r="F361" s="82" t="s">
        <v>39</v>
      </c>
      <c r="G361" s="83">
        <v>380000</v>
      </c>
      <c r="H361" s="76">
        <v>0.5</v>
      </c>
      <c r="I361" s="84" t="e">
        <f>+G361/E361</f>
        <v>#DIV/0!</v>
      </c>
      <c r="J361" s="5" t="s">
        <v>89</v>
      </c>
    </row>
    <row r="362" spans="1:10" ht="25" customHeight="1">
      <c r="A362" s="78"/>
      <c r="B362" s="79" t="s">
        <v>514</v>
      </c>
      <c r="C362" s="123" t="s">
        <v>510</v>
      </c>
      <c r="D362" s="81" t="s">
        <v>491</v>
      </c>
      <c r="E362" s="82"/>
      <c r="F362" s="82" t="s">
        <v>39</v>
      </c>
      <c r="G362" s="83">
        <v>450000</v>
      </c>
      <c r="H362" s="76">
        <v>0.5</v>
      </c>
      <c r="I362" s="84" t="e">
        <f>+G362/E362</f>
        <v>#DIV/0!</v>
      </c>
      <c r="J362" s="5" t="s">
        <v>89</v>
      </c>
    </row>
    <row r="363" spans="1:10" ht="25" customHeight="1">
      <c r="A363" s="85"/>
      <c r="B363" s="86" t="s">
        <v>515</v>
      </c>
      <c r="C363" s="123" t="s">
        <v>510</v>
      </c>
      <c r="D363" s="88" t="s">
        <v>493</v>
      </c>
      <c r="E363" s="89"/>
      <c r="F363" s="89" t="s">
        <v>39</v>
      </c>
      <c r="G363" s="90">
        <v>650000</v>
      </c>
      <c r="H363" s="76">
        <v>0.5</v>
      </c>
      <c r="I363" s="91" t="e">
        <f>+G363/E363</f>
        <v>#DIV/0!</v>
      </c>
      <c r="J363" s="5" t="s">
        <v>89</v>
      </c>
    </row>
    <row r="364" spans="1:10" s="51" customFormat="1" ht="25" customHeight="1">
      <c r="A364" s="63">
        <v>19</v>
      </c>
      <c r="B364" s="106"/>
      <c r="C364" s="107" t="s">
        <v>516</v>
      </c>
      <c r="D364" s="108"/>
      <c r="E364" s="66"/>
      <c r="F364" s="66"/>
      <c r="G364" s="109"/>
      <c r="H364" s="69"/>
      <c r="I364" s="68"/>
    </row>
    <row r="365" spans="1:10" ht="25" customHeight="1">
      <c r="A365" s="70"/>
      <c r="B365" s="71" t="s">
        <v>517</v>
      </c>
      <c r="C365" s="123" t="s">
        <v>516</v>
      </c>
      <c r="D365" s="73" t="s">
        <v>63</v>
      </c>
      <c r="E365" s="74"/>
      <c r="F365" s="74" t="s">
        <v>31</v>
      </c>
      <c r="G365" s="75">
        <v>45000</v>
      </c>
      <c r="H365" s="76">
        <v>1</v>
      </c>
      <c r="I365" s="77">
        <f>+G365</f>
        <v>45000</v>
      </c>
      <c r="J365" s="5" t="s">
        <v>89</v>
      </c>
    </row>
    <row r="366" spans="1:10" ht="25" customHeight="1">
      <c r="A366" s="78"/>
      <c r="B366" s="79" t="s">
        <v>518</v>
      </c>
      <c r="C366" s="124" t="s">
        <v>516</v>
      </c>
      <c r="D366" s="81" t="s">
        <v>66</v>
      </c>
      <c r="E366" s="82"/>
      <c r="F366" s="82" t="s">
        <v>39</v>
      </c>
      <c r="G366" s="83">
        <v>55000</v>
      </c>
      <c r="H366" s="76">
        <v>1</v>
      </c>
      <c r="I366" s="84" t="e">
        <f t="shared" ref="I366:I381" si="18">+G366/E366</f>
        <v>#DIV/0!</v>
      </c>
      <c r="J366" s="5" t="s">
        <v>89</v>
      </c>
    </row>
    <row r="367" spans="1:10" ht="25" customHeight="1">
      <c r="A367" s="78"/>
      <c r="B367" s="79" t="s">
        <v>519</v>
      </c>
      <c r="C367" s="124" t="s">
        <v>516</v>
      </c>
      <c r="D367" s="81" t="s">
        <v>68</v>
      </c>
      <c r="E367" s="82"/>
      <c r="F367" s="82" t="s">
        <v>39</v>
      </c>
      <c r="G367" s="83">
        <v>120000</v>
      </c>
      <c r="H367" s="76">
        <v>1</v>
      </c>
      <c r="I367" s="84" t="e">
        <f t="shared" si="18"/>
        <v>#DIV/0!</v>
      </c>
      <c r="J367" s="5" t="s">
        <v>89</v>
      </c>
    </row>
    <row r="368" spans="1:10" ht="25" customHeight="1">
      <c r="A368" s="78"/>
      <c r="B368" s="79" t="s">
        <v>520</v>
      </c>
      <c r="C368" s="124" t="s">
        <v>516</v>
      </c>
      <c r="D368" s="81" t="s">
        <v>454</v>
      </c>
      <c r="E368" s="82"/>
      <c r="F368" s="82" t="s">
        <v>39</v>
      </c>
      <c r="G368" s="83">
        <v>145000</v>
      </c>
      <c r="H368" s="76">
        <v>1</v>
      </c>
      <c r="I368" s="84" t="e">
        <f t="shared" si="18"/>
        <v>#DIV/0!</v>
      </c>
      <c r="J368" s="5" t="s">
        <v>89</v>
      </c>
    </row>
    <row r="369" spans="1:10" ht="25" customHeight="1">
      <c r="A369" s="78"/>
      <c r="B369" s="79" t="s">
        <v>521</v>
      </c>
      <c r="C369" s="124" t="s">
        <v>516</v>
      </c>
      <c r="D369" s="81" t="s">
        <v>456</v>
      </c>
      <c r="E369" s="82"/>
      <c r="F369" s="82" t="s">
        <v>39</v>
      </c>
      <c r="G369" s="83">
        <v>190000</v>
      </c>
      <c r="H369" s="76">
        <v>1</v>
      </c>
      <c r="I369" s="84" t="e">
        <f t="shared" si="18"/>
        <v>#DIV/0!</v>
      </c>
      <c r="J369" s="5" t="s">
        <v>89</v>
      </c>
    </row>
    <row r="370" spans="1:10" ht="25" customHeight="1">
      <c r="A370" s="78"/>
      <c r="B370" s="79" t="s">
        <v>522</v>
      </c>
      <c r="C370" s="124" t="s">
        <v>516</v>
      </c>
      <c r="D370" s="81" t="s">
        <v>458</v>
      </c>
      <c r="E370" s="82"/>
      <c r="F370" s="82" t="s">
        <v>39</v>
      </c>
      <c r="G370" s="83">
        <v>250000</v>
      </c>
      <c r="H370" s="76">
        <v>1</v>
      </c>
      <c r="I370" s="84" t="e">
        <f t="shared" si="18"/>
        <v>#DIV/0!</v>
      </c>
      <c r="J370" s="5" t="s">
        <v>89</v>
      </c>
    </row>
    <row r="371" spans="1:10" ht="25" customHeight="1">
      <c r="A371" s="78"/>
      <c r="B371" s="79" t="s">
        <v>523</v>
      </c>
      <c r="C371" s="124" t="s">
        <v>516</v>
      </c>
      <c r="D371" s="81" t="s">
        <v>460</v>
      </c>
      <c r="E371" s="82"/>
      <c r="F371" s="82" t="s">
        <v>39</v>
      </c>
      <c r="G371" s="83">
        <v>320000</v>
      </c>
      <c r="H371" s="76">
        <v>1</v>
      </c>
      <c r="I371" s="84" t="e">
        <f t="shared" si="18"/>
        <v>#DIV/0!</v>
      </c>
      <c r="J371" s="5" t="s">
        <v>89</v>
      </c>
    </row>
    <row r="372" spans="1:10" ht="25" customHeight="1">
      <c r="A372" s="78"/>
      <c r="B372" s="79" t="s">
        <v>524</v>
      </c>
      <c r="C372" s="124" t="s">
        <v>516</v>
      </c>
      <c r="D372" s="81" t="s">
        <v>462</v>
      </c>
      <c r="E372" s="82"/>
      <c r="F372" s="82" t="s">
        <v>39</v>
      </c>
      <c r="G372" s="83">
        <v>380000</v>
      </c>
      <c r="H372" s="76">
        <v>1</v>
      </c>
      <c r="I372" s="84" t="e">
        <f t="shared" si="18"/>
        <v>#DIV/0!</v>
      </c>
      <c r="J372" s="5" t="s">
        <v>89</v>
      </c>
    </row>
    <row r="373" spans="1:10" ht="25" customHeight="1">
      <c r="A373" s="85"/>
      <c r="B373" s="86" t="s">
        <v>525</v>
      </c>
      <c r="C373" s="125" t="s">
        <v>516</v>
      </c>
      <c r="D373" s="88" t="s">
        <v>464</v>
      </c>
      <c r="E373" s="89"/>
      <c r="F373" s="89" t="s">
        <v>39</v>
      </c>
      <c r="G373" s="90">
        <v>400000</v>
      </c>
      <c r="H373" s="76">
        <v>1</v>
      </c>
      <c r="I373" s="91" t="e">
        <f t="shared" si="18"/>
        <v>#DIV/0!</v>
      </c>
      <c r="J373" s="5" t="s">
        <v>89</v>
      </c>
    </row>
    <row r="374" spans="1:10" ht="25" customHeight="1">
      <c r="A374" s="78"/>
      <c r="B374" s="79" t="s">
        <v>526</v>
      </c>
      <c r="C374" s="124" t="s">
        <v>527</v>
      </c>
      <c r="D374" s="81" t="s">
        <v>66</v>
      </c>
      <c r="E374" s="82">
        <v>1</v>
      </c>
      <c r="F374" s="82" t="s">
        <v>39</v>
      </c>
      <c r="G374" s="83">
        <v>55000</v>
      </c>
      <c r="H374" s="170">
        <v>0.5</v>
      </c>
      <c r="I374" s="146">
        <f t="shared" si="18"/>
        <v>55000</v>
      </c>
      <c r="J374" s="5" t="s">
        <v>89</v>
      </c>
    </row>
    <row r="375" spans="1:10" ht="25" customHeight="1">
      <c r="A375" s="78"/>
      <c r="B375" s="79" t="s">
        <v>528</v>
      </c>
      <c r="C375" s="124" t="s">
        <v>527</v>
      </c>
      <c r="D375" s="81" t="s">
        <v>68</v>
      </c>
      <c r="E375" s="82">
        <v>2</v>
      </c>
      <c r="F375" s="82" t="s">
        <v>39</v>
      </c>
      <c r="G375" s="83">
        <v>120000</v>
      </c>
      <c r="H375" s="170">
        <v>0.5</v>
      </c>
      <c r="I375" s="84">
        <f t="shared" si="18"/>
        <v>60000</v>
      </c>
      <c r="J375" s="5" t="s">
        <v>89</v>
      </c>
    </row>
    <row r="376" spans="1:10" ht="25" customHeight="1">
      <c r="A376" s="78"/>
      <c r="B376" s="79" t="s">
        <v>529</v>
      </c>
      <c r="C376" s="124" t="s">
        <v>527</v>
      </c>
      <c r="D376" s="81" t="s">
        <v>454</v>
      </c>
      <c r="E376" s="82">
        <v>2</v>
      </c>
      <c r="F376" s="82" t="s">
        <v>39</v>
      </c>
      <c r="G376" s="83">
        <v>145000</v>
      </c>
      <c r="H376" s="170">
        <v>0.5</v>
      </c>
      <c r="I376" s="84">
        <f t="shared" si="18"/>
        <v>72500</v>
      </c>
      <c r="J376" s="5" t="s">
        <v>89</v>
      </c>
    </row>
    <row r="377" spans="1:10" ht="25" customHeight="1">
      <c r="A377" s="78"/>
      <c r="B377" s="79" t="s">
        <v>530</v>
      </c>
      <c r="C377" s="124" t="s">
        <v>527</v>
      </c>
      <c r="D377" s="81" t="s">
        <v>456</v>
      </c>
      <c r="E377" s="82">
        <v>2.5</v>
      </c>
      <c r="F377" s="82" t="s">
        <v>39</v>
      </c>
      <c r="G377" s="83">
        <v>190000</v>
      </c>
      <c r="H377" s="170">
        <v>0.5</v>
      </c>
      <c r="I377" s="84">
        <f t="shared" si="18"/>
        <v>76000</v>
      </c>
      <c r="J377" s="5" t="s">
        <v>89</v>
      </c>
    </row>
    <row r="378" spans="1:10" ht="25" customHeight="1">
      <c r="A378" s="78"/>
      <c r="B378" s="79" t="s">
        <v>531</v>
      </c>
      <c r="C378" s="124" t="s">
        <v>527</v>
      </c>
      <c r="D378" s="81" t="s">
        <v>458</v>
      </c>
      <c r="E378" s="82">
        <v>3</v>
      </c>
      <c r="F378" s="82" t="s">
        <v>39</v>
      </c>
      <c r="G378" s="83">
        <v>250000</v>
      </c>
      <c r="H378" s="170">
        <v>0.5</v>
      </c>
      <c r="I378" s="84">
        <f t="shared" si="18"/>
        <v>83333.333333333328</v>
      </c>
      <c r="J378" s="5" t="s">
        <v>89</v>
      </c>
    </row>
    <row r="379" spans="1:10" ht="25" customHeight="1">
      <c r="A379" s="78"/>
      <c r="B379" s="79" t="s">
        <v>532</v>
      </c>
      <c r="C379" s="124" t="s">
        <v>527</v>
      </c>
      <c r="D379" s="81" t="s">
        <v>460</v>
      </c>
      <c r="E379" s="82">
        <v>3.5</v>
      </c>
      <c r="F379" s="82" t="s">
        <v>39</v>
      </c>
      <c r="G379" s="83">
        <v>320000</v>
      </c>
      <c r="H379" s="170">
        <v>0.5</v>
      </c>
      <c r="I379" s="84">
        <f t="shared" si="18"/>
        <v>91428.571428571435</v>
      </c>
      <c r="J379" s="5" t="s">
        <v>89</v>
      </c>
    </row>
    <row r="380" spans="1:10" ht="25" customHeight="1">
      <c r="A380" s="78"/>
      <c r="B380" s="79" t="s">
        <v>533</v>
      </c>
      <c r="C380" s="124" t="s">
        <v>527</v>
      </c>
      <c r="D380" s="81" t="s">
        <v>462</v>
      </c>
      <c r="E380" s="82">
        <v>4</v>
      </c>
      <c r="F380" s="82" t="s">
        <v>39</v>
      </c>
      <c r="G380" s="83">
        <v>380000</v>
      </c>
      <c r="H380" s="170">
        <v>0.5</v>
      </c>
      <c r="I380" s="84">
        <f t="shared" si="18"/>
        <v>95000</v>
      </c>
      <c r="J380" s="5" t="s">
        <v>89</v>
      </c>
    </row>
    <row r="381" spans="1:10" ht="25" customHeight="1">
      <c r="A381" s="85"/>
      <c r="B381" s="86" t="s">
        <v>534</v>
      </c>
      <c r="C381" s="125" t="s">
        <v>527</v>
      </c>
      <c r="D381" s="88" t="s">
        <v>464</v>
      </c>
      <c r="E381" s="89">
        <v>4</v>
      </c>
      <c r="F381" s="89" t="s">
        <v>39</v>
      </c>
      <c r="G381" s="90">
        <v>400000</v>
      </c>
      <c r="H381" s="170">
        <v>0.5</v>
      </c>
      <c r="I381" s="84">
        <f t="shared" si="18"/>
        <v>100000</v>
      </c>
      <c r="J381" s="5" t="s">
        <v>89</v>
      </c>
    </row>
    <row r="382" spans="1:10" s="51" customFormat="1" ht="25" customHeight="1">
      <c r="A382" s="63">
        <v>19</v>
      </c>
      <c r="B382" s="106"/>
      <c r="C382" s="107" t="s">
        <v>535</v>
      </c>
      <c r="D382" s="108"/>
      <c r="E382" s="66"/>
      <c r="F382" s="66"/>
      <c r="G382" s="109"/>
      <c r="H382" s="69"/>
      <c r="I382" s="68"/>
    </row>
    <row r="383" spans="1:10" s="52" customFormat="1" ht="25" customHeight="1">
      <c r="A383" s="147"/>
      <c r="B383" s="148" t="s">
        <v>536</v>
      </c>
      <c r="C383" s="149" t="s">
        <v>535</v>
      </c>
      <c r="D383" s="150" t="s">
        <v>63</v>
      </c>
      <c r="E383" s="151"/>
      <c r="F383" s="151" t="s">
        <v>31</v>
      </c>
      <c r="G383" s="152">
        <v>45000</v>
      </c>
      <c r="H383" s="153">
        <v>1</v>
      </c>
      <c r="I383" s="154">
        <f>+G383</f>
        <v>45000</v>
      </c>
      <c r="J383" s="52" t="s">
        <v>89</v>
      </c>
    </row>
    <row r="384" spans="1:10" s="52" customFormat="1" ht="25" customHeight="1">
      <c r="A384" s="155"/>
      <c r="B384" s="156" t="s">
        <v>537</v>
      </c>
      <c r="C384" s="157" t="s">
        <v>535</v>
      </c>
      <c r="D384" s="158" t="s">
        <v>66</v>
      </c>
      <c r="E384" s="159">
        <v>1</v>
      </c>
      <c r="F384" s="159" t="s">
        <v>39</v>
      </c>
      <c r="G384" s="160">
        <v>55000</v>
      </c>
      <c r="H384" s="153">
        <v>1</v>
      </c>
      <c r="I384" s="161">
        <f t="shared" ref="I384:I391" si="19">+G384/E384</f>
        <v>55000</v>
      </c>
      <c r="J384" s="52" t="s">
        <v>89</v>
      </c>
    </row>
    <row r="385" spans="1:10" s="52" customFormat="1" ht="25" customHeight="1">
      <c r="A385" s="155"/>
      <c r="B385" s="156" t="s">
        <v>538</v>
      </c>
      <c r="C385" s="157" t="s">
        <v>535</v>
      </c>
      <c r="D385" s="158" t="s">
        <v>68</v>
      </c>
      <c r="E385" s="159">
        <v>2</v>
      </c>
      <c r="F385" s="159" t="s">
        <v>39</v>
      </c>
      <c r="G385" s="160">
        <v>120000</v>
      </c>
      <c r="H385" s="153">
        <v>1</v>
      </c>
      <c r="I385" s="161">
        <f t="shared" si="19"/>
        <v>60000</v>
      </c>
      <c r="J385" s="52" t="s">
        <v>89</v>
      </c>
    </row>
    <row r="386" spans="1:10" s="52" customFormat="1" ht="25" customHeight="1">
      <c r="A386" s="155"/>
      <c r="B386" s="156" t="s">
        <v>539</v>
      </c>
      <c r="C386" s="157" t="s">
        <v>535</v>
      </c>
      <c r="D386" s="158" t="s">
        <v>454</v>
      </c>
      <c r="E386" s="159">
        <v>2</v>
      </c>
      <c r="F386" s="159" t="s">
        <v>39</v>
      </c>
      <c r="G386" s="160">
        <v>145000</v>
      </c>
      <c r="H386" s="153">
        <v>1</v>
      </c>
      <c r="I386" s="161">
        <f t="shared" si="19"/>
        <v>72500</v>
      </c>
      <c r="J386" s="52" t="s">
        <v>89</v>
      </c>
    </row>
    <row r="387" spans="1:10" s="52" customFormat="1" ht="25" customHeight="1">
      <c r="A387" s="155"/>
      <c r="B387" s="156" t="s">
        <v>540</v>
      </c>
      <c r="C387" s="157" t="s">
        <v>535</v>
      </c>
      <c r="D387" s="158" t="s">
        <v>456</v>
      </c>
      <c r="E387" s="159">
        <v>2.5</v>
      </c>
      <c r="F387" s="159" t="s">
        <v>39</v>
      </c>
      <c r="G387" s="160">
        <v>190000</v>
      </c>
      <c r="H387" s="153">
        <v>1</v>
      </c>
      <c r="I387" s="161">
        <f t="shared" si="19"/>
        <v>76000</v>
      </c>
      <c r="J387" s="52" t="s">
        <v>89</v>
      </c>
    </row>
    <row r="388" spans="1:10" s="52" customFormat="1" ht="25" customHeight="1">
      <c r="A388" s="155"/>
      <c r="B388" s="156" t="s">
        <v>541</v>
      </c>
      <c r="C388" s="157" t="s">
        <v>535</v>
      </c>
      <c r="D388" s="158" t="s">
        <v>458</v>
      </c>
      <c r="E388" s="159">
        <v>3</v>
      </c>
      <c r="F388" s="159" t="s">
        <v>39</v>
      </c>
      <c r="G388" s="160">
        <v>250000</v>
      </c>
      <c r="H388" s="153">
        <v>1</v>
      </c>
      <c r="I388" s="161">
        <f t="shared" si="19"/>
        <v>83333.333333333328</v>
      </c>
      <c r="J388" s="52" t="s">
        <v>89</v>
      </c>
    </row>
    <row r="389" spans="1:10" s="52" customFormat="1" ht="25" customHeight="1">
      <c r="A389" s="155"/>
      <c r="B389" s="156" t="s">
        <v>542</v>
      </c>
      <c r="C389" s="157" t="s">
        <v>535</v>
      </c>
      <c r="D389" s="158" t="s">
        <v>460</v>
      </c>
      <c r="E389" s="159">
        <v>3.5</v>
      </c>
      <c r="F389" s="159" t="s">
        <v>39</v>
      </c>
      <c r="G389" s="160">
        <v>320000</v>
      </c>
      <c r="H389" s="153">
        <v>1</v>
      </c>
      <c r="I389" s="161">
        <f t="shared" si="19"/>
        <v>91428.571428571435</v>
      </c>
      <c r="J389" s="52" t="s">
        <v>89</v>
      </c>
    </row>
    <row r="390" spans="1:10" s="52" customFormat="1" ht="25" customHeight="1">
      <c r="A390" s="155"/>
      <c r="B390" s="156" t="s">
        <v>543</v>
      </c>
      <c r="C390" s="157" t="s">
        <v>535</v>
      </c>
      <c r="D390" s="158" t="s">
        <v>462</v>
      </c>
      <c r="E390" s="159">
        <v>4</v>
      </c>
      <c r="F390" s="159" t="s">
        <v>39</v>
      </c>
      <c r="G390" s="160">
        <v>380000</v>
      </c>
      <c r="H390" s="153">
        <v>1</v>
      </c>
      <c r="I390" s="161">
        <f t="shared" si="19"/>
        <v>95000</v>
      </c>
      <c r="J390" s="52" t="s">
        <v>89</v>
      </c>
    </row>
    <row r="391" spans="1:10" s="52" customFormat="1" ht="25" customHeight="1">
      <c r="A391" s="162"/>
      <c r="B391" s="163" t="s">
        <v>544</v>
      </c>
      <c r="C391" s="164" t="s">
        <v>535</v>
      </c>
      <c r="D391" s="165" t="s">
        <v>464</v>
      </c>
      <c r="E391" s="166">
        <v>4</v>
      </c>
      <c r="F391" s="166" t="s">
        <v>39</v>
      </c>
      <c r="G391" s="167">
        <v>400000</v>
      </c>
      <c r="H391" s="153">
        <v>1</v>
      </c>
      <c r="I391" s="168">
        <f t="shared" si="19"/>
        <v>100000</v>
      </c>
      <c r="J391" s="52" t="s">
        <v>89</v>
      </c>
    </row>
    <row r="392" spans="1:10" s="52" customFormat="1" ht="25" customHeight="1">
      <c r="A392" s="147"/>
      <c r="B392" s="148" t="s">
        <v>545</v>
      </c>
      <c r="C392" s="149" t="s">
        <v>546</v>
      </c>
      <c r="D392" s="150" t="s">
        <v>63</v>
      </c>
      <c r="E392" s="151"/>
      <c r="F392" s="151" t="s">
        <v>31</v>
      </c>
      <c r="G392" s="152">
        <v>45000</v>
      </c>
      <c r="H392" s="153">
        <v>0.5</v>
      </c>
      <c r="I392" s="154">
        <f>+G392</f>
        <v>45000</v>
      </c>
      <c r="J392" s="52" t="s">
        <v>89</v>
      </c>
    </row>
    <row r="393" spans="1:10" s="52" customFormat="1" ht="25" customHeight="1">
      <c r="A393" s="155"/>
      <c r="B393" s="156" t="s">
        <v>547</v>
      </c>
      <c r="C393" s="157" t="s">
        <v>546</v>
      </c>
      <c r="D393" s="158" t="s">
        <v>66</v>
      </c>
      <c r="E393" s="159">
        <v>1</v>
      </c>
      <c r="F393" s="159" t="s">
        <v>39</v>
      </c>
      <c r="G393" s="160">
        <v>55000</v>
      </c>
      <c r="H393" s="153">
        <v>0.5</v>
      </c>
      <c r="I393" s="161">
        <f t="shared" ref="I393:I400" si="20">+G393/E393</f>
        <v>55000</v>
      </c>
      <c r="J393" s="52" t="s">
        <v>89</v>
      </c>
    </row>
    <row r="394" spans="1:10" s="52" customFormat="1" ht="25" customHeight="1">
      <c r="A394" s="155"/>
      <c r="B394" s="156" t="s">
        <v>548</v>
      </c>
      <c r="C394" s="157" t="s">
        <v>546</v>
      </c>
      <c r="D394" s="158" t="s">
        <v>68</v>
      </c>
      <c r="E394" s="159">
        <v>2</v>
      </c>
      <c r="F394" s="159" t="s">
        <v>39</v>
      </c>
      <c r="G394" s="160">
        <v>120000</v>
      </c>
      <c r="H394" s="153">
        <v>0.5</v>
      </c>
      <c r="I394" s="161">
        <f t="shared" si="20"/>
        <v>60000</v>
      </c>
      <c r="J394" s="52" t="s">
        <v>89</v>
      </c>
    </row>
    <row r="395" spans="1:10" s="52" customFormat="1" ht="25" customHeight="1">
      <c r="A395" s="155"/>
      <c r="B395" s="156" t="s">
        <v>549</v>
      </c>
      <c r="C395" s="157" t="s">
        <v>546</v>
      </c>
      <c r="D395" s="158" t="s">
        <v>454</v>
      </c>
      <c r="E395" s="159">
        <v>2</v>
      </c>
      <c r="F395" s="159" t="s">
        <v>39</v>
      </c>
      <c r="G395" s="160">
        <v>145000</v>
      </c>
      <c r="H395" s="153">
        <v>0.5</v>
      </c>
      <c r="I395" s="161">
        <f t="shared" si="20"/>
        <v>72500</v>
      </c>
      <c r="J395" s="52" t="s">
        <v>89</v>
      </c>
    </row>
    <row r="396" spans="1:10" s="52" customFormat="1" ht="25" customHeight="1">
      <c r="A396" s="155"/>
      <c r="B396" s="156" t="s">
        <v>550</v>
      </c>
      <c r="C396" s="157" t="s">
        <v>546</v>
      </c>
      <c r="D396" s="158" t="s">
        <v>456</v>
      </c>
      <c r="E396" s="159">
        <v>2.5</v>
      </c>
      <c r="F396" s="159" t="s">
        <v>39</v>
      </c>
      <c r="G396" s="160">
        <v>190000</v>
      </c>
      <c r="H396" s="153">
        <v>0.5</v>
      </c>
      <c r="I396" s="161">
        <f t="shared" si="20"/>
        <v>76000</v>
      </c>
      <c r="J396" s="52" t="s">
        <v>89</v>
      </c>
    </row>
    <row r="397" spans="1:10" s="52" customFormat="1" ht="25" customHeight="1">
      <c r="A397" s="155"/>
      <c r="B397" s="156" t="s">
        <v>551</v>
      </c>
      <c r="C397" s="157" t="s">
        <v>546</v>
      </c>
      <c r="D397" s="158" t="s">
        <v>458</v>
      </c>
      <c r="E397" s="159">
        <v>3</v>
      </c>
      <c r="F397" s="159" t="s">
        <v>39</v>
      </c>
      <c r="G397" s="160">
        <v>250000</v>
      </c>
      <c r="H397" s="153">
        <v>0.5</v>
      </c>
      <c r="I397" s="161">
        <f t="shared" si="20"/>
        <v>83333.333333333328</v>
      </c>
      <c r="J397" s="52" t="s">
        <v>89</v>
      </c>
    </row>
    <row r="398" spans="1:10" s="52" customFormat="1" ht="25" customHeight="1">
      <c r="A398" s="155"/>
      <c r="B398" s="156" t="s">
        <v>552</v>
      </c>
      <c r="C398" s="157" t="s">
        <v>546</v>
      </c>
      <c r="D398" s="158" t="s">
        <v>460</v>
      </c>
      <c r="E398" s="159">
        <v>3.5</v>
      </c>
      <c r="F398" s="159" t="s">
        <v>39</v>
      </c>
      <c r="G398" s="160">
        <v>320000</v>
      </c>
      <c r="H398" s="153">
        <v>0.5</v>
      </c>
      <c r="I398" s="161">
        <f t="shared" si="20"/>
        <v>91428.571428571435</v>
      </c>
      <c r="J398" s="52" t="s">
        <v>89</v>
      </c>
    </row>
    <row r="399" spans="1:10" s="52" customFormat="1" ht="25" customHeight="1">
      <c r="A399" s="155"/>
      <c r="B399" s="156" t="s">
        <v>553</v>
      </c>
      <c r="C399" s="157" t="s">
        <v>546</v>
      </c>
      <c r="D399" s="158" t="s">
        <v>462</v>
      </c>
      <c r="E399" s="159">
        <v>4</v>
      </c>
      <c r="F399" s="159" t="s">
        <v>39</v>
      </c>
      <c r="G399" s="160">
        <v>380000</v>
      </c>
      <c r="H399" s="153">
        <v>0.5</v>
      </c>
      <c r="I399" s="161">
        <f t="shared" si="20"/>
        <v>95000</v>
      </c>
      <c r="J399" s="52" t="s">
        <v>89</v>
      </c>
    </row>
    <row r="400" spans="1:10" s="52" customFormat="1" ht="25" customHeight="1">
      <c r="A400" s="162"/>
      <c r="B400" s="163" t="s">
        <v>554</v>
      </c>
      <c r="C400" s="164" t="s">
        <v>546</v>
      </c>
      <c r="D400" s="165" t="s">
        <v>464</v>
      </c>
      <c r="E400" s="166">
        <v>4</v>
      </c>
      <c r="F400" s="166" t="s">
        <v>39</v>
      </c>
      <c r="G400" s="167">
        <v>400000</v>
      </c>
      <c r="H400" s="153">
        <v>0.5</v>
      </c>
      <c r="I400" s="168">
        <f t="shared" si="20"/>
        <v>100000</v>
      </c>
      <c r="J400" s="52" t="s">
        <v>89</v>
      </c>
    </row>
    <row r="401" spans="1:10" s="53" customFormat="1" ht="25" customHeight="1">
      <c r="A401" s="171">
        <v>7</v>
      </c>
      <c r="B401" s="172"/>
      <c r="C401" s="173" t="s">
        <v>555</v>
      </c>
      <c r="D401" s="174"/>
      <c r="E401" s="175"/>
      <c r="F401" s="175"/>
      <c r="G401" s="176"/>
      <c r="H401" s="177"/>
      <c r="I401" s="178"/>
    </row>
    <row r="402" spans="1:10" ht="25" customHeight="1">
      <c r="A402" s="70"/>
      <c r="B402" s="71" t="s">
        <v>556</v>
      </c>
      <c r="C402" s="123" t="s">
        <v>555</v>
      </c>
      <c r="D402" s="73" t="s">
        <v>63</v>
      </c>
      <c r="E402" s="74"/>
      <c r="F402" s="74" t="s">
        <v>31</v>
      </c>
      <c r="G402" s="75">
        <v>36000</v>
      </c>
      <c r="H402" s="76">
        <v>1</v>
      </c>
      <c r="I402" s="77">
        <f>+G402</f>
        <v>36000</v>
      </c>
      <c r="J402" s="5" t="s">
        <v>89</v>
      </c>
    </row>
    <row r="403" spans="1:10" ht="25" customHeight="1">
      <c r="A403" s="78"/>
      <c r="B403" s="79" t="s">
        <v>557</v>
      </c>
      <c r="C403" s="124" t="s">
        <v>555</v>
      </c>
      <c r="D403" s="81" t="s">
        <v>66</v>
      </c>
      <c r="E403" s="82">
        <f>360/72</f>
        <v>5</v>
      </c>
      <c r="F403" s="82" t="s">
        <v>39</v>
      </c>
      <c r="G403" s="83">
        <v>90000</v>
      </c>
      <c r="H403" s="76">
        <v>1</v>
      </c>
      <c r="I403" s="84">
        <f t="shared" ref="I403:I412" si="21">+G403/E403</f>
        <v>18000</v>
      </c>
      <c r="J403" s="5" t="s">
        <v>89</v>
      </c>
    </row>
    <row r="404" spans="1:10" ht="25" customHeight="1">
      <c r="A404" s="78"/>
      <c r="B404" s="79" t="s">
        <v>558</v>
      </c>
      <c r="C404" s="124" t="s">
        <v>555</v>
      </c>
      <c r="D404" s="81" t="s">
        <v>68</v>
      </c>
      <c r="E404" s="82">
        <f>360/54</f>
        <v>6.666666666666667</v>
      </c>
      <c r="F404" s="82" t="s">
        <v>39</v>
      </c>
      <c r="G404" s="83">
        <v>150000</v>
      </c>
      <c r="H404" s="76">
        <v>1</v>
      </c>
      <c r="I404" s="84">
        <f t="shared" si="21"/>
        <v>22500</v>
      </c>
      <c r="J404" s="5" t="s">
        <v>89</v>
      </c>
    </row>
    <row r="405" spans="1:10" ht="25" customHeight="1">
      <c r="A405" s="78"/>
      <c r="B405" s="79" t="s">
        <v>559</v>
      </c>
      <c r="C405" s="124" t="s">
        <v>555</v>
      </c>
      <c r="D405" s="81" t="s">
        <v>70</v>
      </c>
      <c r="E405" s="82">
        <f>360/43</f>
        <v>8.3720930232558146</v>
      </c>
      <c r="F405" s="82" t="s">
        <v>39</v>
      </c>
      <c r="G405" s="83">
        <v>220000</v>
      </c>
      <c r="H405" s="76">
        <v>1</v>
      </c>
      <c r="I405" s="84">
        <f t="shared" si="21"/>
        <v>26277.777777777777</v>
      </c>
      <c r="J405" s="5" t="s">
        <v>89</v>
      </c>
    </row>
    <row r="406" spans="1:10" ht="25" customHeight="1">
      <c r="A406" s="78"/>
      <c r="B406" s="79" t="s">
        <v>560</v>
      </c>
      <c r="C406" s="124" t="s">
        <v>555</v>
      </c>
      <c r="D406" s="81" t="s">
        <v>72</v>
      </c>
      <c r="E406" s="82">
        <f>360/43</f>
        <v>8.3720930232558146</v>
      </c>
      <c r="F406" s="82" t="s">
        <v>39</v>
      </c>
      <c r="G406" s="83">
        <v>250000</v>
      </c>
      <c r="H406" s="76">
        <v>1</v>
      </c>
      <c r="I406" s="84">
        <f t="shared" si="21"/>
        <v>29861.111111111109</v>
      </c>
      <c r="J406" s="5" t="s">
        <v>89</v>
      </c>
    </row>
    <row r="407" spans="1:10" ht="25" customHeight="1">
      <c r="A407" s="85"/>
      <c r="B407" s="86" t="s">
        <v>561</v>
      </c>
      <c r="C407" s="125" t="s">
        <v>555</v>
      </c>
      <c r="D407" s="88" t="s">
        <v>74</v>
      </c>
      <c r="E407" s="89">
        <f>360/29</f>
        <v>12.413793103448276</v>
      </c>
      <c r="F407" s="89" t="s">
        <v>39</v>
      </c>
      <c r="G407" s="90">
        <v>300000</v>
      </c>
      <c r="H407" s="76">
        <v>1</v>
      </c>
      <c r="I407" s="91">
        <f t="shared" si="21"/>
        <v>24166.666666666668</v>
      </c>
      <c r="J407" s="5" t="s">
        <v>89</v>
      </c>
    </row>
    <row r="408" spans="1:10" ht="25" customHeight="1">
      <c r="A408" s="78"/>
      <c r="B408" s="79" t="s">
        <v>562</v>
      </c>
      <c r="C408" s="124" t="s">
        <v>563</v>
      </c>
      <c r="D408" s="81" t="s">
        <v>66</v>
      </c>
      <c r="E408" s="82">
        <f>360/72</f>
        <v>5</v>
      </c>
      <c r="F408" s="82" t="s">
        <v>39</v>
      </c>
      <c r="G408" s="83">
        <v>90000</v>
      </c>
      <c r="H408" s="110">
        <v>0.5</v>
      </c>
      <c r="I408" s="84">
        <f t="shared" si="21"/>
        <v>18000</v>
      </c>
      <c r="J408" s="5" t="s">
        <v>89</v>
      </c>
    </row>
    <row r="409" spans="1:10" ht="25" customHeight="1">
      <c r="A409" s="78"/>
      <c r="B409" s="79" t="s">
        <v>564</v>
      </c>
      <c r="C409" s="124" t="s">
        <v>563</v>
      </c>
      <c r="D409" s="81" t="s">
        <v>68</v>
      </c>
      <c r="E409" s="82">
        <f>360/54</f>
        <v>6.666666666666667</v>
      </c>
      <c r="F409" s="82" t="s">
        <v>39</v>
      </c>
      <c r="G409" s="83">
        <v>150000</v>
      </c>
      <c r="H409" s="110">
        <v>0.5</v>
      </c>
      <c r="I409" s="84">
        <f t="shared" si="21"/>
        <v>22500</v>
      </c>
      <c r="J409" s="5" t="s">
        <v>89</v>
      </c>
    </row>
    <row r="410" spans="1:10" ht="25" customHeight="1">
      <c r="A410" s="78"/>
      <c r="B410" s="79" t="s">
        <v>565</v>
      </c>
      <c r="C410" s="124" t="s">
        <v>563</v>
      </c>
      <c r="D410" s="81" t="s">
        <v>70</v>
      </c>
      <c r="E410" s="82">
        <f>360/43</f>
        <v>8.3720930232558146</v>
      </c>
      <c r="F410" s="82" t="s">
        <v>39</v>
      </c>
      <c r="G410" s="83">
        <v>220000</v>
      </c>
      <c r="H410" s="110">
        <v>0.5</v>
      </c>
      <c r="I410" s="84">
        <f t="shared" si="21"/>
        <v>26277.777777777777</v>
      </c>
      <c r="J410" s="5" t="s">
        <v>89</v>
      </c>
    </row>
    <row r="411" spans="1:10" ht="25" customHeight="1">
      <c r="A411" s="78"/>
      <c r="B411" s="79" t="s">
        <v>566</v>
      </c>
      <c r="C411" s="124" t="s">
        <v>563</v>
      </c>
      <c r="D411" s="81" t="s">
        <v>72</v>
      </c>
      <c r="E411" s="82">
        <f>360/43</f>
        <v>8.3720930232558146</v>
      </c>
      <c r="F411" s="82" t="s">
        <v>39</v>
      </c>
      <c r="G411" s="83">
        <v>250000</v>
      </c>
      <c r="H411" s="110">
        <v>0.5</v>
      </c>
      <c r="I411" s="84">
        <f t="shared" si="21"/>
        <v>29861.111111111109</v>
      </c>
      <c r="J411" s="5" t="s">
        <v>89</v>
      </c>
    </row>
    <row r="412" spans="1:10" ht="25" customHeight="1">
      <c r="A412" s="85"/>
      <c r="B412" s="86" t="s">
        <v>567</v>
      </c>
      <c r="C412" s="124" t="s">
        <v>563</v>
      </c>
      <c r="D412" s="88" t="s">
        <v>74</v>
      </c>
      <c r="E412" s="89">
        <f>360/29</f>
        <v>12.413793103448276</v>
      </c>
      <c r="F412" s="89" t="s">
        <v>39</v>
      </c>
      <c r="G412" s="90">
        <v>300000</v>
      </c>
      <c r="H412" s="110">
        <v>0.5</v>
      </c>
      <c r="I412" s="84">
        <f t="shared" si="21"/>
        <v>24166.666666666668</v>
      </c>
      <c r="J412" s="5" t="s">
        <v>89</v>
      </c>
    </row>
    <row r="413" spans="1:10" s="51" customFormat="1" ht="25" customHeight="1">
      <c r="A413" s="63"/>
      <c r="B413" s="106"/>
      <c r="C413" s="107" t="s">
        <v>568</v>
      </c>
      <c r="D413" s="108"/>
      <c r="E413" s="66"/>
      <c r="F413" s="66"/>
      <c r="G413" s="109"/>
      <c r="H413" s="69"/>
      <c r="I413" s="68"/>
    </row>
    <row r="414" spans="1:10" ht="25" customHeight="1">
      <c r="A414" s="70"/>
      <c r="B414" s="71" t="s">
        <v>569</v>
      </c>
      <c r="C414" s="123" t="s">
        <v>568</v>
      </c>
      <c r="D414" s="73" t="s">
        <v>63</v>
      </c>
      <c r="E414" s="74"/>
      <c r="F414" s="74" t="s">
        <v>31</v>
      </c>
      <c r="G414" s="75">
        <v>36000</v>
      </c>
      <c r="H414" s="76">
        <v>1</v>
      </c>
      <c r="I414" s="77">
        <f>+G414</f>
        <v>36000</v>
      </c>
      <c r="J414" s="5" t="s">
        <v>89</v>
      </c>
    </row>
    <row r="415" spans="1:10" ht="25" customHeight="1">
      <c r="A415" s="78"/>
      <c r="B415" s="79" t="s">
        <v>570</v>
      </c>
      <c r="C415" s="124" t="s">
        <v>568</v>
      </c>
      <c r="D415" s="81" t="s">
        <v>66</v>
      </c>
      <c r="E415" s="82">
        <f>360/72</f>
        <v>5</v>
      </c>
      <c r="F415" s="82" t="s">
        <v>39</v>
      </c>
      <c r="G415" s="83">
        <v>90000</v>
      </c>
      <c r="H415" s="76">
        <v>1</v>
      </c>
      <c r="I415" s="84">
        <f>+G415/E415</f>
        <v>18000</v>
      </c>
      <c r="J415" s="5" t="s">
        <v>89</v>
      </c>
    </row>
    <row r="416" spans="1:10" ht="25" customHeight="1">
      <c r="A416" s="78"/>
      <c r="B416" s="79" t="s">
        <v>571</v>
      </c>
      <c r="C416" s="124" t="s">
        <v>568</v>
      </c>
      <c r="D416" s="81" t="s">
        <v>68</v>
      </c>
      <c r="E416" s="82">
        <f>360/54</f>
        <v>6.666666666666667</v>
      </c>
      <c r="F416" s="82" t="s">
        <v>39</v>
      </c>
      <c r="G416" s="83">
        <v>150000</v>
      </c>
      <c r="H416" s="76">
        <v>1</v>
      </c>
      <c r="I416" s="84">
        <f>+G416/E416</f>
        <v>22500</v>
      </c>
      <c r="J416" s="5" t="s">
        <v>89</v>
      </c>
    </row>
    <row r="417" spans="1:10" ht="25" customHeight="1">
      <c r="A417" s="78"/>
      <c r="B417" s="79" t="s">
        <v>572</v>
      </c>
      <c r="C417" s="124" t="s">
        <v>568</v>
      </c>
      <c r="D417" s="81" t="s">
        <v>70</v>
      </c>
      <c r="E417" s="82">
        <f>360/43</f>
        <v>8.3720930232558146</v>
      </c>
      <c r="F417" s="82" t="s">
        <v>39</v>
      </c>
      <c r="G417" s="83">
        <v>220000</v>
      </c>
      <c r="H417" s="76">
        <v>1</v>
      </c>
      <c r="I417" s="84">
        <f>+G417/E417</f>
        <v>26277.777777777777</v>
      </c>
      <c r="J417" s="5" t="s">
        <v>89</v>
      </c>
    </row>
    <row r="418" spans="1:10" ht="25" customHeight="1">
      <c r="A418" s="78"/>
      <c r="B418" s="79" t="s">
        <v>573</v>
      </c>
      <c r="C418" s="124" t="s">
        <v>568</v>
      </c>
      <c r="D418" s="81" t="s">
        <v>72</v>
      </c>
      <c r="E418" s="82">
        <f>360/43</f>
        <v>8.3720930232558146</v>
      </c>
      <c r="F418" s="82" t="s">
        <v>39</v>
      </c>
      <c r="G418" s="83">
        <v>250000</v>
      </c>
      <c r="H418" s="76">
        <v>1</v>
      </c>
      <c r="I418" s="84">
        <f>+G418/E418</f>
        <v>29861.111111111109</v>
      </c>
      <c r="J418" s="5" t="s">
        <v>89</v>
      </c>
    </row>
    <row r="419" spans="1:10" ht="25" customHeight="1">
      <c r="A419" s="85"/>
      <c r="B419" s="86" t="s">
        <v>574</v>
      </c>
      <c r="C419" s="125" t="s">
        <v>568</v>
      </c>
      <c r="D419" s="88" t="s">
        <v>74</v>
      </c>
      <c r="E419" s="89">
        <f>360/29</f>
        <v>12.413793103448276</v>
      </c>
      <c r="F419" s="89" t="s">
        <v>39</v>
      </c>
      <c r="G419" s="90">
        <v>300000</v>
      </c>
      <c r="H419" s="76">
        <v>1</v>
      </c>
      <c r="I419" s="91">
        <f>+G419/E419</f>
        <v>24166.666666666668</v>
      </c>
      <c r="J419" s="5" t="s">
        <v>89</v>
      </c>
    </row>
    <row r="420" spans="1:10" ht="25" customHeight="1">
      <c r="A420" s="70"/>
      <c r="B420" s="71" t="s">
        <v>575</v>
      </c>
      <c r="C420" s="123" t="s">
        <v>576</v>
      </c>
      <c r="D420" s="73" t="s">
        <v>63</v>
      </c>
      <c r="E420" s="74"/>
      <c r="F420" s="74" t="s">
        <v>31</v>
      </c>
      <c r="G420" s="75">
        <v>36000</v>
      </c>
      <c r="H420" s="76">
        <v>0.5</v>
      </c>
      <c r="I420" s="77">
        <f>+G420</f>
        <v>36000</v>
      </c>
      <c r="J420" s="5" t="s">
        <v>89</v>
      </c>
    </row>
    <row r="421" spans="1:10" ht="25" customHeight="1">
      <c r="A421" s="78"/>
      <c r="B421" s="79" t="s">
        <v>577</v>
      </c>
      <c r="C421" s="124" t="s">
        <v>576</v>
      </c>
      <c r="D421" s="81" t="s">
        <v>66</v>
      </c>
      <c r="E421" s="82">
        <f>360/72</f>
        <v>5</v>
      </c>
      <c r="F421" s="82" t="s">
        <v>39</v>
      </c>
      <c r="G421" s="83">
        <v>45000</v>
      </c>
      <c r="H421" s="76">
        <v>0.5</v>
      </c>
      <c r="I421" s="84">
        <f>+G421/E421</f>
        <v>9000</v>
      </c>
      <c r="J421" s="5" t="s">
        <v>89</v>
      </c>
    </row>
    <row r="422" spans="1:10" ht="25" customHeight="1">
      <c r="A422" s="78"/>
      <c r="B422" s="79" t="s">
        <v>578</v>
      </c>
      <c r="C422" s="124" t="s">
        <v>576</v>
      </c>
      <c r="D422" s="81" t="s">
        <v>68</v>
      </c>
      <c r="E422" s="82">
        <f>360/54</f>
        <v>6.666666666666667</v>
      </c>
      <c r="F422" s="82" t="s">
        <v>39</v>
      </c>
      <c r="G422" s="83">
        <v>80000</v>
      </c>
      <c r="H422" s="76">
        <v>0.5</v>
      </c>
      <c r="I422" s="84">
        <f>+G422/E422</f>
        <v>12000</v>
      </c>
      <c r="J422" s="5" t="s">
        <v>89</v>
      </c>
    </row>
    <row r="423" spans="1:10" ht="25" customHeight="1">
      <c r="A423" s="78"/>
      <c r="B423" s="79" t="s">
        <v>579</v>
      </c>
      <c r="C423" s="124" t="s">
        <v>576</v>
      </c>
      <c r="D423" s="81" t="s">
        <v>70</v>
      </c>
      <c r="E423" s="82">
        <f>360/43</f>
        <v>8.3720930232558146</v>
      </c>
      <c r="F423" s="82" t="s">
        <v>39</v>
      </c>
      <c r="G423" s="83">
        <v>220000</v>
      </c>
      <c r="H423" s="76">
        <v>0.5</v>
      </c>
      <c r="I423" s="84">
        <f>+G423/E423</f>
        <v>26277.777777777777</v>
      </c>
      <c r="J423" s="5" t="s">
        <v>89</v>
      </c>
    </row>
    <row r="424" spans="1:10" ht="25" customHeight="1">
      <c r="A424" s="78"/>
      <c r="B424" s="79" t="s">
        <v>580</v>
      </c>
      <c r="C424" s="124" t="s">
        <v>576</v>
      </c>
      <c r="D424" s="81" t="s">
        <v>72</v>
      </c>
      <c r="E424" s="82">
        <f>360/43</f>
        <v>8.3720930232558146</v>
      </c>
      <c r="F424" s="82" t="s">
        <v>39</v>
      </c>
      <c r="G424" s="83">
        <v>250000</v>
      </c>
      <c r="H424" s="76">
        <v>0.5</v>
      </c>
      <c r="I424" s="84">
        <f>+G424/E424</f>
        <v>29861.111111111109</v>
      </c>
      <c r="J424" s="5" t="s">
        <v>89</v>
      </c>
    </row>
    <row r="425" spans="1:10" ht="25" customHeight="1">
      <c r="A425" s="85"/>
      <c r="B425" s="86" t="s">
        <v>581</v>
      </c>
      <c r="C425" s="125" t="s">
        <v>576</v>
      </c>
      <c r="D425" s="88" t="s">
        <v>74</v>
      </c>
      <c r="E425" s="89">
        <f>360/29</f>
        <v>12.413793103448276</v>
      </c>
      <c r="F425" s="89" t="s">
        <v>39</v>
      </c>
      <c r="G425" s="90">
        <v>300000</v>
      </c>
      <c r="H425" s="76">
        <v>0.5</v>
      </c>
      <c r="I425" s="91">
        <f>+G425/E425</f>
        <v>24166.666666666668</v>
      </c>
      <c r="J425" s="5" t="s">
        <v>89</v>
      </c>
    </row>
    <row r="426" spans="1:10" ht="25" customHeight="1">
      <c r="A426" s="16"/>
      <c r="B426" s="179" t="s">
        <v>582</v>
      </c>
      <c r="C426" s="180" t="s">
        <v>583</v>
      </c>
      <c r="D426" s="19" t="s">
        <v>584</v>
      </c>
      <c r="E426" s="20">
        <v>0.5</v>
      </c>
      <c r="F426" s="20" t="s">
        <v>39</v>
      </c>
      <c r="G426" s="21">
        <v>70000</v>
      </c>
      <c r="H426" s="76">
        <v>0.5</v>
      </c>
      <c r="I426" s="181"/>
    </row>
    <row r="427" spans="1:10" ht="25" customHeight="1">
      <c r="A427" s="78"/>
      <c r="B427" s="79" t="s">
        <v>585</v>
      </c>
      <c r="C427" s="124" t="s">
        <v>583</v>
      </c>
      <c r="D427" s="81" t="s">
        <v>40</v>
      </c>
      <c r="E427" s="82">
        <v>1</v>
      </c>
      <c r="F427" s="82" t="s">
        <v>39</v>
      </c>
      <c r="G427" s="83">
        <v>90000</v>
      </c>
      <c r="H427" s="76">
        <v>0.5</v>
      </c>
      <c r="I427" s="182"/>
      <c r="J427" s="5" t="s">
        <v>89</v>
      </c>
    </row>
    <row r="428" spans="1:10" ht="25" customHeight="1">
      <c r="A428" s="78"/>
      <c r="B428" s="79" t="s">
        <v>586</v>
      </c>
      <c r="C428" s="124" t="s">
        <v>583</v>
      </c>
      <c r="D428" s="81" t="s">
        <v>587</v>
      </c>
      <c r="E428" s="82">
        <v>1</v>
      </c>
      <c r="F428" s="82" t="s">
        <v>39</v>
      </c>
      <c r="G428" s="83">
        <v>120000</v>
      </c>
      <c r="H428" s="76">
        <v>0.5</v>
      </c>
      <c r="I428" s="182"/>
      <c r="J428" s="5" t="s">
        <v>89</v>
      </c>
    </row>
    <row r="429" spans="1:10" ht="25" customHeight="1">
      <c r="A429" s="78"/>
      <c r="B429" s="79" t="s">
        <v>588</v>
      </c>
      <c r="C429" s="124" t="s">
        <v>583</v>
      </c>
      <c r="D429" s="81" t="s">
        <v>589</v>
      </c>
      <c r="E429" s="82">
        <v>2</v>
      </c>
      <c r="F429" s="82" t="s">
        <v>39</v>
      </c>
      <c r="G429" s="83">
        <v>250000</v>
      </c>
      <c r="H429" s="76">
        <v>0.5</v>
      </c>
      <c r="I429" s="182"/>
      <c r="J429" s="5" t="s">
        <v>89</v>
      </c>
    </row>
    <row r="430" spans="1:10" ht="25" customHeight="1">
      <c r="A430" s="78"/>
      <c r="B430" s="79" t="s">
        <v>590</v>
      </c>
      <c r="C430" s="124" t="s">
        <v>583</v>
      </c>
      <c r="D430" s="81" t="s">
        <v>429</v>
      </c>
      <c r="E430" s="82">
        <v>2</v>
      </c>
      <c r="F430" s="82" t="s">
        <v>39</v>
      </c>
      <c r="G430" s="83">
        <v>300000</v>
      </c>
      <c r="H430" s="76">
        <v>0.5</v>
      </c>
      <c r="I430" s="182"/>
      <c r="J430" s="5" t="s">
        <v>89</v>
      </c>
    </row>
    <row r="431" spans="1:10" ht="25" customHeight="1">
      <c r="A431" s="78"/>
      <c r="B431" s="79" t="s">
        <v>591</v>
      </c>
      <c r="C431" s="124" t="s">
        <v>583</v>
      </c>
      <c r="D431" s="81" t="s">
        <v>94</v>
      </c>
      <c r="E431" s="82">
        <v>2</v>
      </c>
      <c r="F431" s="82" t="s">
        <v>39</v>
      </c>
      <c r="G431" s="83">
        <v>350000</v>
      </c>
      <c r="H431" s="76">
        <v>0.5</v>
      </c>
      <c r="I431" s="182"/>
      <c r="J431" s="5" t="s">
        <v>89</v>
      </c>
    </row>
    <row r="432" spans="1:10" ht="25" customHeight="1">
      <c r="A432" s="85"/>
      <c r="B432" s="86" t="s">
        <v>592</v>
      </c>
      <c r="C432" s="125" t="s">
        <v>593</v>
      </c>
      <c r="D432" s="88" t="s">
        <v>587</v>
      </c>
      <c r="E432" s="89">
        <v>1</v>
      </c>
      <c r="F432" s="89" t="s">
        <v>39</v>
      </c>
      <c r="G432" s="90">
        <v>120000</v>
      </c>
      <c r="H432" s="110">
        <v>0.3</v>
      </c>
      <c r="I432" s="183"/>
      <c r="J432" s="5" t="s">
        <v>89</v>
      </c>
    </row>
    <row r="433" spans="1:10" ht="25" customHeight="1">
      <c r="A433" s="143"/>
      <c r="B433" s="144" t="s">
        <v>594</v>
      </c>
      <c r="C433" s="184" t="s">
        <v>593</v>
      </c>
      <c r="D433" s="145" t="s">
        <v>589</v>
      </c>
      <c r="E433" s="185">
        <v>2</v>
      </c>
      <c r="F433" s="185" t="s">
        <v>39</v>
      </c>
      <c r="G433" s="186">
        <v>250000</v>
      </c>
      <c r="H433" s="187">
        <v>0.3</v>
      </c>
      <c r="I433" s="146"/>
      <c r="J433" s="5" t="s">
        <v>89</v>
      </c>
    </row>
    <row r="434" spans="1:10" ht="25" customHeight="1">
      <c r="A434" s="78"/>
      <c r="B434" s="79" t="s">
        <v>595</v>
      </c>
      <c r="C434" s="124" t="s">
        <v>593</v>
      </c>
      <c r="D434" s="81" t="s">
        <v>429</v>
      </c>
      <c r="E434" s="82">
        <v>2</v>
      </c>
      <c r="F434" s="82" t="s">
        <v>39</v>
      </c>
      <c r="G434" s="83">
        <v>300000</v>
      </c>
      <c r="H434" s="187">
        <v>0.3</v>
      </c>
      <c r="I434" s="84"/>
      <c r="J434" s="5" t="s">
        <v>89</v>
      </c>
    </row>
    <row r="435" spans="1:10" ht="25" customHeight="1">
      <c r="A435" s="78"/>
      <c r="B435" s="79" t="s">
        <v>596</v>
      </c>
      <c r="C435" s="124" t="s">
        <v>593</v>
      </c>
      <c r="D435" s="81" t="s">
        <v>94</v>
      </c>
      <c r="E435" s="82">
        <v>2</v>
      </c>
      <c r="F435" s="82" t="s">
        <v>39</v>
      </c>
      <c r="G435" s="83">
        <v>350000</v>
      </c>
      <c r="H435" s="187">
        <v>0.3</v>
      </c>
      <c r="I435" s="84"/>
      <c r="J435" s="5" t="s">
        <v>89</v>
      </c>
    </row>
    <row r="436" spans="1:10" ht="25" customHeight="1">
      <c r="A436" s="188"/>
      <c r="B436" s="189"/>
      <c r="C436" s="190" t="s">
        <v>597</v>
      </c>
      <c r="D436" s="191"/>
      <c r="E436" s="192"/>
      <c r="F436" s="192"/>
      <c r="G436" s="193"/>
      <c r="H436" s="194"/>
      <c r="I436" s="195"/>
      <c r="J436" s="5" t="s">
        <v>598</v>
      </c>
    </row>
    <row r="437" spans="1:10" ht="25" customHeight="1">
      <c r="A437" s="78"/>
      <c r="B437" s="79" t="s">
        <v>599</v>
      </c>
      <c r="C437" s="124" t="s">
        <v>600</v>
      </c>
      <c r="D437" s="81" t="s">
        <v>584</v>
      </c>
      <c r="E437" s="82">
        <v>0.5</v>
      </c>
      <c r="F437" s="82" t="s">
        <v>39</v>
      </c>
      <c r="G437" s="83">
        <v>70000</v>
      </c>
      <c r="H437" s="170">
        <v>1</v>
      </c>
      <c r="I437" s="84"/>
      <c r="J437" s="5" t="s">
        <v>89</v>
      </c>
    </row>
    <row r="438" spans="1:10" ht="25" customHeight="1">
      <c r="A438" s="78"/>
      <c r="B438" s="79" t="s">
        <v>601</v>
      </c>
      <c r="C438" s="124" t="s">
        <v>600</v>
      </c>
      <c r="D438" s="81" t="s">
        <v>40</v>
      </c>
      <c r="E438" s="82">
        <v>1</v>
      </c>
      <c r="F438" s="82" t="s">
        <v>39</v>
      </c>
      <c r="G438" s="83">
        <v>90000</v>
      </c>
      <c r="H438" s="170">
        <v>1</v>
      </c>
      <c r="I438" s="84"/>
      <c r="J438" s="5" t="s">
        <v>89</v>
      </c>
    </row>
    <row r="439" spans="1:10" ht="25" customHeight="1">
      <c r="A439" s="78"/>
      <c r="B439" s="79" t="s">
        <v>602</v>
      </c>
      <c r="C439" s="130" t="s">
        <v>600</v>
      </c>
      <c r="D439" s="81" t="s">
        <v>587</v>
      </c>
      <c r="E439" s="82">
        <v>1</v>
      </c>
      <c r="F439" s="82" t="s">
        <v>39</v>
      </c>
      <c r="G439" s="83">
        <v>120000</v>
      </c>
      <c r="H439" s="170">
        <v>1</v>
      </c>
      <c r="I439" s="84"/>
      <c r="J439" s="5" t="s">
        <v>89</v>
      </c>
    </row>
    <row r="440" spans="1:10" ht="25" customHeight="1">
      <c r="A440" s="128"/>
      <c r="B440" s="129" t="s">
        <v>603</v>
      </c>
      <c r="C440" s="130" t="s">
        <v>600</v>
      </c>
      <c r="D440" s="81" t="s">
        <v>589</v>
      </c>
      <c r="E440" s="132">
        <v>2</v>
      </c>
      <c r="F440" s="82" t="s">
        <v>39</v>
      </c>
      <c r="G440" s="83">
        <v>250000</v>
      </c>
      <c r="H440" s="170">
        <v>1</v>
      </c>
      <c r="I440" s="196"/>
      <c r="J440" s="5" t="s">
        <v>89</v>
      </c>
    </row>
    <row r="441" spans="1:10" ht="25" customHeight="1">
      <c r="A441" s="78"/>
      <c r="B441" s="79" t="s">
        <v>604</v>
      </c>
      <c r="C441" s="130" t="s">
        <v>600</v>
      </c>
      <c r="D441" s="81" t="s">
        <v>429</v>
      </c>
      <c r="E441" s="82">
        <v>2</v>
      </c>
      <c r="F441" s="82" t="s">
        <v>39</v>
      </c>
      <c r="G441" s="83">
        <v>300000</v>
      </c>
      <c r="H441" s="170">
        <v>1</v>
      </c>
      <c r="I441" s="84"/>
      <c r="J441" s="5" t="s">
        <v>89</v>
      </c>
    </row>
    <row r="442" spans="1:10" ht="25" customHeight="1">
      <c r="A442" s="128"/>
      <c r="B442" s="129" t="s">
        <v>605</v>
      </c>
      <c r="C442" s="130" t="s">
        <v>600</v>
      </c>
      <c r="D442" s="81" t="s">
        <v>94</v>
      </c>
      <c r="E442" s="132">
        <v>2</v>
      </c>
      <c r="F442" s="82" t="s">
        <v>39</v>
      </c>
      <c r="G442" s="83">
        <v>350000</v>
      </c>
      <c r="H442" s="170">
        <v>1</v>
      </c>
      <c r="I442" s="196"/>
      <c r="J442" s="5" t="s">
        <v>89</v>
      </c>
    </row>
    <row r="443" spans="1:10" ht="25" customHeight="1">
      <c r="A443" s="63"/>
      <c r="B443" s="106"/>
      <c r="C443" s="197" t="s">
        <v>606</v>
      </c>
      <c r="D443" s="108"/>
      <c r="E443" s="66"/>
      <c r="F443" s="66"/>
      <c r="G443" s="109"/>
      <c r="H443" s="69"/>
      <c r="I443" s="68"/>
    </row>
    <row r="444" spans="1:10" ht="25" customHeight="1">
      <c r="A444" s="78"/>
      <c r="B444" s="79" t="s">
        <v>607</v>
      </c>
      <c r="C444" s="124" t="s">
        <v>608</v>
      </c>
      <c r="D444" s="81" t="s">
        <v>584</v>
      </c>
      <c r="E444" s="82">
        <v>0.5</v>
      </c>
      <c r="F444" s="82" t="s">
        <v>39</v>
      </c>
      <c r="G444" s="83">
        <v>70000</v>
      </c>
      <c r="H444" s="110">
        <v>1</v>
      </c>
      <c r="I444" s="84"/>
      <c r="J444" s="5" t="s">
        <v>89</v>
      </c>
    </row>
    <row r="445" spans="1:10" ht="25" customHeight="1">
      <c r="A445" s="78"/>
      <c r="B445" s="79" t="s">
        <v>609</v>
      </c>
      <c r="C445" s="124" t="s">
        <v>608</v>
      </c>
      <c r="D445" s="81" t="s">
        <v>40</v>
      </c>
      <c r="E445" s="82">
        <v>1</v>
      </c>
      <c r="F445" s="82" t="s">
        <v>39</v>
      </c>
      <c r="G445" s="83">
        <v>90000</v>
      </c>
      <c r="H445" s="110">
        <v>1</v>
      </c>
      <c r="I445" s="84"/>
      <c r="J445" s="5" t="s">
        <v>89</v>
      </c>
    </row>
    <row r="446" spans="1:10" ht="25" customHeight="1">
      <c r="A446" s="78"/>
      <c r="B446" s="79" t="s">
        <v>610</v>
      </c>
      <c r="C446" s="124" t="s">
        <v>608</v>
      </c>
      <c r="D446" s="81" t="s">
        <v>587</v>
      </c>
      <c r="E446" s="82">
        <v>1</v>
      </c>
      <c r="F446" s="82" t="s">
        <v>39</v>
      </c>
      <c r="G446" s="83">
        <v>120000</v>
      </c>
      <c r="H446" s="110">
        <v>1</v>
      </c>
      <c r="I446" s="84"/>
      <c r="J446" s="5" t="s">
        <v>89</v>
      </c>
    </row>
    <row r="447" spans="1:10" ht="25" customHeight="1">
      <c r="A447" s="78"/>
      <c r="B447" s="79" t="s">
        <v>611</v>
      </c>
      <c r="C447" s="124" t="s">
        <v>608</v>
      </c>
      <c r="D447" s="81" t="s">
        <v>589</v>
      </c>
      <c r="E447" s="82">
        <v>2</v>
      </c>
      <c r="F447" s="82" t="s">
        <v>39</v>
      </c>
      <c r="G447" s="83">
        <v>250000</v>
      </c>
      <c r="H447" s="110">
        <v>1</v>
      </c>
      <c r="I447" s="84"/>
      <c r="J447" s="5" t="s">
        <v>89</v>
      </c>
    </row>
    <row r="448" spans="1:10" ht="25" customHeight="1">
      <c r="A448" s="78"/>
      <c r="B448" s="79" t="s">
        <v>612</v>
      </c>
      <c r="C448" s="124" t="s">
        <v>608</v>
      </c>
      <c r="D448" s="81" t="s">
        <v>429</v>
      </c>
      <c r="E448" s="82">
        <v>2</v>
      </c>
      <c r="F448" s="82" t="s">
        <v>39</v>
      </c>
      <c r="G448" s="83">
        <v>300000</v>
      </c>
      <c r="H448" s="110">
        <v>1</v>
      </c>
      <c r="I448" s="84"/>
      <c r="J448" s="5" t="s">
        <v>89</v>
      </c>
    </row>
    <row r="449" spans="1:10" ht="25" customHeight="1">
      <c r="A449" s="78"/>
      <c r="B449" s="79" t="s">
        <v>613</v>
      </c>
      <c r="C449" s="124" t="s">
        <v>608</v>
      </c>
      <c r="D449" s="81" t="s">
        <v>94</v>
      </c>
      <c r="E449" s="82">
        <v>2</v>
      </c>
      <c r="F449" s="82" t="s">
        <v>39</v>
      </c>
      <c r="G449" s="83">
        <v>350000</v>
      </c>
      <c r="H449" s="110">
        <v>1</v>
      </c>
      <c r="I449" s="84"/>
      <c r="J449" s="5" t="s">
        <v>89</v>
      </c>
    </row>
    <row r="450" spans="1:10" ht="25" customHeight="1">
      <c r="A450" s="78"/>
      <c r="B450" s="79" t="s">
        <v>614</v>
      </c>
      <c r="C450" s="124" t="s">
        <v>615</v>
      </c>
      <c r="D450" s="81" t="s">
        <v>584</v>
      </c>
      <c r="E450" s="82">
        <v>0.5</v>
      </c>
      <c r="F450" s="82" t="s">
        <v>39</v>
      </c>
      <c r="G450" s="83">
        <v>70000</v>
      </c>
      <c r="H450" s="110">
        <v>0.5</v>
      </c>
      <c r="I450" s="84"/>
      <c r="J450" s="5" t="s">
        <v>89</v>
      </c>
    </row>
    <row r="451" spans="1:10" ht="25" customHeight="1">
      <c r="A451" s="128"/>
      <c r="B451" s="129" t="s">
        <v>616</v>
      </c>
      <c r="C451" s="124" t="s">
        <v>615</v>
      </c>
      <c r="D451" s="81" t="s">
        <v>40</v>
      </c>
      <c r="E451" s="132">
        <v>1</v>
      </c>
      <c r="F451" s="132" t="s">
        <v>39</v>
      </c>
      <c r="G451" s="83">
        <v>90000</v>
      </c>
      <c r="H451" s="110">
        <v>0.5</v>
      </c>
      <c r="I451" s="135"/>
      <c r="J451" s="5" t="s">
        <v>89</v>
      </c>
    </row>
    <row r="452" spans="1:10" s="54" customFormat="1" ht="25" customHeight="1">
      <c r="A452" s="16"/>
      <c r="B452" s="79" t="s">
        <v>617</v>
      </c>
      <c r="C452" s="124" t="s">
        <v>615</v>
      </c>
      <c r="D452" s="81" t="s">
        <v>587</v>
      </c>
      <c r="E452" s="20"/>
      <c r="F452" s="132" t="s">
        <v>39</v>
      </c>
      <c r="G452" s="83">
        <v>120000</v>
      </c>
      <c r="H452" s="110">
        <v>0.5</v>
      </c>
      <c r="I452" s="198"/>
    </row>
    <row r="453" spans="1:10" s="54" customFormat="1" ht="25" customHeight="1">
      <c r="A453" s="16"/>
      <c r="B453" s="79" t="s">
        <v>618</v>
      </c>
      <c r="C453" s="124" t="s">
        <v>615</v>
      </c>
      <c r="D453" s="81" t="s">
        <v>589</v>
      </c>
      <c r="E453" s="20"/>
      <c r="F453" s="132" t="s">
        <v>39</v>
      </c>
      <c r="G453" s="83">
        <v>250000</v>
      </c>
      <c r="H453" s="110">
        <v>0.5</v>
      </c>
      <c r="I453" s="198"/>
    </row>
    <row r="454" spans="1:10" s="54" customFormat="1" ht="25" customHeight="1">
      <c r="A454" s="16"/>
      <c r="B454" s="79" t="s">
        <v>619</v>
      </c>
      <c r="C454" s="124" t="s">
        <v>615</v>
      </c>
      <c r="D454" s="81" t="s">
        <v>429</v>
      </c>
      <c r="E454" s="20"/>
      <c r="F454" s="132" t="s">
        <v>39</v>
      </c>
      <c r="G454" s="83">
        <v>300000</v>
      </c>
      <c r="H454" s="110">
        <v>0.5</v>
      </c>
      <c r="I454" s="198"/>
    </row>
    <row r="455" spans="1:10" s="54" customFormat="1" ht="25" customHeight="1">
      <c r="A455" s="16"/>
      <c r="B455" s="79" t="s">
        <v>620</v>
      </c>
      <c r="C455" s="124" t="s">
        <v>615</v>
      </c>
      <c r="D455" s="81" t="s">
        <v>94</v>
      </c>
      <c r="E455" s="20"/>
      <c r="F455" s="132" t="s">
        <v>39</v>
      </c>
      <c r="G455" s="83">
        <v>350000</v>
      </c>
      <c r="H455" s="110">
        <v>0.5</v>
      </c>
      <c r="I455" s="198"/>
    </row>
    <row r="456" spans="1:10" ht="25" customHeight="1">
      <c r="A456" s="199"/>
      <c r="B456" s="200"/>
      <c r="C456" s="201" t="s">
        <v>621</v>
      </c>
      <c r="D456" s="202"/>
      <c r="E456" s="203"/>
      <c r="F456" s="203"/>
      <c r="G456" s="204"/>
      <c r="H456" s="205"/>
      <c r="I456" s="206"/>
    </row>
    <row r="457" spans="1:10" ht="25" customHeight="1">
      <c r="A457" s="78"/>
      <c r="B457" s="79" t="s">
        <v>622</v>
      </c>
      <c r="C457" s="124" t="s">
        <v>621</v>
      </c>
      <c r="D457" s="81" t="s">
        <v>63</v>
      </c>
      <c r="E457" s="82"/>
      <c r="F457" s="82" t="s">
        <v>31</v>
      </c>
      <c r="G457" s="83">
        <v>33000</v>
      </c>
      <c r="H457" s="110">
        <v>1</v>
      </c>
      <c r="I457" s="84"/>
      <c r="J457" s="5" t="s">
        <v>89</v>
      </c>
    </row>
    <row r="458" spans="1:10" ht="25" customHeight="1">
      <c r="A458" s="78"/>
      <c r="B458" s="79" t="s">
        <v>623</v>
      </c>
      <c r="C458" s="124" t="s">
        <v>621</v>
      </c>
      <c r="D458" s="81" t="s">
        <v>478</v>
      </c>
      <c r="E458" s="82">
        <v>4</v>
      </c>
      <c r="F458" s="82" t="s">
        <v>39</v>
      </c>
      <c r="G458" s="83">
        <v>33000</v>
      </c>
      <c r="H458" s="110">
        <v>1</v>
      </c>
      <c r="I458" s="84"/>
      <c r="J458" s="5" t="s">
        <v>89</v>
      </c>
    </row>
    <row r="459" spans="1:10" ht="25" customHeight="1">
      <c r="A459" s="78"/>
      <c r="B459" s="79" t="s">
        <v>624</v>
      </c>
      <c r="C459" s="124" t="s">
        <v>621</v>
      </c>
      <c r="D459" s="81" t="s">
        <v>625</v>
      </c>
      <c r="E459" s="82">
        <v>4</v>
      </c>
      <c r="F459" s="82" t="s">
        <v>39</v>
      </c>
      <c r="G459" s="83">
        <v>55000</v>
      </c>
      <c r="H459" s="110">
        <v>1</v>
      </c>
      <c r="I459" s="84"/>
      <c r="J459" s="5" t="s">
        <v>89</v>
      </c>
    </row>
    <row r="460" spans="1:10" ht="25" customHeight="1">
      <c r="A460" s="78"/>
      <c r="B460" s="79" t="s">
        <v>626</v>
      </c>
      <c r="C460" s="124" t="s">
        <v>621</v>
      </c>
      <c r="D460" s="81" t="s">
        <v>627</v>
      </c>
      <c r="E460" s="82">
        <v>5</v>
      </c>
      <c r="F460" s="82" t="s">
        <v>39</v>
      </c>
      <c r="G460" s="83">
        <v>80000</v>
      </c>
      <c r="H460" s="110">
        <v>1</v>
      </c>
      <c r="I460" s="84"/>
      <c r="J460" s="5" t="s">
        <v>89</v>
      </c>
    </row>
    <row r="461" spans="1:10" ht="25" customHeight="1">
      <c r="A461" s="78"/>
      <c r="B461" s="79" t="s">
        <v>628</v>
      </c>
      <c r="C461" s="124" t="s">
        <v>621</v>
      </c>
      <c r="D461" s="81" t="s">
        <v>629</v>
      </c>
      <c r="E461" s="82">
        <v>5</v>
      </c>
      <c r="F461" s="82" t="s">
        <v>39</v>
      </c>
      <c r="G461" s="83">
        <v>100000</v>
      </c>
      <c r="H461" s="110">
        <v>1</v>
      </c>
      <c r="I461" s="84"/>
      <c r="J461" s="5" t="s">
        <v>89</v>
      </c>
    </row>
    <row r="462" spans="1:10" ht="25" customHeight="1">
      <c r="A462" s="78"/>
      <c r="B462" s="79" t="s">
        <v>630</v>
      </c>
      <c r="C462" s="124" t="s">
        <v>621</v>
      </c>
      <c r="D462" s="81" t="s">
        <v>631</v>
      </c>
      <c r="E462" s="82">
        <v>5</v>
      </c>
      <c r="F462" s="82" t="s">
        <v>39</v>
      </c>
      <c r="G462" s="83">
        <v>200000</v>
      </c>
      <c r="H462" s="110">
        <v>1</v>
      </c>
      <c r="I462" s="84"/>
      <c r="J462" s="5" t="s">
        <v>89</v>
      </c>
    </row>
    <row r="463" spans="1:10" ht="25" customHeight="1">
      <c r="A463" s="78"/>
      <c r="B463" s="79" t="s">
        <v>632</v>
      </c>
      <c r="C463" s="124" t="s">
        <v>621</v>
      </c>
      <c r="D463" s="81" t="s">
        <v>633</v>
      </c>
      <c r="E463" s="82">
        <v>5</v>
      </c>
      <c r="F463" s="82" t="s">
        <v>39</v>
      </c>
      <c r="G463" s="83">
        <v>220000</v>
      </c>
      <c r="H463" s="110">
        <v>1</v>
      </c>
      <c r="I463" s="84"/>
      <c r="J463" s="5" t="s">
        <v>89</v>
      </c>
    </row>
    <row r="464" spans="1:10" ht="25" customHeight="1">
      <c r="A464" s="78"/>
      <c r="B464" s="79" t="s">
        <v>634</v>
      </c>
      <c r="C464" s="124" t="s">
        <v>635</v>
      </c>
      <c r="D464" s="81" t="s">
        <v>63</v>
      </c>
      <c r="E464" s="82"/>
      <c r="F464" s="82" t="s">
        <v>31</v>
      </c>
      <c r="G464" s="83">
        <v>33000</v>
      </c>
      <c r="H464" s="110">
        <v>0.5</v>
      </c>
      <c r="I464" s="84"/>
      <c r="J464" s="5" t="s">
        <v>89</v>
      </c>
    </row>
    <row r="465" spans="1:10" ht="25" customHeight="1">
      <c r="A465" s="78"/>
      <c r="B465" s="79" t="s">
        <v>636</v>
      </c>
      <c r="C465" s="124" t="s">
        <v>635</v>
      </c>
      <c r="D465" s="81" t="s">
        <v>478</v>
      </c>
      <c r="E465" s="82">
        <v>4</v>
      </c>
      <c r="F465" s="82" t="s">
        <v>39</v>
      </c>
      <c r="G465" s="83">
        <v>33000</v>
      </c>
      <c r="H465" s="110">
        <v>0.5</v>
      </c>
      <c r="I465" s="84"/>
      <c r="J465" s="5" t="s">
        <v>89</v>
      </c>
    </row>
    <row r="466" spans="1:10" ht="25" customHeight="1">
      <c r="A466" s="78"/>
      <c r="B466" s="79" t="s">
        <v>637</v>
      </c>
      <c r="C466" s="124" t="s">
        <v>635</v>
      </c>
      <c r="D466" s="81" t="s">
        <v>625</v>
      </c>
      <c r="E466" s="82">
        <v>4</v>
      </c>
      <c r="F466" s="82" t="s">
        <v>39</v>
      </c>
      <c r="G466" s="83">
        <v>55000</v>
      </c>
      <c r="H466" s="110">
        <v>0.5</v>
      </c>
      <c r="I466" s="84"/>
      <c r="J466" s="5" t="s">
        <v>89</v>
      </c>
    </row>
    <row r="467" spans="1:10" ht="25" customHeight="1">
      <c r="A467" s="78"/>
      <c r="B467" s="79" t="s">
        <v>638</v>
      </c>
      <c r="C467" s="124" t="s">
        <v>635</v>
      </c>
      <c r="D467" s="81" t="s">
        <v>627</v>
      </c>
      <c r="E467" s="82">
        <v>5</v>
      </c>
      <c r="F467" s="82" t="s">
        <v>39</v>
      </c>
      <c r="G467" s="83">
        <v>80000</v>
      </c>
      <c r="H467" s="110">
        <v>0.5</v>
      </c>
      <c r="I467" s="84"/>
      <c r="J467" s="5" t="s">
        <v>89</v>
      </c>
    </row>
    <row r="468" spans="1:10" ht="25" customHeight="1">
      <c r="A468" s="78"/>
      <c r="B468" s="79" t="s">
        <v>639</v>
      </c>
      <c r="C468" s="124" t="s">
        <v>635</v>
      </c>
      <c r="D468" s="81" t="s">
        <v>629</v>
      </c>
      <c r="E468" s="82">
        <v>5</v>
      </c>
      <c r="F468" s="82" t="s">
        <v>39</v>
      </c>
      <c r="G468" s="83">
        <v>100000</v>
      </c>
      <c r="H468" s="110">
        <v>0.5</v>
      </c>
      <c r="I468" s="84"/>
      <c r="J468" s="5" t="s">
        <v>89</v>
      </c>
    </row>
    <row r="469" spans="1:10" ht="25" customHeight="1">
      <c r="A469" s="78"/>
      <c r="B469" s="79" t="s">
        <v>640</v>
      </c>
      <c r="C469" s="124" t="s">
        <v>635</v>
      </c>
      <c r="D469" s="81" t="s">
        <v>631</v>
      </c>
      <c r="E469" s="82">
        <v>6.6666666666666696</v>
      </c>
      <c r="F469" s="82" t="s">
        <v>39</v>
      </c>
      <c r="G469" s="83">
        <v>200000</v>
      </c>
      <c r="H469" s="110">
        <v>0.5</v>
      </c>
      <c r="I469" s="84"/>
      <c r="J469" s="5" t="s">
        <v>89</v>
      </c>
    </row>
    <row r="470" spans="1:10" ht="25" customHeight="1">
      <c r="A470" s="78"/>
      <c r="B470" s="79" t="s">
        <v>641</v>
      </c>
      <c r="C470" s="124" t="s">
        <v>635</v>
      </c>
      <c r="D470" s="81" t="s">
        <v>633</v>
      </c>
      <c r="E470" s="82">
        <v>6.6666666666666696</v>
      </c>
      <c r="F470" s="82" t="s">
        <v>39</v>
      </c>
      <c r="G470" s="83">
        <v>220000</v>
      </c>
      <c r="H470" s="110">
        <v>0.5</v>
      </c>
      <c r="I470" s="84"/>
      <c r="J470" s="5" t="s">
        <v>89</v>
      </c>
    </row>
    <row r="471" spans="1:10" ht="25" customHeight="1">
      <c r="A471" s="63"/>
      <c r="B471" s="106"/>
      <c r="C471" s="197" t="s">
        <v>642</v>
      </c>
      <c r="D471" s="108"/>
      <c r="E471" s="66"/>
      <c r="F471" s="66"/>
      <c r="G471" s="109"/>
      <c r="H471" s="69"/>
      <c r="I471" s="68"/>
    </row>
    <row r="472" spans="1:10" ht="25" customHeight="1">
      <c r="A472" s="78"/>
      <c r="B472" s="79" t="s">
        <v>643</v>
      </c>
      <c r="C472" s="124" t="s">
        <v>644</v>
      </c>
      <c r="D472" s="81" t="s">
        <v>63</v>
      </c>
      <c r="E472" s="82"/>
      <c r="F472" s="82" t="s">
        <v>31</v>
      </c>
      <c r="G472" s="83">
        <v>33000</v>
      </c>
      <c r="H472" s="110">
        <v>1</v>
      </c>
      <c r="I472" s="84"/>
      <c r="J472" s="5" t="s">
        <v>89</v>
      </c>
    </row>
    <row r="473" spans="1:10" ht="25" customHeight="1">
      <c r="A473" s="78"/>
      <c r="B473" s="79" t="s">
        <v>645</v>
      </c>
      <c r="C473" s="124" t="s">
        <v>644</v>
      </c>
      <c r="D473" s="81" t="s">
        <v>478</v>
      </c>
      <c r="E473" s="82">
        <v>4</v>
      </c>
      <c r="F473" s="82" t="s">
        <v>39</v>
      </c>
      <c r="G473" s="83">
        <v>33000</v>
      </c>
      <c r="H473" s="110">
        <v>1</v>
      </c>
      <c r="I473" s="84"/>
      <c r="J473" s="5" t="s">
        <v>89</v>
      </c>
    </row>
    <row r="474" spans="1:10" ht="25" customHeight="1">
      <c r="A474" s="78"/>
      <c r="B474" s="79" t="s">
        <v>646</v>
      </c>
      <c r="C474" s="124" t="s">
        <v>644</v>
      </c>
      <c r="D474" s="81" t="s">
        <v>625</v>
      </c>
      <c r="E474" s="82">
        <v>4</v>
      </c>
      <c r="F474" s="82" t="s">
        <v>39</v>
      </c>
      <c r="G474" s="83">
        <v>55000</v>
      </c>
      <c r="H474" s="110">
        <v>1</v>
      </c>
      <c r="I474" s="84"/>
      <c r="J474" s="5" t="s">
        <v>89</v>
      </c>
    </row>
    <row r="475" spans="1:10" ht="25" customHeight="1">
      <c r="A475" s="78"/>
      <c r="B475" s="79" t="s">
        <v>647</v>
      </c>
      <c r="C475" s="124" t="s">
        <v>644</v>
      </c>
      <c r="D475" s="81" t="s">
        <v>627</v>
      </c>
      <c r="E475" s="82">
        <v>5</v>
      </c>
      <c r="F475" s="82" t="s">
        <v>39</v>
      </c>
      <c r="G475" s="83">
        <v>80000</v>
      </c>
      <c r="H475" s="110">
        <v>1</v>
      </c>
      <c r="I475" s="84"/>
      <c r="J475" s="5" t="s">
        <v>89</v>
      </c>
    </row>
    <row r="476" spans="1:10" ht="25" customHeight="1">
      <c r="A476" s="78"/>
      <c r="B476" s="79" t="s">
        <v>648</v>
      </c>
      <c r="C476" s="124" t="s">
        <v>644</v>
      </c>
      <c r="D476" s="81" t="s">
        <v>629</v>
      </c>
      <c r="E476" s="82">
        <v>5</v>
      </c>
      <c r="F476" s="82" t="s">
        <v>39</v>
      </c>
      <c r="G476" s="83">
        <v>100000</v>
      </c>
      <c r="H476" s="110">
        <v>1</v>
      </c>
      <c r="I476" s="84"/>
      <c r="J476" s="5" t="s">
        <v>89</v>
      </c>
    </row>
    <row r="477" spans="1:10" ht="25" customHeight="1">
      <c r="A477" s="78"/>
      <c r="B477" s="79" t="s">
        <v>649</v>
      </c>
      <c r="C477" s="124" t="s">
        <v>644</v>
      </c>
      <c r="D477" s="81" t="s">
        <v>631</v>
      </c>
      <c r="E477" s="82">
        <v>6.6666666666666696</v>
      </c>
      <c r="F477" s="82" t="s">
        <v>39</v>
      </c>
      <c r="G477" s="83">
        <v>200000</v>
      </c>
      <c r="H477" s="110">
        <v>1</v>
      </c>
      <c r="I477" s="84"/>
      <c r="J477" s="5" t="s">
        <v>89</v>
      </c>
    </row>
    <row r="478" spans="1:10" ht="25" customHeight="1">
      <c r="A478" s="78"/>
      <c r="B478" s="79" t="s">
        <v>650</v>
      </c>
      <c r="C478" s="124" t="s">
        <v>644</v>
      </c>
      <c r="D478" s="81" t="s">
        <v>633</v>
      </c>
      <c r="E478" s="82">
        <v>6.6666666666666696</v>
      </c>
      <c r="F478" s="82" t="s">
        <v>39</v>
      </c>
      <c r="G478" s="83">
        <v>220000</v>
      </c>
      <c r="H478" s="110">
        <v>1</v>
      </c>
      <c r="I478" s="84"/>
      <c r="J478" s="5" t="s">
        <v>89</v>
      </c>
    </row>
    <row r="479" spans="1:10" ht="25" customHeight="1">
      <c r="A479" s="78"/>
      <c r="B479" s="79" t="s">
        <v>651</v>
      </c>
      <c r="C479" s="124" t="s">
        <v>652</v>
      </c>
      <c r="D479" s="81" t="s">
        <v>63</v>
      </c>
      <c r="E479" s="82"/>
      <c r="F479" s="82" t="s">
        <v>31</v>
      </c>
      <c r="G479" s="83">
        <v>33000</v>
      </c>
      <c r="H479" s="110">
        <v>0.5</v>
      </c>
      <c r="I479" s="84"/>
      <c r="J479" s="5" t="s">
        <v>89</v>
      </c>
    </row>
    <row r="480" spans="1:10" ht="25" customHeight="1">
      <c r="A480" s="78"/>
      <c r="B480" s="79" t="s">
        <v>653</v>
      </c>
      <c r="C480" s="124" t="s">
        <v>652</v>
      </c>
      <c r="D480" s="81" t="s">
        <v>478</v>
      </c>
      <c r="E480" s="82">
        <v>4</v>
      </c>
      <c r="F480" s="82" t="s">
        <v>39</v>
      </c>
      <c r="G480" s="83">
        <v>33000</v>
      </c>
      <c r="H480" s="110">
        <v>0.5</v>
      </c>
      <c r="I480" s="84"/>
      <c r="J480" s="5" t="s">
        <v>89</v>
      </c>
    </row>
    <row r="481" spans="1:10" ht="25" customHeight="1">
      <c r="A481" s="78"/>
      <c r="B481" s="79" t="s">
        <v>654</v>
      </c>
      <c r="C481" s="124" t="s">
        <v>652</v>
      </c>
      <c r="D481" s="81" t="s">
        <v>625</v>
      </c>
      <c r="E481" s="82">
        <v>4</v>
      </c>
      <c r="F481" s="82" t="s">
        <v>39</v>
      </c>
      <c r="G481" s="83">
        <v>55000</v>
      </c>
      <c r="H481" s="110">
        <v>0.5</v>
      </c>
      <c r="I481" s="84"/>
      <c r="J481" s="5" t="s">
        <v>89</v>
      </c>
    </row>
    <row r="482" spans="1:10" ht="25" customHeight="1">
      <c r="A482" s="78"/>
      <c r="B482" s="79" t="s">
        <v>655</v>
      </c>
      <c r="C482" s="124" t="s">
        <v>652</v>
      </c>
      <c r="D482" s="81" t="s">
        <v>627</v>
      </c>
      <c r="E482" s="82">
        <v>5</v>
      </c>
      <c r="F482" s="82" t="s">
        <v>39</v>
      </c>
      <c r="G482" s="83">
        <v>80000</v>
      </c>
      <c r="H482" s="110">
        <v>0.5</v>
      </c>
      <c r="I482" s="84"/>
      <c r="J482" s="5" t="s">
        <v>89</v>
      </c>
    </row>
    <row r="483" spans="1:10" ht="25" customHeight="1">
      <c r="A483" s="78"/>
      <c r="B483" s="79" t="s">
        <v>656</v>
      </c>
      <c r="C483" s="124" t="s">
        <v>652</v>
      </c>
      <c r="D483" s="81" t="s">
        <v>629</v>
      </c>
      <c r="E483" s="82">
        <v>5</v>
      </c>
      <c r="F483" s="82" t="s">
        <v>39</v>
      </c>
      <c r="G483" s="83">
        <v>100000</v>
      </c>
      <c r="H483" s="110">
        <v>0.5</v>
      </c>
      <c r="I483" s="84"/>
      <c r="J483" s="5" t="s">
        <v>89</v>
      </c>
    </row>
    <row r="484" spans="1:10" ht="25" customHeight="1">
      <c r="A484" s="78"/>
      <c r="B484" s="79" t="s">
        <v>657</v>
      </c>
      <c r="C484" s="124" t="s">
        <v>652</v>
      </c>
      <c r="D484" s="81" t="s">
        <v>631</v>
      </c>
      <c r="E484" s="82">
        <v>5</v>
      </c>
      <c r="F484" s="82" t="s">
        <v>39</v>
      </c>
      <c r="G484" s="83">
        <v>200000</v>
      </c>
      <c r="H484" s="110">
        <v>0.5</v>
      </c>
      <c r="I484" s="84"/>
      <c r="J484" s="5" t="s">
        <v>89</v>
      </c>
    </row>
    <row r="485" spans="1:10" ht="25" customHeight="1">
      <c r="A485" s="78"/>
      <c r="B485" s="79" t="s">
        <v>658</v>
      </c>
      <c r="C485" s="124" t="s">
        <v>652</v>
      </c>
      <c r="D485" s="81" t="s">
        <v>633</v>
      </c>
      <c r="E485" s="82">
        <v>5</v>
      </c>
      <c r="F485" s="82" t="s">
        <v>39</v>
      </c>
      <c r="G485" s="83">
        <v>220000</v>
      </c>
      <c r="H485" s="110">
        <v>0.5</v>
      </c>
      <c r="I485" s="84"/>
      <c r="J485" s="5" t="s">
        <v>89</v>
      </c>
    </row>
    <row r="486" spans="1:10" ht="25" customHeight="1">
      <c r="A486" s="63"/>
      <c r="B486" s="106"/>
      <c r="C486" s="197" t="s">
        <v>659</v>
      </c>
      <c r="D486" s="108"/>
      <c r="E486" s="66"/>
      <c r="F486" s="66"/>
      <c r="G486" s="109"/>
      <c r="H486" s="69"/>
      <c r="I486" s="68"/>
    </row>
    <row r="487" spans="1:10" ht="25" customHeight="1">
      <c r="A487" s="70"/>
      <c r="B487" s="71" t="s">
        <v>660</v>
      </c>
      <c r="C487" s="123" t="s">
        <v>659</v>
      </c>
      <c r="D487" s="73" t="s">
        <v>584</v>
      </c>
      <c r="E487" s="74">
        <v>0.5</v>
      </c>
      <c r="F487" s="74" t="s">
        <v>39</v>
      </c>
      <c r="G487" s="75">
        <v>85000</v>
      </c>
      <c r="H487" s="76">
        <v>1</v>
      </c>
      <c r="I487" s="77"/>
      <c r="J487" s="5" t="s">
        <v>89</v>
      </c>
    </row>
    <row r="488" spans="1:10" ht="25" customHeight="1">
      <c r="A488" s="78"/>
      <c r="B488" s="79" t="s">
        <v>661</v>
      </c>
      <c r="C488" s="124" t="s">
        <v>659</v>
      </c>
      <c r="D488" s="81" t="s">
        <v>40</v>
      </c>
      <c r="E488" s="82">
        <v>1</v>
      </c>
      <c r="F488" s="82" t="s">
        <v>39</v>
      </c>
      <c r="G488" s="83">
        <v>110000</v>
      </c>
      <c r="H488" s="76">
        <v>1</v>
      </c>
      <c r="I488" s="84"/>
      <c r="J488" s="5" t="s">
        <v>89</v>
      </c>
    </row>
    <row r="489" spans="1:10" ht="25" customHeight="1">
      <c r="A489" s="78"/>
      <c r="B489" s="79" t="s">
        <v>662</v>
      </c>
      <c r="C489" s="124" t="s">
        <v>659</v>
      </c>
      <c r="D489" s="81" t="s">
        <v>587</v>
      </c>
      <c r="E489" s="82">
        <v>1.5</v>
      </c>
      <c r="F489" s="82" t="s">
        <v>39</v>
      </c>
      <c r="G489" s="83">
        <v>180000</v>
      </c>
      <c r="H489" s="76">
        <v>1</v>
      </c>
      <c r="I489" s="84"/>
      <c r="J489" s="5" t="s">
        <v>89</v>
      </c>
    </row>
    <row r="490" spans="1:10" ht="25" customHeight="1">
      <c r="A490" s="78"/>
      <c r="B490" s="79" t="s">
        <v>663</v>
      </c>
      <c r="C490" s="124" t="s">
        <v>659</v>
      </c>
      <c r="D490" s="81" t="s">
        <v>589</v>
      </c>
      <c r="E490" s="82">
        <v>2.5</v>
      </c>
      <c r="F490" s="82" t="s">
        <v>39</v>
      </c>
      <c r="G490" s="83">
        <v>320000</v>
      </c>
      <c r="H490" s="76">
        <v>1</v>
      </c>
      <c r="I490" s="84"/>
      <c r="J490" s="5" t="s">
        <v>89</v>
      </c>
    </row>
    <row r="491" spans="1:10" ht="25" customHeight="1">
      <c r="A491" s="85"/>
      <c r="B491" s="86" t="s">
        <v>664</v>
      </c>
      <c r="C491" s="125" t="s">
        <v>659</v>
      </c>
      <c r="D491" s="88" t="s">
        <v>665</v>
      </c>
      <c r="E491" s="89">
        <v>3</v>
      </c>
      <c r="F491" s="89" t="s">
        <v>39</v>
      </c>
      <c r="G491" s="90">
        <v>420000</v>
      </c>
      <c r="H491" s="76">
        <v>1</v>
      </c>
      <c r="I491" s="91"/>
      <c r="J491" s="5" t="s">
        <v>89</v>
      </c>
    </row>
    <row r="492" spans="1:10" ht="25" customHeight="1">
      <c r="A492" s="16"/>
      <c r="B492" s="179" t="s">
        <v>666</v>
      </c>
      <c r="C492" s="180" t="s">
        <v>667</v>
      </c>
      <c r="D492" s="19" t="s">
        <v>665</v>
      </c>
      <c r="E492" s="20">
        <v>3</v>
      </c>
      <c r="F492" s="20" t="s">
        <v>39</v>
      </c>
      <c r="G492" s="21">
        <v>420000</v>
      </c>
      <c r="H492" s="22">
        <v>0.3</v>
      </c>
      <c r="I492" s="198"/>
      <c r="J492" s="5" t="s">
        <v>89</v>
      </c>
    </row>
    <row r="493" spans="1:10" ht="25" customHeight="1">
      <c r="A493" s="70"/>
      <c r="B493" s="71" t="s">
        <v>668</v>
      </c>
      <c r="C493" s="123" t="s">
        <v>669</v>
      </c>
      <c r="D493" s="73" t="s">
        <v>584</v>
      </c>
      <c r="E493" s="74">
        <v>0.5</v>
      </c>
      <c r="F493" s="74" t="s">
        <v>39</v>
      </c>
      <c r="G493" s="75">
        <v>85000</v>
      </c>
      <c r="H493" s="76">
        <v>0.5</v>
      </c>
      <c r="I493" s="77"/>
      <c r="J493" s="5" t="s">
        <v>89</v>
      </c>
    </row>
    <row r="494" spans="1:10" ht="25" customHeight="1">
      <c r="A494" s="78"/>
      <c r="B494" s="79" t="s">
        <v>670</v>
      </c>
      <c r="C494" s="124" t="s">
        <v>669</v>
      </c>
      <c r="D494" s="81" t="s">
        <v>40</v>
      </c>
      <c r="E494" s="82">
        <v>1</v>
      </c>
      <c r="F494" s="82" t="s">
        <v>39</v>
      </c>
      <c r="G494" s="83">
        <v>110000</v>
      </c>
      <c r="H494" s="76">
        <v>0.5</v>
      </c>
      <c r="I494" s="84"/>
      <c r="J494" s="5" t="s">
        <v>89</v>
      </c>
    </row>
    <row r="495" spans="1:10" ht="25" customHeight="1">
      <c r="A495" s="78"/>
      <c r="B495" s="79" t="s">
        <v>671</v>
      </c>
      <c r="C495" s="124" t="s">
        <v>669</v>
      </c>
      <c r="D495" s="81" t="s">
        <v>587</v>
      </c>
      <c r="E495" s="82">
        <v>1.5</v>
      </c>
      <c r="F495" s="82" t="s">
        <v>39</v>
      </c>
      <c r="G495" s="83">
        <v>180000</v>
      </c>
      <c r="H495" s="76">
        <v>0.5</v>
      </c>
      <c r="I495" s="84"/>
      <c r="J495" s="5" t="s">
        <v>89</v>
      </c>
    </row>
    <row r="496" spans="1:10" ht="25" customHeight="1">
      <c r="A496" s="78"/>
      <c r="B496" s="79" t="s">
        <v>672</v>
      </c>
      <c r="C496" s="124" t="s">
        <v>669</v>
      </c>
      <c r="D496" s="81" t="s">
        <v>589</v>
      </c>
      <c r="E496" s="82">
        <v>2.5</v>
      </c>
      <c r="F496" s="82" t="s">
        <v>39</v>
      </c>
      <c r="G496" s="83">
        <v>320000</v>
      </c>
      <c r="H496" s="76">
        <v>0.5</v>
      </c>
      <c r="I496" s="84"/>
      <c r="J496" s="5" t="s">
        <v>89</v>
      </c>
    </row>
    <row r="497" spans="1:10" ht="25" customHeight="1">
      <c r="A497" s="85"/>
      <c r="B497" s="86" t="s">
        <v>673</v>
      </c>
      <c r="C497" s="125" t="s">
        <v>669</v>
      </c>
      <c r="D497" s="88" t="s">
        <v>665</v>
      </c>
      <c r="E497" s="89">
        <v>3</v>
      </c>
      <c r="F497" s="89" t="s">
        <v>39</v>
      </c>
      <c r="G497" s="90">
        <v>420000</v>
      </c>
      <c r="H497" s="76">
        <v>0.5</v>
      </c>
      <c r="I497" s="91"/>
      <c r="J497" s="5" t="s">
        <v>89</v>
      </c>
    </row>
    <row r="498" spans="1:10" ht="25" customHeight="1">
      <c r="A498" s="70"/>
      <c r="B498" s="71" t="s">
        <v>674</v>
      </c>
      <c r="C498" s="123" t="s">
        <v>675</v>
      </c>
      <c r="D498" s="73" t="s">
        <v>584</v>
      </c>
      <c r="E498" s="74">
        <v>0.5</v>
      </c>
      <c r="F498" s="74" t="s">
        <v>39</v>
      </c>
      <c r="G498" s="75">
        <v>85000</v>
      </c>
      <c r="H498" s="76">
        <v>0.3</v>
      </c>
      <c r="I498" s="77"/>
      <c r="J498" s="5" t="s">
        <v>89</v>
      </c>
    </row>
    <row r="499" spans="1:10" ht="25" customHeight="1">
      <c r="A499" s="78"/>
      <c r="B499" s="79" t="s">
        <v>676</v>
      </c>
      <c r="C499" s="124" t="s">
        <v>675</v>
      </c>
      <c r="D499" s="81" t="s">
        <v>40</v>
      </c>
      <c r="E499" s="82">
        <v>1</v>
      </c>
      <c r="F499" s="82" t="s">
        <v>39</v>
      </c>
      <c r="G499" s="83">
        <v>110000</v>
      </c>
      <c r="H499" s="110">
        <v>0.3</v>
      </c>
      <c r="I499" s="84"/>
      <c r="J499" s="5" t="s">
        <v>89</v>
      </c>
    </row>
    <row r="500" spans="1:10" ht="25" customHeight="1">
      <c r="A500" s="78"/>
      <c r="B500" s="79" t="s">
        <v>677</v>
      </c>
      <c r="C500" s="124" t="s">
        <v>675</v>
      </c>
      <c r="D500" s="81" t="s">
        <v>587</v>
      </c>
      <c r="E500" s="82">
        <v>1.5</v>
      </c>
      <c r="F500" s="82" t="s">
        <v>39</v>
      </c>
      <c r="G500" s="83">
        <v>180000</v>
      </c>
      <c r="H500" s="110">
        <v>0.3</v>
      </c>
      <c r="I500" s="84"/>
      <c r="J500" s="5" t="s">
        <v>89</v>
      </c>
    </row>
    <row r="501" spans="1:10" ht="25" customHeight="1">
      <c r="A501" s="78"/>
      <c r="B501" s="79" t="s">
        <v>678</v>
      </c>
      <c r="C501" s="124" t="s">
        <v>675</v>
      </c>
      <c r="D501" s="81" t="s">
        <v>589</v>
      </c>
      <c r="E501" s="82">
        <v>2.5</v>
      </c>
      <c r="F501" s="82" t="s">
        <v>39</v>
      </c>
      <c r="G501" s="83">
        <v>320000</v>
      </c>
      <c r="H501" s="110">
        <v>0.3</v>
      </c>
      <c r="I501" s="84"/>
      <c r="J501" s="5" t="s">
        <v>89</v>
      </c>
    </row>
    <row r="502" spans="1:10" ht="25" customHeight="1">
      <c r="A502" s="85"/>
      <c r="B502" s="86" t="s">
        <v>679</v>
      </c>
      <c r="C502" s="125" t="s">
        <v>675</v>
      </c>
      <c r="D502" s="88" t="s">
        <v>665</v>
      </c>
      <c r="E502" s="89">
        <v>3</v>
      </c>
      <c r="F502" s="89" t="s">
        <v>39</v>
      </c>
      <c r="G502" s="90">
        <v>420000</v>
      </c>
      <c r="H502" s="111">
        <v>0.3</v>
      </c>
      <c r="I502" s="91"/>
      <c r="J502" s="5" t="s">
        <v>89</v>
      </c>
    </row>
    <row r="503" spans="1:10" ht="25" customHeight="1">
      <c r="A503" s="143"/>
      <c r="B503" s="144" t="s">
        <v>680</v>
      </c>
      <c r="C503" s="184" t="s">
        <v>681</v>
      </c>
      <c r="D503" s="145" t="s">
        <v>665</v>
      </c>
      <c r="E503" s="185">
        <v>3</v>
      </c>
      <c r="F503" s="185" t="s">
        <v>39</v>
      </c>
      <c r="G503" s="207">
        <v>420000</v>
      </c>
      <c r="H503" s="170">
        <v>0.15</v>
      </c>
      <c r="I503" s="146"/>
    </row>
    <row r="504" spans="1:10" ht="25" customHeight="1">
      <c r="A504" s="78"/>
      <c r="B504" s="79" t="s">
        <v>682</v>
      </c>
      <c r="C504" s="124" t="s">
        <v>683</v>
      </c>
      <c r="D504" s="81" t="s">
        <v>587</v>
      </c>
      <c r="E504" s="82">
        <v>1</v>
      </c>
      <c r="F504" s="82" t="s">
        <v>39</v>
      </c>
      <c r="G504" s="83">
        <v>37500</v>
      </c>
      <c r="H504" s="110">
        <v>1</v>
      </c>
      <c r="I504" s="84"/>
    </row>
    <row r="505" spans="1:10" ht="25" customHeight="1">
      <c r="A505" s="78"/>
      <c r="B505" s="79" t="s">
        <v>684</v>
      </c>
      <c r="C505" s="124" t="s">
        <v>683</v>
      </c>
      <c r="D505" s="81" t="s">
        <v>589</v>
      </c>
      <c r="E505" s="82">
        <v>2</v>
      </c>
      <c r="F505" s="82" t="s">
        <v>39</v>
      </c>
      <c r="G505" s="83">
        <v>81500</v>
      </c>
      <c r="H505" s="110">
        <v>1</v>
      </c>
      <c r="I505" s="84"/>
    </row>
    <row r="506" spans="1:10" ht="25" customHeight="1">
      <c r="A506" s="78"/>
      <c r="B506" s="79" t="s">
        <v>685</v>
      </c>
      <c r="C506" s="124" t="s">
        <v>683</v>
      </c>
      <c r="D506" s="81" t="s">
        <v>665</v>
      </c>
      <c r="E506" s="82">
        <v>3</v>
      </c>
      <c r="F506" s="82" t="s">
        <v>39</v>
      </c>
      <c r="G506" s="83">
        <v>115000</v>
      </c>
      <c r="H506" s="110">
        <v>1</v>
      </c>
      <c r="I506" s="84"/>
    </row>
    <row r="507" spans="1:10" ht="25" customHeight="1">
      <c r="A507" s="63"/>
      <c r="B507" s="106"/>
      <c r="C507" s="197" t="s">
        <v>686</v>
      </c>
      <c r="D507" s="108"/>
      <c r="E507" s="66"/>
      <c r="F507" s="66"/>
      <c r="G507" s="109"/>
      <c r="H507" s="69"/>
      <c r="I507" s="68"/>
    </row>
    <row r="508" spans="1:10" ht="25" customHeight="1">
      <c r="A508" s="78"/>
      <c r="B508" s="79" t="s">
        <v>687</v>
      </c>
      <c r="C508" s="124" t="s">
        <v>686</v>
      </c>
      <c r="D508" s="81" t="s">
        <v>584</v>
      </c>
      <c r="E508" s="82">
        <v>0.5</v>
      </c>
      <c r="F508" s="82" t="s">
        <v>39</v>
      </c>
      <c r="G508" s="75">
        <v>85000</v>
      </c>
      <c r="H508" s="110">
        <v>1</v>
      </c>
      <c r="I508" s="84"/>
      <c r="J508" s="5" t="s">
        <v>89</v>
      </c>
    </row>
    <row r="509" spans="1:10" ht="25" customHeight="1">
      <c r="A509" s="78"/>
      <c r="B509" s="79" t="s">
        <v>688</v>
      </c>
      <c r="C509" s="124" t="s">
        <v>686</v>
      </c>
      <c r="D509" s="81" t="s">
        <v>40</v>
      </c>
      <c r="E509" s="82">
        <v>1</v>
      </c>
      <c r="F509" s="82" t="s">
        <v>39</v>
      </c>
      <c r="G509" s="83">
        <v>110000</v>
      </c>
      <c r="H509" s="110">
        <v>1</v>
      </c>
      <c r="I509" s="84"/>
      <c r="J509" s="5" t="s">
        <v>89</v>
      </c>
    </row>
    <row r="510" spans="1:10" ht="25" customHeight="1">
      <c r="A510" s="78"/>
      <c r="B510" s="79" t="s">
        <v>689</v>
      </c>
      <c r="C510" s="124" t="s">
        <v>686</v>
      </c>
      <c r="D510" s="81" t="s">
        <v>587</v>
      </c>
      <c r="E510" s="82">
        <v>1</v>
      </c>
      <c r="F510" s="82" t="s">
        <v>39</v>
      </c>
      <c r="G510" s="83">
        <v>180000</v>
      </c>
      <c r="H510" s="110">
        <v>1</v>
      </c>
      <c r="I510" s="84"/>
      <c r="J510" s="5" t="s">
        <v>89</v>
      </c>
    </row>
    <row r="511" spans="1:10" ht="25" customHeight="1">
      <c r="A511" s="78"/>
      <c r="B511" s="79" t="s">
        <v>690</v>
      </c>
      <c r="C511" s="124" t="s">
        <v>686</v>
      </c>
      <c r="D511" s="81" t="s">
        <v>589</v>
      </c>
      <c r="E511" s="82">
        <v>2</v>
      </c>
      <c r="F511" s="82" t="s">
        <v>39</v>
      </c>
      <c r="G511" s="83">
        <v>320000</v>
      </c>
      <c r="H511" s="110">
        <v>1</v>
      </c>
      <c r="I511" s="84"/>
      <c r="J511" s="5" t="s">
        <v>89</v>
      </c>
    </row>
    <row r="512" spans="1:10" ht="25" customHeight="1">
      <c r="A512" s="78"/>
      <c r="B512" s="79" t="s">
        <v>691</v>
      </c>
      <c r="C512" s="124" t="s">
        <v>686</v>
      </c>
      <c r="D512" s="81" t="s">
        <v>665</v>
      </c>
      <c r="E512" s="82">
        <v>3</v>
      </c>
      <c r="F512" s="82" t="s">
        <v>39</v>
      </c>
      <c r="G512" s="90">
        <v>420000</v>
      </c>
      <c r="H512" s="110">
        <v>1</v>
      </c>
      <c r="I512" s="84"/>
      <c r="J512" s="5" t="s">
        <v>89</v>
      </c>
    </row>
    <row r="513" spans="1:10" ht="25" customHeight="1">
      <c r="A513" s="78"/>
      <c r="B513" s="79" t="s">
        <v>692</v>
      </c>
      <c r="C513" s="124" t="s">
        <v>693</v>
      </c>
      <c r="D513" s="81" t="s">
        <v>584</v>
      </c>
      <c r="E513" s="82">
        <v>0.5</v>
      </c>
      <c r="F513" s="82" t="s">
        <v>39</v>
      </c>
      <c r="G513" s="75">
        <v>85000</v>
      </c>
      <c r="H513" s="110">
        <v>0.5</v>
      </c>
      <c r="I513" s="84"/>
      <c r="J513" s="5" t="s">
        <v>89</v>
      </c>
    </row>
    <row r="514" spans="1:10" ht="25" customHeight="1">
      <c r="A514" s="78"/>
      <c r="B514" s="79" t="s">
        <v>694</v>
      </c>
      <c r="C514" s="124" t="s">
        <v>693</v>
      </c>
      <c r="D514" s="81" t="s">
        <v>40</v>
      </c>
      <c r="E514" s="82">
        <v>1</v>
      </c>
      <c r="F514" s="82" t="s">
        <v>39</v>
      </c>
      <c r="G514" s="83">
        <v>110000</v>
      </c>
      <c r="H514" s="110">
        <v>0.5</v>
      </c>
      <c r="I514" s="84"/>
      <c r="J514" s="5" t="s">
        <v>89</v>
      </c>
    </row>
    <row r="515" spans="1:10" ht="25" customHeight="1">
      <c r="A515" s="78"/>
      <c r="B515" s="79" t="s">
        <v>695</v>
      </c>
      <c r="C515" s="124" t="s">
        <v>693</v>
      </c>
      <c r="D515" s="81" t="s">
        <v>587</v>
      </c>
      <c r="E515" s="82">
        <v>1</v>
      </c>
      <c r="F515" s="82" t="s">
        <v>39</v>
      </c>
      <c r="G515" s="83">
        <v>180000</v>
      </c>
      <c r="H515" s="110">
        <v>0.5</v>
      </c>
      <c r="I515" s="84"/>
      <c r="J515" s="5" t="s">
        <v>89</v>
      </c>
    </row>
    <row r="516" spans="1:10" ht="25" customHeight="1">
      <c r="A516" s="78"/>
      <c r="B516" s="79" t="s">
        <v>696</v>
      </c>
      <c r="C516" s="124" t="s">
        <v>693</v>
      </c>
      <c r="D516" s="81" t="s">
        <v>589</v>
      </c>
      <c r="E516" s="82">
        <v>2</v>
      </c>
      <c r="F516" s="82" t="s">
        <v>39</v>
      </c>
      <c r="G516" s="83">
        <v>320000</v>
      </c>
      <c r="H516" s="110">
        <v>0.5</v>
      </c>
      <c r="I516" s="84"/>
      <c r="J516" s="5" t="s">
        <v>89</v>
      </c>
    </row>
    <row r="517" spans="1:10" ht="25" customHeight="1">
      <c r="A517" s="78"/>
      <c r="B517" s="79" t="s">
        <v>697</v>
      </c>
      <c r="C517" s="124" t="s">
        <v>693</v>
      </c>
      <c r="D517" s="81" t="s">
        <v>665</v>
      </c>
      <c r="E517" s="82">
        <v>3</v>
      </c>
      <c r="F517" s="82" t="s">
        <v>39</v>
      </c>
      <c r="G517" s="90">
        <v>420000</v>
      </c>
      <c r="H517" s="110">
        <v>0.5</v>
      </c>
      <c r="I517" s="84"/>
      <c r="J517" s="5" t="s">
        <v>89</v>
      </c>
    </row>
    <row r="518" spans="1:10" ht="25" customHeight="1">
      <c r="A518" s="63"/>
      <c r="B518" s="106"/>
      <c r="C518" s="197" t="s">
        <v>698</v>
      </c>
      <c r="D518" s="108"/>
      <c r="E518" s="66"/>
      <c r="F518" s="66"/>
      <c r="G518" s="109"/>
      <c r="H518" s="69"/>
      <c r="I518" s="68"/>
    </row>
    <row r="519" spans="1:10" ht="25" customHeight="1">
      <c r="A519" s="78"/>
      <c r="B519" s="79" t="s">
        <v>699</v>
      </c>
      <c r="C519" s="124" t="s">
        <v>698</v>
      </c>
      <c r="D519" s="81" t="s">
        <v>63</v>
      </c>
      <c r="E519" s="82"/>
      <c r="F519" s="82" t="s">
        <v>31</v>
      </c>
      <c r="G519" s="208"/>
      <c r="H519" s="110">
        <v>1</v>
      </c>
      <c r="I519" s="84"/>
      <c r="J519" s="5" t="s">
        <v>700</v>
      </c>
    </row>
    <row r="520" spans="1:10" ht="25" customHeight="1">
      <c r="A520" s="78"/>
      <c r="B520" s="79" t="s">
        <v>701</v>
      </c>
      <c r="C520" s="124" t="s">
        <v>698</v>
      </c>
      <c r="D520" s="81" t="s">
        <v>584</v>
      </c>
      <c r="E520" s="82">
        <v>0.5</v>
      </c>
      <c r="F520" s="82" t="s">
        <v>39</v>
      </c>
      <c r="G520" s="209">
        <v>70000</v>
      </c>
      <c r="H520" s="110">
        <v>1</v>
      </c>
      <c r="I520" s="84"/>
      <c r="J520" s="5" t="s">
        <v>700</v>
      </c>
    </row>
    <row r="521" spans="1:10" ht="25" customHeight="1">
      <c r="A521" s="78"/>
      <c r="B521" s="79" t="s">
        <v>702</v>
      </c>
      <c r="C521" s="124" t="s">
        <v>698</v>
      </c>
      <c r="D521" s="81" t="s">
        <v>40</v>
      </c>
      <c r="E521" s="82">
        <v>1</v>
      </c>
      <c r="F521" s="82" t="s">
        <v>39</v>
      </c>
      <c r="G521" s="209">
        <v>90000</v>
      </c>
      <c r="H521" s="110">
        <v>1</v>
      </c>
      <c r="I521" s="84"/>
      <c r="J521" s="5" t="s">
        <v>700</v>
      </c>
    </row>
    <row r="522" spans="1:10" ht="25" customHeight="1">
      <c r="A522" s="78"/>
      <c r="B522" s="79" t="s">
        <v>703</v>
      </c>
      <c r="C522" s="124" t="s">
        <v>698</v>
      </c>
      <c r="D522" s="81" t="s">
        <v>587</v>
      </c>
      <c r="E522" s="82">
        <v>1</v>
      </c>
      <c r="F522" s="82" t="s">
        <v>39</v>
      </c>
      <c r="G522" s="209">
        <v>120000</v>
      </c>
      <c r="H522" s="110">
        <v>1</v>
      </c>
      <c r="I522" s="84"/>
      <c r="J522" s="5" t="s">
        <v>700</v>
      </c>
    </row>
    <row r="523" spans="1:10" ht="25" customHeight="1">
      <c r="A523" s="78"/>
      <c r="B523" s="79" t="s">
        <v>704</v>
      </c>
      <c r="C523" s="124" t="s">
        <v>698</v>
      </c>
      <c r="D523" s="81" t="s">
        <v>589</v>
      </c>
      <c r="E523" s="82">
        <v>2</v>
      </c>
      <c r="F523" s="82" t="s">
        <v>39</v>
      </c>
      <c r="G523" s="209">
        <v>250000</v>
      </c>
      <c r="H523" s="110">
        <v>1</v>
      </c>
      <c r="I523" s="84"/>
      <c r="J523" s="5" t="s">
        <v>700</v>
      </c>
    </row>
    <row r="524" spans="1:10" ht="25" customHeight="1">
      <c r="A524" s="78"/>
      <c r="B524" s="79" t="s">
        <v>705</v>
      </c>
      <c r="C524" s="124" t="s">
        <v>698</v>
      </c>
      <c r="D524" s="81" t="s">
        <v>429</v>
      </c>
      <c r="E524" s="82">
        <v>2</v>
      </c>
      <c r="F524" s="82" t="s">
        <v>39</v>
      </c>
      <c r="G524" s="209">
        <v>300000</v>
      </c>
      <c r="H524" s="110">
        <v>1</v>
      </c>
      <c r="I524" s="84"/>
      <c r="J524" s="5" t="s">
        <v>700</v>
      </c>
    </row>
    <row r="525" spans="1:10" ht="25" customHeight="1">
      <c r="A525" s="78"/>
      <c r="B525" s="79" t="s">
        <v>706</v>
      </c>
      <c r="C525" s="124" t="s">
        <v>698</v>
      </c>
      <c r="D525" s="81" t="s">
        <v>94</v>
      </c>
      <c r="E525" s="82">
        <v>2</v>
      </c>
      <c r="F525" s="82" t="s">
        <v>39</v>
      </c>
      <c r="G525" s="209">
        <v>350000</v>
      </c>
      <c r="H525" s="110">
        <v>1</v>
      </c>
      <c r="I525" s="84"/>
      <c r="J525" s="5" t="s">
        <v>700</v>
      </c>
    </row>
    <row r="526" spans="1:10" ht="25" customHeight="1">
      <c r="A526" s="78"/>
      <c r="B526" s="79" t="s">
        <v>707</v>
      </c>
      <c r="C526" s="124" t="s">
        <v>708</v>
      </c>
      <c r="D526" s="81" t="s">
        <v>584</v>
      </c>
      <c r="E526" s="82">
        <v>0.5</v>
      </c>
      <c r="F526" s="82" t="s">
        <v>39</v>
      </c>
      <c r="G526" s="209">
        <v>70000</v>
      </c>
      <c r="H526" s="110">
        <v>0.5</v>
      </c>
      <c r="I526" s="84"/>
      <c r="J526" s="5" t="s">
        <v>700</v>
      </c>
    </row>
    <row r="527" spans="1:10" ht="25" customHeight="1">
      <c r="A527" s="78"/>
      <c r="B527" s="79" t="s">
        <v>709</v>
      </c>
      <c r="C527" s="124" t="s">
        <v>708</v>
      </c>
      <c r="D527" s="81" t="s">
        <v>40</v>
      </c>
      <c r="E527" s="82">
        <v>1</v>
      </c>
      <c r="F527" s="82" t="s">
        <v>39</v>
      </c>
      <c r="G527" s="209">
        <v>90000</v>
      </c>
      <c r="H527" s="110">
        <v>0.5</v>
      </c>
      <c r="I527" s="84"/>
      <c r="J527" s="5" t="s">
        <v>700</v>
      </c>
    </row>
    <row r="528" spans="1:10" ht="25" customHeight="1">
      <c r="A528" s="78"/>
      <c r="B528" s="79" t="s">
        <v>710</v>
      </c>
      <c r="C528" s="124" t="s">
        <v>708</v>
      </c>
      <c r="D528" s="81" t="s">
        <v>587</v>
      </c>
      <c r="E528" s="82">
        <v>1</v>
      </c>
      <c r="F528" s="82" t="s">
        <v>39</v>
      </c>
      <c r="G528" s="209">
        <v>120000</v>
      </c>
      <c r="H528" s="110">
        <v>0.5</v>
      </c>
      <c r="I528" s="84"/>
      <c r="J528" s="5" t="s">
        <v>700</v>
      </c>
    </row>
    <row r="529" spans="1:10" ht="25" customHeight="1">
      <c r="A529" s="78"/>
      <c r="B529" s="79" t="s">
        <v>711</v>
      </c>
      <c r="C529" s="124" t="s">
        <v>708</v>
      </c>
      <c r="D529" s="81" t="s">
        <v>589</v>
      </c>
      <c r="E529" s="82">
        <v>2</v>
      </c>
      <c r="F529" s="82" t="s">
        <v>39</v>
      </c>
      <c r="G529" s="209">
        <v>250000</v>
      </c>
      <c r="H529" s="110">
        <v>0.5</v>
      </c>
      <c r="I529" s="84"/>
      <c r="J529" s="5" t="s">
        <v>700</v>
      </c>
    </row>
    <row r="530" spans="1:10" ht="25" customHeight="1">
      <c r="A530" s="78"/>
      <c r="B530" s="79" t="s">
        <v>712</v>
      </c>
      <c r="C530" s="124" t="s">
        <v>708</v>
      </c>
      <c r="D530" s="81" t="s">
        <v>429</v>
      </c>
      <c r="E530" s="82">
        <v>2</v>
      </c>
      <c r="F530" s="82" t="s">
        <v>39</v>
      </c>
      <c r="G530" s="209">
        <v>300000</v>
      </c>
      <c r="H530" s="110">
        <v>0.5</v>
      </c>
      <c r="I530" s="84"/>
      <c r="J530" s="5" t="s">
        <v>700</v>
      </c>
    </row>
    <row r="531" spans="1:10" ht="25" customHeight="1">
      <c r="A531" s="78"/>
      <c r="B531" s="79" t="s">
        <v>713</v>
      </c>
      <c r="C531" s="124" t="s">
        <v>708</v>
      </c>
      <c r="D531" s="81" t="s">
        <v>94</v>
      </c>
      <c r="E531" s="82">
        <v>2</v>
      </c>
      <c r="F531" s="82" t="s">
        <v>39</v>
      </c>
      <c r="G531" s="209">
        <v>350000</v>
      </c>
      <c r="H531" s="110">
        <v>0.5</v>
      </c>
      <c r="I531" s="84"/>
      <c r="J531" s="5" t="s">
        <v>700</v>
      </c>
    </row>
    <row r="532" spans="1:10" ht="25" customHeight="1">
      <c r="A532" s="63"/>
      <c r="B532" s="106"/>
      <c r="C532" s="197" t="s">
        <v>714</v>
      </c>
      <c r="D532" s="108"/>
      <c r="E532" s="66"/>
      <c r="F532" s="66"/>
      <c r="G532" s="109"/>
      <c r="H532" s="69"/>
      <c r="I532" s="68"/>
    </row>
    <row r="533" spans="1:10" ht="25" customHeight="1">
      <c r="A533" s="78"/>
      <c r="B533" s="79" t="s">
        <v>715</v>
      </c>
      <c r="C533" s="124" t="s">
        <v>714</v>
      </c>
      <c r="D533" s="73" t="s">
        <v>63</v>
      </c>
      <c r="E533" s="82"/>
      <c r="F533" s="82" t="s">
        <v>31</v>
      </c>
      <c r="G533" s="83">
        <v>50000</v>
      </c>
      <c r="H533" s="110">
        <v>1</v>
      </c>
      <c r="I533" s="84"/>
      <c r="J533" s="5" t="s">
        <v>89</v>
      </c>
    </row>
    <row r="534" spans="1:10" ht="25" customHeight="1">
      <c r="A534" s="78"/>
      <c r="B534" s="79" t="s">
        <v>716</v>
      </c>
      <c r="C534" s="124" t="s">
        <v>714</v>
      </c>
      <c r="D534" s="81" t="s">
        <v>584</v>
      </c>
      <c r="E534" s="82">
        <v>1</v>
      </c>
      <c r="F534" s="82" t="s">
        <v>39</v>
      </c>
      <c r="G534" s="83">
        <v>80000</v>
      </c>
      <c r="H534" s="110">
        <v>1</v>
      </c>
      <c r="I534" s="84"/>
      <c r="J534" s="5" t="s">
        <v>89</v>
      </c>
    </row>
    <row r="535" spans="1:10" ht="25" customHeight="1">
      <c r="A535" s="78"/>
      <c r="B535" s="79" t="s">
        <v>717</v>
      </c>
      <c r="C535" s="124" t="s">
        <v>714</v>
      </c>
      <c r="D535" s="81" t="s">
        <v>40</v>
      </c>
      <c r="E535" s="82">
        <v>1</v>
      </c>
      <c r="F535" s="82" t="s">
        <v>39</v>
      </c>
      <c r="G535" s="83">
        <v>100000</v>
      </c>
      <c r="H535" s="110">
        <v>1</v>
      </c>
      <c r="I535" s="84"/>
      <c r="J535" s="5" t="s">
        <v>89</v>
      </c>
    </row>
    <row r="536" spans="1:10" ht="25" customHeight="1">
      <c r="A536" s="78"/>
      <c r="B536" s="79" t="s">
        <v>718</v>
      </c>
      <c r="C536" s="124" t="s">
        <v>714</v>
      </c>
      <c r="D536" s="81" t="s">
        <v>587</v>
      </c>
      <c r="E536" s="82">
        <v>1</v>
      </c>
      <c r="F536" s="82" t="s">
        <v>39</v>
      </c>
      <c r="G536" s="83">
        <v>130000</v>
      </c>
      <c r="H536" s="110">
        <v>1</v>
      </c>
      <c r="I536" s="84"/>
      <c r="J536" s="5" t="s">
        <v>89</v>
      </c>
    </row>
    <row r="537" spans="1:10" ht="25" customHeight="1">
      <c r="A537" s="78"/>
      <c r="B537" s="79" t="s">
        <v>719</v>
      </c>
      <c r="C537" s="124" t="s">
        <v>714</v>
      </c>
      <c r="D537" s="81" t="s">
        <v>589</v>
      </c>
      <c r="E537" s="82">
        <v>2</v>
      </c>
      <c r="F537" s="82" t="s">
        <v>39</v>
      </c>
      <c r="G537" s="83">
        <v>280000</v>
      </c>
      <c r="H537" s="110">
        <v>1</v>
      </c>
      <c r="I537" s="84"/>
      <c r="J537" s="5" t="s">
        <v>89</v>
      </c>
    </row>
    <row r="538" spans="1:10" ht="25" customHeight="1">
      <c r="A538" s="78"/>
      <c r="B538" s="79" t="s">
        <v>720</v>
      </c>
      <c r="C538" s="124" t="s">
        <v>714</v>
      </c>
      <c r="D538" s="81" t="s">
        <v>665</v>
      </c>
      <c r="E538" s="82">
        <v>2.5</v>
      </c>
      <c r="F538" s="82" t="s">
        <v>39</v>
      </c>
      <c r="G538" s="83">
        <v>400000</v>
      </c>
      <c r="H538" s="110">
        <v>1</v>
      </c>
      <c r="I538" s="84"/>
      <c r="J538" s="5" t="s">
        <v>89</v>
      </c>
    </row>
    <row r="539" spans="1:10" ht="25" customHeight="1">
      <c r="A539" s="78"/>
      <c r="B539" s="79" t="s">
        <v>721</v>
      </c>
      <c r="C539" s="124" t="s">
        <v>722</v>
      </c>
      <c r="D539" s="73" t="s">
        <v>63</v>
      </c>
      <c r="E539" s="82"/>
      <c r="F539" s="82" t="s">
        <v>31</v>
      </c>
      <c r="G539" s="83">
        <v>50000</v>
      </c>
      <c r="H539" s="110">
        <v>0.5</v>
      </c>
      <c r="I539" s="84"/>
      <c r="J539" s="5" t="s">
        <v>89</v>
      </c>
    </row>
    <row r="540" spans="1:10" ht="25" customHeight="1">
      <c r="A540" s="78"/>
      <c r="B540" s="79" t="s">
        <v>723</v>
      </c>
      <c r="C540" s="124" t="s">
        <v>722</v>
      </c>
      <c r="D540" s="81" t="s">
        <v>584</v>
      </c>
      <c r="E540" s="82">
        <v>1</v>
      </c>
      <c r="F540" s="82" t="s">
        <v>39</v>
      </c>
      <c r="G540" s="83">
        <v>80000</v>
      </c>
      <c r="H540" s="110">
        <v>0.5</v>
      </c>
      <c r="I540" s="84"/>
      <c r="J540" s="5" t="s">
        <v>89</v>
      </c>
    </row>
    <row r="541" spans="1:10" ht="25" customHeight="1">
      <c r="A541" s="78"/>
      <c r="B541" s="79" t="s">
        <v>724</v>
      </c>
      <c r="C541" s="124" t="s">
        <v>722</v>
      </c>
      <c r="D541" s="81" t="s">
        <v>40</v>
      </c>
      <c r="E541" s="82">
        <v>1</v>
      </c>
      <c r="F541" s="82" t="s">
        <v>39</v>
      </c>
      <c r="G541" s="83">
        <v>100000</v>
      </c>
      <c r="H541" s="110">
        <v>0.5</v>
      </c>
      <c r="I541" s="84"/>
      <c r="J541" s="5" t="s">
        <v>89</v>
      </c>
    </row>
    <row r="542" spans="1:10" ht="25" customHeight="1">
      <c r="A542" s="78"/>
      <c r="B542" s="79" t="s">
        <v>725</v>
      </c>
      <c r="C542" s="124" t="s">
        <v>722</v>
      </c>
      <c r="D542" s="81" t="s">
        <v>587</v>
      </c>
      <c r="E542" s="82">
        <v>1</v>
      </c>
      <c r="F542" s="82" t="s">
        <v>39</v>
      </c>
      <c r="G542" s="83">
        <v>130000</v>
      </c>
      <c r="H542" s="110">
        <v>0.5</v>
      </c>
      <c r="I542" s="84"/>
      <c r="J542" s="5" t="s">
        <v>89</v>
      </c>
    </row>
    <row r="543" spans="1:10" ht="25" customHeight="1">
      <c r="A543" s="78"/>
      <c r="B543" s="79" t="s">
        <v>726</v>
      </c>
      <c r="C543" s="124" t="s">
        <v>722</v>
      </c>
      <c r="D543" s="81" t="s">
        <v>589</v>
      </c>
      <c r="E543" s="82">
        <v>2</v>
      </c>
      <c r="F543" s="82" t="s">
        <v>39</v>
      </c>
      <c r="G543" s="83">
        <v>280000</v>
      </c>
      <c r="H543" s="110">
        <v>0.5</v>
      </c>
      <c r="I543" s="84"/>
      <c r="J543" s="5" t="s">
        <v>89</v>
      </c>
    </row>
    <row r="544" spans="1:10" ht="25" customHeight="1">
      <c r="A544" s="78"/>
      <c r="B544" s="79" t="s">
        <v>727</v>
      </c>
      <c r="C544" s="124" t="s">
        <v>722</v>
      </c>
      <c r="D544" s="81" t="s">
        <v>665</v>
      </c>
      <c r="E544" s="82">
        <v>2.5</v>
      </c>
      <c r="F544" s="82" t="s">
        <v>39</v>
      </c>
      <c r="G544" s="83">
        <v>400000</v>
      </c>
      <c r="H544" s="110">
        <v>0.5</v>
      </c>
      <c r="I544" s="84"/>
      <c r="J544" s="5" t="s">
        <v>89</v>
      </c>
    </row>
    <row r="545" spans="1:10" ht="25" customHeight="1">
      <c r="A545" s="78"/>
      <c r="B545" s="79" t="s">
        <v>728</v>
      </c>
      <c r="C545" s="124" t="s">
        <v>729</v>
      </c>
      <c r="D545" s="81" t="s">
        <v>665</v>
      </c>
      <c r="E545" s="82">
        <v>2.5</v>
      </c>
      <c r="F545" s="82" t="s">
        <v>39</v>
      </c>
      <c r="G545" s="83">
        <v>400000</v>
      </c>
      <c r="H545" s="110">
        <v>0.3</v>
      </c>
      <c r="I545" s="84"/>
      <c r="J545" s="5" t="s">
        <v>89</v>
      </c>
    </row>
    <row r="546" spans="1:10" ht="25" customHeight="1">
      <c r="A546" s="78"/>
      <c r="B546" s="79" t="s">
        <v>730</v>
      </c>
      <c r="C546" s="124" t="s">
        <v>731</v>
      </c>
      <c r="D546" s="81" t="s">
        <v>665</v>
      </c>
      <c r="E546" s="82">
        <v>2.5</v>
      </c>
      <c r="F546" s="82" t="s">
        <v>39</v>
      </c>
      <c r="G546" s="83">
        <v>400000</v>
      </c>
      <c r="H546" s="110">
        <v>0.15</v>
      </c>
      <c r="I546" s="84"/>
      <c r="J546" s="5" t="s">
        <v>89</v>
      </c>
    </row>
    <row r="547" spans="1:10" ht="25" customHeight="1">
      <c r="A547" s="63"/>
      <c r="B547" s="106"/>
      <c r="C547" s="197" t="s">
        <v>732</v>
      </c>
      <c r="D547" s="108"/>
      <c r="E547" s="66"/>
      <c r="F547" s="66"/>
      <c r="G547" s="109"/>
      <c r="H547" s="69"/>
      <c r="I547" s="68"/>
      <c r="J547" s="5" t="s">
        <v>89</v>
      </c>
    </row>
    <row r="548" spans="1:10" ht="25" customHeight="1">
      <c r="A548" s="78"/>
      <c r="B548" s="79" t="s">
        <v>733</v>
      </c>
      <c r="C548" s="124" t="s">
        <v>732</v>
      </c>
      <c r="D548" s="73" t="s">
        <v>63</v>
      </c>
      <c r="E548" s="82"/>
      <c r="F548" s="82" t="s">
        <v>31</v>
      </c>
      <c r="G548" s="83">
        <v>50000</v>
      </c>
      <c r="H548" s="110">
        <v>1</v>
      </c>
      <c r="I548" s="84"/>
      <c r="J548" s="5" t="s">
        <v>89</v>
      </c>
    </row>
    <row r="549" spans="1:10" ht="25" customHeight="1">
      <c r="A549" s="78"/>
      <c r="B549" s="79" t="s">
        <v>734</v>
      </c>
      <c r="C549" s="124" t="s">
        <v>732</v>
      </c>
      <c r="D549" s="81" t="s">
        <v>584</v>
      </c>
      <c r="E549" s="82">
        <v>1</v>
      </c>
      <c r="F549" s="82" t="s">
        <v>39</v>
      </c>
      <c r="G549" s="83">
        <v>80000</v>
      </c>
      <c r="H549" s="110">
        <v>1</v>
      </c>
      <c r="I549" s="84"/>
      <c r="J549" s="5" t="s">
        <v>89</v>
      </c>
    </row>
    <row r="550" spans="1:10" ht="25" customHeight="1">
      <c r="A550" s="78"/>
      <c r="B550" s="79" t="s">
        <v>735</v>
      </c>
      <c r="C550" s="124" t="s">
        <v>732</v>
      </c>
      <c r="D550" s="81" t="s">
        <v>40</v>
      </c>
      <c r="E550" s="82">
        <v>1</v>
      </c>
      <c r="F550" s="82" t="s">
        <v>39</v>
      </c>
      <c r="G550" s="83">
        <v>100000</v>
      </c>
      <c r="H550" s="110">
        <v>1</v>
      </c>
      <c r="I550" s="84"/>
      <c r="J550" s="5" t="s">
        <v>89</v>
      </c>
    </row>
    <row r="551" spans="1:10" ht="25" customHeight="1">
      <c r="A551" s="78"/>
      <c r="B551" s="79" t="s">
        <v>736</v>
      </c>
      <c r="C551" s="124" t="s">
        <v>732</v>
      </c>
      <c r="D551" s="81" t="s">
        <v>587</v>
      </c>
      <c r="E551" s="82">
        <v>1</v>
      </c>
      <c r="F551" s="82" t="s">
        <v>39</v>
      </c>
      <c r="G551" s="83">
        <v>130000</v>
      </c>
      <c r="H551" s="110">
        <v>1</v>
      </c>
      <c r="I551" s="84"/>
      <c r="J551" s="5" t="s">
        <v>89</v>
      </c>
    </row>
    <row r="552" spans="1:10" ht="25" customHeight="1">
      <c r="A552" s="78"/>
      <c r="B552" s="79" t="s">
        <v>737</v>
      </c>
      <c r="C552" s="124" t="s">
        <v>732</v>
      </c>
      <c r="D552" s="81" t="s">
        <v>589</v>
      </c>
      <c r="E552" s="82">
        <v>2</v>
      </c>
      <c r="F552" s="82" t="s">
        <v>39</v>
      </c>
      <c r="G552" s="83">
        <v>280000</v>
      </c>
      <c r="H552" s="110">
        <v>1</v>
      </c>
      <c r="I552" s="84"/>
      <c r="J552" s="5" t="s">
        <v>89</v>
      </c>
    </row>
    <row r="553" spans="1:10" ht="25" customHeight="1">
      <c r="A553" s="78"/>
      <c r="B553" s="79" t="s">
        <v>738</v>
      </c>
      <c r="C553" s="124" t="s">
        <v>732</v>
      </c>
      <c r="D553" s="81" t="s">
        <v>665</v>
      </c>
      <c r="E553" s="82">
        <v>2.5</v>
      </c>
      <c r="F553" s="82" t="s">
        <v>39</v>
      </c>
      <c r="G553" s="83">
        <v>400000</v>
      </c>
      <c r="H553" s="110">
        <v>1</v>
      </c>
      <c r="I553" s="84"/>
      <c r="J553" s="5" t="s">
        <v>89</v>
      </c>
    </row>
    <row r="554" spans="1:10" ht="25" customHeight="1">
      <c r="A554" s="78"/>
      <c r="B554" s="79" t="s">
        <v>739</v>
      </c>
      <c r="C554" s="124" t="s">
        <v>740</v>
      </c>
      <c r="D554" s="73" t="s">
        <v>63</v>
      </c>
      <c r="E554" s="82"/>
      <c r="F554" s="82" t="s">
        <v>31</v>
      </c>
      <c r="G554" s="83">
        <v>50000</v>
      </c>
      <c r="H554" s="110">
        <v>0.5</v>
      </c>
      <c r="I554" s="84"/>
      <c r="J554" s="5" t="s">
        <v>89</v>
      </c>
    </row>
    <row r="555" spans="1:10" ht="25" customHeight="1">
      <c r="A555" s="78"/>
      <c r="B555" s="79" t="s">
        <v>741</v>
      </c>
      <c r="C555" s="124" t="s">
        <v>740</v>
      </c>
      <c r="D555" s="81" t="s">
        <v>584</v>
      </c>
      <c r="E555" s="82">
        <v>1</v>
      </c>
      <c r="F555" s="82" t="s">
        <v>39</v>
      </c>
      <c r="G555" s="83">
        <v>80000</v>
      </c>
      <c r="H555" s="110">
        <v>0.5</v>
      </c>
      <c r="I555" s="84"/>
      <c r="J555" s="5" t="s">
        <v>89</v>
      </c>
    </row>
    <row r="556" spans="1:10" ht="25" customHeight="1">
      <c r="A556" s="78"/>
      <c r="B556" s="79" t="s">
        <v>742</v>
      </c>
      <c r="C556" s="124" t="s">
        <v>740</v>
      </c>
      <c r="D556" s="81" t="s">
        <v>40</v>
      </c>
      <c r="E556" s="82">
        <v>1</v>
      </c>
      <c r="F556" s="82" t="s">
        <v>39</v>
      </c>
      <c r="G556" s="83">
        <v>100000</v>
      </c>
      <c r="H556" s="110">
        <v>0.5</v>
      </c>
      <c r="I556" s="84"/>
      <c r="J556" s="5" t="s">
        <v>89</v>
      </c>
    </row>
    <row r="557" spans="1:10" ht="25" customHeight="1">
      <c r="A557" s="78"/>
      <c r="B557" s="79" t="s">
        <v>743</v>
      </c>
      <c r="C557" s="124" t="s">
        <v>740</v>
      </c>
      <c r="D557" s="81" t="s">
        <v>587</v>
      </c>
      <c r="E557" s="82">
        <v>1</v>
      </c>
      <c r="F557" s="82" t="s">
        <v>39</v>
      </c>
      <c r="G557" s="83">
        <v>130000</v>
      </c>
      <c r="H557" s="110">
        <v>0.5</v>
      </c>
      <c r="I557" s="84"/>
      <c r="J557" s="5" t="s">
        <v>89</v>
      </c>
    </row>
    <row r="558" spans="1:10" ht="25" customHeight="1">
      <c r="A558" s="78"/>
      <c r="B558" s="79" t="s">
        <v>744</v>
      </c>
      <c r="C558" s="124" t="s">
        <v>740</v>
      </c>
      <c r="D558" s="81" t="s">
        <v>589</v>
      </c>
      <c r="E558" s="82">
        <v>2</v>
      </c>
      <c r="F558" s="82" t="s">
        <v>39</v>
      </c>
      <c r="G558" s="83">
        <v>280000</v>
      </c>
      <c r="H558" s="110">
        <v>0.5</v>
      </c>
      <c r="I558" s="84"/>
      <c r="J558" s="5" t="s">
        <v>89</v>
      </c>
    </row>
    <row r="559" spans="1:10" ht="25" customHeight="1">
      <c r="A559" s="78"/>
      <c r="B559" s="79" t="s">
        <v>745</v>
      </c>
      <c r="C559" s="124" t="s">
        <v>740</v>
      </c>
      <c r="D559" s="81" t="s">
        <v>665</v>
      </c>
      <c r="E559" s="82">
        <v>2.5</v>
      </c>
      <c r="F559" s="82" t="s">
        <v>39</v>
      </c>
      <c r="G559" s="83">
        <v>400000</v>
      </c>
      <c r="H559" s="110">
        <v>0.5</v>
      </c>
      <c r="I559" s="84"/>
      <c r="J559" s="5" t="s">
        <v>89</v>
      </c>
    </row>
    <row r="560" spans="1:10" ht="25" customHeight="1">
      <c r="A560" s="63"/>
      <c r="B560" s="106"/>
      <c r="C560" s="197" t="s">
        <v>746</v>
      </c>
      <c r="D560" s="108"/>
      <c r="E560" s="66"/>
      <c r="F560" s="66"/>
      <c r="G560" s="109"/>
      <c r="H560" s="69"/>
      <c r="I560" s="68"/>
    </row>
    <row r="561" spans="1:10" ht="25" customHeight="1">
      <c r="A561" s="78"/>
      <c r="B561" s="79" t="s">
        <v>747</v>
      </c>
      <c r="C561" s="124" t="s">
        <v>746</v>
      </c>
      <c r="D561" s="81" t="s">
        <v>478</v>
      </c>
      <c r="E561" s="82">
        <v>1</v>
      </c>
      <c r="F561" s="82" t="s">
        <v>39</v>
      </c>
      <c r="G561" s="210">
        <v>80000</v>
      </c>
      <c r="H561" s="110">
        <v>1</v>
      </c>
      <c r="I561" s="84"/>
      <c r="J561" s="5" t="s">
        <v>89</v>
      </c>
    </row>
    <row r="562" spans="1:10" ht="25" customHeight="1">
      <c r="A562" s="78"/>
      <c r="B562" s="79" t="s">
        <v>748</v>
      </c>
      <c r="C562" s="124" t="s">
        <v>746</v>
      </c>
      <c r="D562" s="81" t="s">
        <v>40</v>
      </c>
      <c r="E562" s="82">
        <v>1</v>
      </c>
      <c r="F562" s="82" t="s">
        <v>39</v>
      </c>
      <c r="G562" s="210">
        <v>100000</v>
      </c>
      <c r="H562" s="110">
        <v>1</v>
      </c>
      <c r="I562" s="84"/>
      <c r="J562" s="5" t="s">
        <v>89</v>
      </c>
    </row>
    <row r="563" spans="1:10" ht="25" customHeight="1">
      <c r="A563" s="78"/>
      <c r="B563" s="79" t="s">
        <v>749</v>
      </c>
      <c r="C563" s="124" t="s">
        <v>746</v>
      </c>
      <c r="D563" s="81" t="s">
        <v>587</v>
      </c>
      <c r="E563" s="82">
        <v>1.5</v>
      </c>
      <c r="F563" s="82" t="s">
        <v>39</v>
      </c>
      <c r="G563" s="210">
        <v>160000</v>
      </c>
      <c r="H563" s="110">
        <v>1</v>
      </c>
      <c r="I563" s="84"/>
      <c r="J563" s="5" t="s">
        <v>89</v>
      </c>
    </row>
    <row r="564" spans="1:10" ht="25" customHeight="1">
      <c r="A564" s="78"/>
      <c r="B564" s="79" t="s">
        <v>750</v>
      </c>
      <c r="C564" s="124" t="s">
        <v>746</v>
      </c>
      <c r="D564" s="81" t="s">
        <v>589</v>
      </c>
      <c r="E564" s="82">
        <v>2</v>
      </c>
      <c r="F564" s="82" t="s">
        <v>39</v>
      </c>
      <c r="G564" s="210">
        <v>280000</v>
      </c>
      <c r="H564" s="110">
        <v>1</v>
      </c>
      <c r="I564" s="84"/>
      <c r="J564" s="5" t="s">
        <v>89</v>
      </c>
    </row>
    <row r="565" spans="1:10" ht="25" customHeight="1">
      <c r="A565" s="78"/>
      <c r="B565" s="79" t="s">
        <v>751</v>
      </c>
      <c r="C565" s="124" t="s">
        <v>746</v>
      </c>
      <c r="D565" s="81" t="s">
        <v>429</v>
      </c>
      <c r="E565" s="82">
        <v>2.5</v>
      </c>
      <c r="F565" s="82" t="s">
        <v>39</v>
      </c>
      <c r="G565" s="210">
        <v>400000</v>
      </c>
      <c r="H565" s="110">
        <v>1</v>
      </c>
      <c r="I565" s="84"/>
      <c r="J565" s="5" t="s">
        <v>89</v>
      </c>
    </row>
    <row r="566" spans="1:10" ht="25" customHeight="1">
      <c r="A566" s="78"/>
      <c r="B566" s="79" t="s">
        <v>752</v>
      </c>
      <c r="C566" s="124" t="s">
        <v>746</v>
      </c>
      <c r="D566" s="81" t="s">
        <v>665</v>
      </c>
      <c r="E566" s="82">
        <v>3</v>
      </c>
      <c r="F566" s="82" t="s">
        <v>39</v>
      </c>
      <c r="G566" s="210">
        <v>520000</v>
      </c>
      <c r="H566" s="110">
        <v>1</v>
      </c>
      <c r="I566" s="84"/>
      <c r="J566" s="5" t="s">
        <v>89</v>
      </c>
    </row>
    <row r="567" spans="1:10" ht="25" customHeight="1">
      <c r="A567" s="78"/>
      <c r="B567" s="79" t="s">
        <v>753</v>
      </c>
      <c r="C567" s="124" t="s">
        <v>754</v>
      </c>
      <c r="D567" s="81" t="s">
        <v>478</v>
      </c>
      <c r="E567" s="82">
        <v>1</v>
      </c>
      <c r="F567" s="82" t="s">
        <v>39</v>
      </c>
      <c r="G567" s="210">
        <v>80000</v>
      </c>
      <c r="H567" s="110">
        <v>0.5</v>
      </c>
      <c r="I567" s="84"/>
      <c r="J567" s="5" t="s">
        <v>89</v>
      </c>
    </row>
    <row r="568" spans="1:10" ht="25" customHeight="1">
      <c r="A568" s="78"/>
      <c r="B568" s="79" t="s">
        <v>755</v>
      </c>
      <c r="C568" s="124" t="s">
        <v>754</v>
      </c>
      <c r="D568" s="81" t="s">
        <v>40</v>
      </c>
      <c r="E568" s="82">
        <v>1</v>
      </c>
      <c r="F568" s="82" t="s">
        <v>39</v>
      </c>
      <c r="G568" s="210">
        <v>100000</v>
      </c>
      <c r="H568" s="110">
        <v>0.5</v>
      </c>
      <c r="I568" s="84"/>
      <c r="J568" s="5" t="s">
        <v>89</v>
      </c>
    </row>
    <row r="569" spans="1:10" ht="25" customHeight="1">
      <c r="A569" s="78"/>
      <c r="B569" s="79" t="s">
        <v>756</v>
      </c>
      <c r="C569" s="124" t="s">
        <v>754</v>
      </c>
      <c r="D569" s="81" t="s">
        <v>587</v>
      </c>
      <c r="E569" s="82">
        <v>1.5</v>
      </c>
      <c r="F569" s="82" t="s">
        <v>39</v>
      </c>
      <c r="G569" s="210">
        <v>160000</v>
      </c>
      <c r="H569" s="110">
        <v>0.5</v>
      </c>
      <c r="I569" s="84"/>
      <c r="J569" s="5" t="s">
        <v>89</v>
      </c>
    </row>
    <row r="570" spans="1:10" ht="25" customHeight="1">
      <c r="A570" s="78"/>
      <c r="B570" s="79" t="s">
        <v>757</v>
      </c>
      <c r="C570" s="124" t="s">
        <v>754</v>
      </c>
      <c r="D570" s="81" t="s">
        <v>589</v>
      </c>
      <c r="E570" s="82">
        <v>2</v>
      </c>
      <c r="F570" s="82" t="s">
        <v>39</v>
      </c>
      <c r="G570" s="210">
        <v>280000</v>
      </c>
      <c r="H570" s="110">
        <v>0.5</v>
      </c>
      <c r="I570" s="84"/>
      <c r="J570" s="5" t="s">
        <v>89</v>
      </c>
    </row>
    <row r="571" spans="1:10" ht="25" customHeight="1">
      <c r="A571" s="78"/>
      <c r="B571" s="79" t="s">
        <v>758</v>
      </c>
      <c r="C571" s="124" t="s">
        <v>754</v>
      </c>
      <c r="D571" s="81" t="s">
        <v>429</v>
      </c>
      <c r="E571" s="82">
        <v>2.5</v>
      </c>
      <c r="F571" s="82" t="s">
        <v>39</v>
      </c>
      <c r="G571" s="210">
        <v>400000</v>
      </c>
      <c r="H571" s="110">
        <v>0.5</v>
      </c>
      <c r="I571" s="84"/>
      <c r="J571" s="5" t="s">
        <v>89</v>
      </c>
    </row>
    <row r="572" spans="1:10" ht="25" customHeight="1">
      <c r="A572" s="78"/>
      <c r="B572" s="79" t="s">
        <v>759</v>
      </c>
      <c r="C572" s="124" t="s">
        <v>754</v>
      </c>
      <c r="D572" s="81" t="s">
        <v>665</v>
      </c>
      <c r="E572" s="82">
        <v>3</v>
      </c>
      <c r="F572" s="82" t="s">
        <v>39</v>
      </c>
      <c r="G572" s="210">
        <v>520000</v>
      </c>
      <c r="H572" s="110">
        <v>0.5</v>
      </c>
      <c r="I572" s="84"/>
      <c r="J572" s="5" t="s">
        <v>89</v>
      </c>
    </row>
    <row r="573" spans="1:10" ht="25" customHeight="1">
      <c r="A573" s="63"/>
      <c r="B573" s="106"/>
      <c r="C573" s="197" t="s">
        <v>760</v>
      </c>
      <c r="D573" s="108"/>
      <c r="E573" s="66"/>
      <c r="F573" s="66"/>
      <c r="G573" s="109"/>
      <c r="H573" s="69"/>
      <c r="I573" s="68"/>
    </row>
    <row r="574" spans="1:10" ht="25" customHeight="1">
      <c r="A574" s="128"/>
      <c r="B574" s="79" t="s">
        <v>761</v>
      </c>
      <c r="C574" s="124" t="s">
        <v>760</v>
      </c>
      <c r="D574" s="81" t="s">
        <v>478</v>
      </c>
      <c r="E574" s="82">
        <v>1</v>
      </c>
      <c r="F574" s="82" t="s">
        <v>39</v>
      </c>
      <c r="G574" s="210">
        <v>80000</v>
      </c>
      <c r="H574" s="211">
        <v>1</v>
      </c>
      <c r="I574" s="196"/>
      <c r="J574" s="5" t="s">
        <v>89</v>
      </c>
    </row>
    <row r="575" spans="1:10" ht="25" customHeight="1">
      <c r="A575" s="78"/>
      <c r="B575" s="79" t="s">
        <v>762</v>
      </c>
      <c r="C575" s="124" t="s">
        <v>760</v>
      </c>
      <c r="D575" s="81" t="s">
        <v>40</v>
      </c>
      <c r="E575" s="82">
        <v>1</v>
      </c>
      <c r="F575" s="82" t="s">
        <v>39</v>
      </c>
      <c r="G575" s="210">
        <v>100000</v>
      </c>
      <c r="H575" s="211">
        <v>1</v>
      </c>
      <c r="I575" s="84"/>
      <c r="J575" s="5" t="s">
        <v>89</v>
      </c>
    </row>
    <row r="576" spans="1:10" ht="25" customHeight="1">
      <c r="A576" s="78"/>
      <c r="B576" s="79" t="s">
        <v>763</v>
      </c>
      <c r="C576" s="124" t="s">
        <v>760</v>
      </c>
      <c r="D576" s="81" t="s">
        <v>587</v>
      </c>
      <c r="E576" s="82">
        <v>1.5</v>
      </c>
      <c r="F576" s="82" t="s">
        <v>39</v>
      </c>
      <c r="G576" s="210">
        <v>160000</v>
      </c>
      <c r="H576" s="211">
        <v>1</v>
      </c>
      <c r="I576" s="84"/>
      <c r="J576" s="5" t="s">
        <v>89</v>
      </c>
    </row>
    <row r="577" spans="1:10" ht="25" customHeight="1">
      <c r="A577" s="78"/>
      <c r="B577" s="79" t="s">
        <v>764</v>
      </c>
      <c r="C577" s="124" t="s">
        <v>760</v>
      </c>
      <c r="D577" s="81" t="s">
        <v>589</v>
      </c>
      <c r="E577" s="82">
        <v>2</v>
      </c>
      <c r="F577" s="82" t="s">
        <v>39</v>
      </c>
      <c r="G577" s="210">
        <v>280000</v>
      </c>
      <c r="H577" s="211">
        <v>1</v>
      </c>
      <c r="I577" s="84"/>
      <c r="J577" s="5" t="s">
        <v>89</v>
      </c>
    </row>
    <row r="578" spans="1:10" ht="25" customHeight="1">
      <c r="A578" s="78"/>
      <c r="B578" s="79" t="s">
        <v>765</v>
      </c>
      <c r="C578" s="124" t="s">
        <v>760</v>
      </c>
      <c r="D578" s="81" t="s">
        <v>429</v>
      </c>
      <c r="E578" s="82">
        <v>2.5</v>
      </c>
      <c r="F578" s="82" t="s">
        <v>39</v>
      </c>
      <c r="G578" s="210">
        <v>400000</v>
      </c>
      <c r="H578" s="211">
        <v>1</v>
      </c>
      <c r="I578" s="84"/>
      <c r="J578" s="5" t="s">
        <v>89</v>
      </c>
    </row>
    <row r="579" spans="1:10" ht="25" customHeight="1">
      <c r="A579" s="78"/>
      <c r="B579" s="79" t="s">
        <v>766</v>
      </c>
      <c r="C579" s="124" t="s">
        <v>760</v>
      </c>
      <c r="D579" s="81" t="s">
        <v>94</v>
      </c>
      <c r="E579" s="82">
        <v>3</v>
      </c>
      <c r="F579" s="82" t="s">
        <v>39</v>
      </c>
      <c r="G579" s="210">
        <v>520000</v>
      </c>
      <c r="H579" s="211">
        <v>1</v>
      </c>
      <c r="I579" s="84"/>
      <c r="J579" s="5" t="s">
        <v>89</v>
      </c>
    </row>
    <row r="580" spans="1:10" ht="25" customHeight="1">
      <c r="A580" s="63"/>
      <c r="B580" s="106"/>
      <c r="C580" s="197" t="s">
        <v>767</v>
      </c>
      <c r="D580" s="108"/>
      <c r="E580" s="66">
        <f>10000/400</f>
        <v>25</v>
      </c>
      <c r="F580" s="66"/>
      <c r="G580" s="109"/>
      <c r="H580" s="69"/>
      <c r="I580" s="68"/>
    </row>
    <row r="581" spans="1:10" ht="25" customHeight="1">
      <c r="A581" s="78"/>
      <c r="B581" s="79" t="s">
        <v>768</v>
      </c>
      <c r="C581" s="124" t="s">
        <v>769</v>
      </c>
      <c r="D581" s="73" t="s">
        <v>63</v>
      </c>
      <c r="E581" s="66"/>
      <c r="F581" s="82" t="s">
        <v>31</v>
      </c>
      <c r="G581" s="83">
        <v>70000</v>
      </c>
      <c r="H581" s="110">
        <v>1</v>
      </c>
      <c r="I581" s="84"/>
      <c r="J581" s="5" t="s">
        <v>89</v>
      </c>
    </row>
    <row r="582" spans="1:10" ht="25" customHeight="1">
      <c r="A582" s="78"/>
      <c r="B582" s="79" t="s">
        <v>770</v>
      </c>
      <c r="C582" s="124" t="s">
        <v>769</v>
      </c>
      <c r="D582" s="81" t="s">
        <v>66</v>
      </c>
      <c r="E582" s="66">
        <f>10000/400</f>
        <v>25</v>
      </c>
      <c r="F582" s="82" t="s">
        <v>39</v>
      </c>
      <c r="G582" s="83">
        <v>130000</v>
      </c>
      <c r="H582" s="110">
        <v>1</v>
      </c>
      <c r="I582" s="84"/>
      <c r="J582" s="5" t="s">
        <v>89</v>
      </c>
    </row>
    <row r="583" spans="1:10" ht="25" customHeight="1">
      <c r="A583" s="78"/>
      <c r="B583" s="79" t="s">
        <v>771</v>
      </c>
      <c r="C583" s="124" t="s">
        <v>769</v>
      </c>
      <c r="D583" s="81" t="s">
        <v>68</v>
      </c>
      <c r="E583" s="66">
        <f>10000/400</f>
        <v>25</v>
      </c>
      <c r="F583" s="82" t="s">
        <v>39</v>
      </c>
      <c r="G583" s="83">
        <v>220000</v>
      </c>
      <c r="H583" s="110">
        <v>1</v>
      </c>
      <c r="I583" s="84"/>
      <c r="J583" s="5" t="s">
        <v>89</v>
      </c>
    </row>
    <row r="584" spans="1:10" ht="25" customHeight="1">
      <c r="A584" s="78"/>
      <c r="B584" s="79" t="s">
        <v>772</v>
      </c>
      <c r="C584" s="124" t="s">
        <v>769</v>
      </c>
      <c r="D584" s="81" t="s">
        <v>70</v>
      </c>
      <c r="E584" s="66">
        <f>10000/400</f>
        <v>25</v>
      </c>
      <c r="F584" s="82" t="s">
        <v>39</v>
      </c>
      <c r="G584" s="83">
        <v>330000</v>
      </c>
      <c r="H584" s="110">
        <v>1</v>
      </c>
      <c r="I584" s="84"/>
      <c r="J584" s="5" t="s">
        <v>89</v>
      </c>
    </row>
    <row r="585" spans="1:10" ht="25" customHeight="1">
      <c r="A585" s="78"/>
      <c r="B585" s="79" t="s">
        <v>773</v>
      </c>
      <c r="C585" s="124" t="s">
        <v>769</v>
      </c>
      <c r="D585" s="81" t="s">
        <v>72</v>
      </c>
      <c r="E585" s="66">
        <f>10000/400</f>
        <v>25</v>
      </c>
      <c r="F585" s="82" t="s">
        <v>39</v>
      </c>
      <c r="G585" s="83">
        <v>360000</v>
      </c>
      <c r="H585" s="110">
        <v>1</v>
      </c>
      <c r="I585" s="84"/>
      <c r="J585" s="5" t="s">
        <v>89</v>
      </c>
    </row>
    <row r="586" spans="1:10" ht="25" customHeight="1">
      <c r="A586" s="78"/>
      <c r="B586" s="79" t="s">
        <v>774</v>
      </c>
      <c r="C586" s="124" t="s">
        <v>769</v>
      </c>
      <c r="D586" s="88" t="s">
        <v>74</v>
      </c>
      <c r="E586" s="66">
        <f>10000/400</f>
        <v>25</v>
      </c>
      <c r="F586" s="82" t="s">
        <v>39</v>
      </c>
      <c r="G586" s="83">
        <v>500000</v>
      </c>
      <c r="H586" s="110">
        <v>1</v>
      </c>
      <c r="I586" s="84"/>
      <c r="J586" s="5" t="s">
        <v>89</v>
      </c>
    </row>
    <row r="587" spans="1:10" ht="25" customHeight="1">
      <c r="A587" s="78"/>
      <c r="B587" s="79" t="s">
        <v>775</v>
      </c>
      <c r="C587" s="124" t="s">
        <v>776</v>
      </c>
      <c r="D587" s="73" t="s">
        <v>63</v>
      </c>
      <c r="E587" s="66"/>
      <c r="F587" s="82" t="s">
        <v>31</v>
      </c>
      <c r="G587" s="83">
        <v>70000</v>
      </c>
      <c r="H587" s="110">
        <v>0.5</v>
      </c>
      <c r="I587" s="84"/>
      <c r="J587" s="5" t="s">
        <v>89</v>
      </c>
    </row>
    <row r="588" spans="1:10" ht="25" customHeight="1">
      <c r="A588" s="78"/>
      <c r="B588" s="79" t="s">
        <v>777</v>
      </c>
      <c r="C588" s="124" t="s">
        <v>776</v>
      </c>
      <c r="D588" s="81" t="s">
        <v>66</v>
      </c>
      <c r="E588" s="66">
        <f t="shared" ref="E588:E593" si="22">10000/400</f>
        <v>25</v>
      </c>
      <c r="F588" s="82" t="s">
        <v>39</v>
      </c>
      <c r="G588" s="83">
        <v>130000</v>
      </c>
      <c r="H588" s="110">
        <v>0.5</v>
      </c>
      <c r="I588" s="84"/>
      <c r="J588" s="5" t="s">
        <v>89</v>
      </c>
    </row>
    <row r="589" spans="1:10" ht="25" customHeight="1">
      <c r="A589" s="78"/>
      <c r="B589" s="79" t="s">
        <v>778</v>
      </c>
      <c r="C589" s="124" t="s">
        <v>776</v>
      </c>
      <c r="D589" s="81" t="s">
        <v>68</v>
      </c>
      <c r="E589" s="66">
        <f t="shared" si="22"/>
        <v>25</v>
      </c>
      <c r="F589" s="82" t="s">
        <v>39</v>
      </c>
      <c r="G589" s="83">
        <v>220000</v>
      </c>
      <c r="H589" s="110">
        <v>0.5</v>
      </c>
      <c r="I589" s="84"/>
      <c r="J589" s="5" t="s">
        <v>89</v>
      </c>
    </row>
    <row r="590" spans="1:10" ht="25" customHeight="1">
      <c r="A590" s="78"/>
      <c r="B590" s="79" t="s">
        <v>779</v>
      </c>
      <c r="C590" s="124" t="s">
        <v>776</v>
      </c>
      <c r="D590" s="81" t="s">
        <v>70</v>
      </c>
      <c r="E590" s="66">
        <f t="shared" si="22"/>
        <v>25</v>
      </c>
      <c r="F590" s="82" t="s">
        <v>39</v>
      </c>
      <c r="G590" s="83">
        <v>330000</v>
      </c>
      <c r="H590" s="110">
        <v>0.5</v>
      </c>
      <c r="I590" s="84"/>
      <c r="J590" s="5" t="s">
        <v>89</v>
      </c>
    </row>
    <row r="591" spans="1:10" ht="25" customHeight="1">
      <c r="A591" s="78"/>
      <c r="B591" s="79" t="s">
        <v>780</v>
      </c>
      <c r="C591" s="124" t="s">
        <v>776</v>
      </c>
      <c r="D591" s="81" t="s">
        <v>72</v>
      </c>
      <c r="E591" s="66">
        <f t="shared" si="22"/>
        <v>25</v>
      </c>
      <c r="F591" s="82" t="s">
        <v>39</v>
      </c>
      <c r="G591" s="83">
        <v>360000</v>
      </c>
      <c r="H591" s="110">
        <v>0.5</v>
      </c>
      <c r="I591" s="84"/>
      <c r="J591" s="5" t="s">
        <v>89</v>
      </c>
    </row>
    <row r="592" spans="1:10" ht="25" customHeight="1">
      <c r="A592" s="78"/>
      <c r="B592" s="79" t="s">
        <v>781</v>
      </c>
      <c r="C592" s="124" t="s">
        <v>776</v>
      </c>
      <c r="D592" s="88" t="s">
        <v>74</v>
      </c>
      <c r="E592" s="66">
        <f t="shared" si="22"/>
        <v>25</v>
      </c>
      <c r="F592" s="82" t="s">
        <v>39</v>
      </c>
      <c r="G592" s="83">
        <v>500000</v>
      </c>
      <c r="H592" s="110">
        <v>0.5</v>
      </c>
      <c r="I592" s="84"/>
      <c r="J592" s="5" t="s">
        <v>89</v>
      </c>
    </row>
    <row r="593" spans="1:10" ht="25" customHeight="1">
      <c r="A593" s="78"/>
      <c r="B593" s="79" t="s">
        <v>782</v>
      </c>
      <c r="C593" s="124" t="s">
        <v>783</v>
      </c>
      <c r="D593" s="81" t="s">
        <v>66</v>
      </c>
      <c r="E593" s="66">
        <f t="shared" si="22"/>
        <v>25</v>
      </c>
      <c r="F593" s="82" t="s">
        <v>39</v>
      </c>
      <c r="G593" s="83">
        <v>130000</v>
      </c>
      <c r="H593" s="110">
        <v>0.3</v>
      </c>
      <c r="I593" s="84"/>
      <c r="J593" s="5" t="s">
        <v>89</v>
      </c>
    </row>
    <row r="594" spans="1:10" ht="25" customHeight="1">
      <c r="A594" s="63"/>
      <c r="B594" s="106"/>
      <c r="C594" s="197" t="s">
        <v>784</v>
      </c>
      <c r="D594" s="108"/>
      <c r="E594" s="66"/>
      <c r="F594" s="66"/>
      <c r="G594" s="109"/>
      <c r="H594" s="69"/>
      <c r="I594" s="68"/>
      <c r="J594" s="5" t="s">
        <v>89</v>
      </c>
    </row>
    <row r="595" spans="1:10" ht="25" customHeight="1">
      <c r="A595" s="78"/>
      <c r="B595" s="106"/>
      <c r="C595" s="197" t="s">
        <v>784</v>
      </c>
      <c r="D595" s="108"/>
      <c r="E595" s="66"/>
      <c r="F595" s="66"/>
      <c r="G595" s="109"/>
      <c r="H595" s="69"/>
      <c r="I595" s="84"/>
      <c r="J595" s="5" t="s">
        <v>89</v>
      </c>
    </row>
    <row r="596" spans="1:10" ht="25" customHeight="1">
      <c r="A596" s="78"/>
      <c r="B596" s="79" t="s">
        <v>785</v>
      </c>
      <c r="C596" s="124" t="s">
        <v>784</v>
      </c>
      <c r="D596" s="73" t="s">
        <v>63</v>
      </c>
      <c r="E596" s="212"/>
      <c r="F596" s="82" t="s">
        <v>31</v>
      </c>
      <c r="G596" s="83">
        <v>70000</v>
      </c>
      <c r="H596" s="110">
        <v>1</v>
      </c>
      <c r="I596" s="84"/>
      <c r="J596" s="5" t="s">
        <v>89</v>
      </c>
    </row>
    <row r="597" spans="1:10" ht="25" customHeight="1">
      <c r="A597" s="78"/>
      <c r="B597" s="79" t="s">
        <v>786</v>
      </c>
      <c r="C597" s="124" t="s">
        <v>784</v>
      </c>
      <c r="D597" s="81" t="s">
        <v>66</v>
      </c>
      <c r="E597" s="212">
        <f>360/72</f>
        <v>5</v>
      </c>
      <c r="F597" s="82" t="s">
        <v>39</v>
      </c>
      <c r="G597" s="83">
        <v>130000</v>
      </c>
      <c r="H597" s="110">
        <v>1</v>
      </c>
      <c r="I597" s="84"/>
      <c r="J597" s="5" t="s">
        <v>89</v>
      </c>
    </row>
    <row r="598" spans="1:10" ht="25" customHeight="1">
      <c r="A598" s="78"/>
      <c r="B598" s="79" t="s">
        <v>787</v>
      </c>
      <c r="C598" s="124" t="s">
        <v>784</v>
      </c>
      <c r="D598" s="81" t="s">
        <v>68</v>
      </c>
      <c r="E598" s="212">
        <f>360/54</f>
        <v>6.666666666666667</v>
      </c>
      <c r="F598" s="82" t="s">
        <v>39</v>
      </c>
      <c r="G598" s="83">
        <v>220000</v>
      </c>
      <c r="H598" s="110">
        <v>1</v>
      </c>
      <c r="I598" s="84"/>
      <c r="J598" s="5" t="s">
        <v>89</v>
      </c>
    </row>
    <row r="599" spans="1:10" ht="25" customHeight="1">
      <c r="A599" s="78"/>
      <c r="B599" s="79" t="s">
        <v>788</v>
      </c>
      <c r="C599" s="124" t="s">
        <v>784</v>
      </c>
      <c r="D599" s="81" t="s">
        <v>70</v>
      </c>
      <c r="E599" s="212">
        <f>360/43</f>
        <v>8.3720930232558146</v>
      </c>
      <c r="F599" s="82" t="s">
        <v>39</v>
      </c>
      <c r="G599" s="83">
        <v>330000</v>
      </c>
      <c r="H599" s="110">
        <v>1</v>
      </c>
      <c r="I599" s="84"/>
      <c r="J599" s="5" t="s">
        <v>89</v>
      </c>
    </row>
    <row r="600" spans="1:10" ht="25" customHeight="1">
      <c r="A600" s="78"/>
      <c r="B600" s="79" t="s">
        <v>789</v>
      </c>
      <c r="C600" s="124" t="s">
        <v>784</v>
      </c>
      <c r="D600" s="81" t="s">
        <v>72</v>
      </c>
      <c r="E600" s="212">
        <f>360/43</f>
        <v>8.3720930232558146</v>
      </c>
      <c r="F600" s="82" t="s">
        <v>39</v>
      </c>
      <c r="G600" s="83">
        <v>360000</v>
      </c>
      <c r="H600" s="110">
        <v>1</v>
      </c>
      <c r="I600" s="84"/>
      <c r="J600" s="5" t="s">
        <v>89</v>
      </c>
    </row>
    <row r="601" spans="1:10" ht="25" customHeight="1">
      <c r="A601" s="78"/>
      <c r="B601" s="79" t="s">
        <v>790</v>
      </c>
      <c r="C601" s="124" t="s">
        <v>784</v>
      </c>
      <c r="D601" s="88" t="s">
        <v>74</v>
      </c>
      <c r="E601" s="212">
        <f>360/32</f>
        <v>11.25</v>
      </c>
      <c r="F601" s="82" t="s">
        <v>39</v>
      </c>
      <c r="G601" s="83">
        <v>500000</v>
      </c>
      <c r="H601" s="110">
        <v>1</v>
      </c>
      <c r="I601" s="84"/>
      <c r="J601" s="5" t="s">
        <v>89</v>
      </c>
    </row>
    <row r="602" spans="1:10" ht="25" customHeight="1">
      <c r="A602" s="78"/>
      <c r="B602" s="79" t="s">
        <v>791</v>
      </c>
      <c r="C602" s="124" t="s">
        <v>792</v>
      </c>
      <c r="D602" s="73" t="s">
        <v>63</v>
      </c>
      <c r="E602" s="212"/>
      <c r="F602" s="82" t="s">
        <v>31</v>
      </c>
      <c r="G602" s="83">
        <v>70000</v>
      </c>
      <c r="H602" s="110">
        <v>0.5</v>
      </c>
      <c r="I602" s="84"/>
      <c r="J602" s="5" t="s">
        <v>89</v>
      </c>
    </row>
    <row r="603" spans="1:10" ht="25" customHeight="1">
      <c r="A603" s="78"/>
      <c r="B603" s="79" t="s">
        <v>793</v>
      </c>
      <c r="C603" s="124" t="s">
        <v>792</v>
      </c>
      <c r="D603" s="81" t="s">
        <v>66</v>
      </c>
      <c r="E603" s="212">
        <f>360/72</f>
        <v>5</v>
      </c>
      <c r="F603" s="82" t="s">
        <v>39</v>
      </c>
      <c r="G603" s="83">
        <v>130000</v>
      </c>
      <c r="H603" s="110">
        <v>0.5</v>
      </c>
      <c r="I603" s="84"/>
      <c r="J603" s="5" t="s">
        <v>89</v>
      </c>
    </row>
    <row r="604" spans="1:10" ht="25" customHeight="1">
      <c r="A604" s="78"/>
      <c r="B604" s="79" t="s">
        <v>794</v>
      </c>
      <c r="C604" s="124" t="s">
        <v>792</v>
      </c>
      <c r="D604" s="81" t="s">
        <v>68</v>
      </c>
      <c r="E604" s="212">
        <f>360/54</f>
        <v>6.666666666666667</v>
      </c>
      <c r="F604" s="82" t="s">
        <v>39</v>
      </c>
      <c r="G604" s="83">
        <v>220000</v>
      </c>
      <c r="H604" s="110">
        <v>0.5</v>
      </c>
      <c r="I604" s="84"/>
      <c r="J604" s="5" t="s">
        <v>89</v>
      </c>
    </row>
    <row r="605" spans="1:10" ht="25" customHeight="1">
      <c r="A605" s="78"/>
      <c r="B605" s="79" t="s">
        <v>795</v>
      </c>
      <c r="C605" s="124" t="s">
        <v>792</v>
      </c>
      <c r="D605" s="81" t="s">
        <v>70</v>
      </c>
      <c r="E605" s="212">
        <f>360/43</f>
        <v>8.3720930232558146</v>
      </c>
      <c r="F605" s="82" t="s">
        <v>39</v>
      </c>
      <c r="G605" s="83">
        <v>330000</v>
      </c>
      <c r="H605" s="110">
        <v>0.5</v>
      </c>
      <c r="I605" s="84"/>
      <c r="J605" s="5" t="s">
        <v>89</v>
      </c>
    </row>
    <row r="606" spans="1:10" ht="25" customHeight="1">
      <c r="A606" s="78"/>
      <c r="B606" s="79" t="s">
        <v>796</v>
      </c>
      <c r="C606" s="124" t="s">
        <v>792</v>
      </c>
      <c r="D606" s="81" t="s">
        <v>72</v>
      </c>
      <c r="E606" s="212">
        <f>360/43</f>
        <v>8.3720930232558146</v>
      </c>
      <c r="F606" s="82" t="s">
        <v>39</v>
      </c>
      <c r="G606" s="83">
        <v>360000</v>
      </c>
      <c r="H606" s="110">
        <v>0.5</v>
      </c>
      <c r="I606" s="84"/>
      <c r="J606" s="5" t="s">
        <v>89</v>
      </c>
    </row>
    <row r="607" spans="1:10" ht="25" customHeight="1">
      <c r="A607" s="78"/>
      <c r="B607" s="79" t="s">
        <v>797</v>
      </c>
      <c r="C607" s="124" t="s">
        <v>792</v>
      </c>
      <c r="D607" s="88" t="s">
        <v>74</v>
      </c>
      <c r="E607" s="212">
        <f>360/32</f>
        <v>11.25</v>
      </c>
      <c r="F607" s="82" t="s">
        <v>39</v>
      </c>
      <c r="G607" s="83">
        <v>500000</v>
      </c>
      <c r="H607" s="110">
        <v>0.5</v>
      </c>
      <c r="I607" s="84"/>
      <c r="J607" s="5" t="s">
        <v>89</v>
      </c>
    </row>
    <row r="608" spans="1:10" ht="25" customHeight="1">
      <c r="A608" s="63"/>
      <c r="B608" s="79" t="s">
        <v>798</v>
      </c>
      <c r="C608" s="124" t="s">
        <v>799</v>
      </c>
      <c r="D608" s="81" t="s">
        <v>66</v>
      </c>
      <c r="E608" s="212">
        <v>5</v>
      </c>
      <c r="F608" s="82" t="s">
        <v>39</v>
      </c>
      <c r="G608" s="83">
        <v>130000</v>
      </c>
      <c r="H608" s="110">
        <v>0.3</v>
      </c>
      <c r="I608" s="68"/>
    </row>
    <row r="609" spans="1:10" ht="25" customHeight="1">
      <c r="A609" s="78"/>
      <c r="B609" s="79" t="s">
        <v>800</v>
      </c>
      <c r="C609" s="124" t="s">
        <v>801</v>
      </c>
      <c r="D609" s="73" t="s">
        <v>63</v>
      </c>
      <c r="E609" s="108" t="s">
        <v>802</v>
      </c>
      <c r="F609" s="82" t="s">
        <v>31</v>
      </c>
      <c r="G609" s="83">
        <v>70000</v>
      </c>
      <c r="H609" s="110">
        <v>1</v>
      </c>
      <c r="I609" s="84"/>
      <c r="J609" s="5" t="s">
        <v>89</v>
      </c>
    </row>
    <row r="610" spans="1:10" ht="25" customHeight="1">
      <c r="A610" s="78"/>
      <c r="B610" s="79" t="s">
        <v>803</v>
      </c>
      <c r="C610" s="124" t="s">
        <v>801</v>
      </c>
      <c r="D610" s="81" t="s">
        <v>66</v>
      </c>
      <c r="E610" s="108" t="s">
        <v>804</v>
      </c>
      <c r="F610" s="82" t="s">
        <v>39</v>
      </c>
      <c r="G610" s="83">
        <v>180000</v>
      </c>
      <c r="H610" s="110">
        <v>1</v>
      </c>
      <c r="I610" s="84"/>
      <c r="J610" s="5" t="s">
        <v>89</v>
      </c>
    </row>
    <row r="611" spans="1:10" ht="25" customHeight="1">
      <c r="A611" s="78"/>
      <c r="B611" s="79" t="s">
        <v>805</v>
      </c>
      <c r="C611" s="124" t="s">
        <v>801</v>
      </c>
      <c r="D611" s="81" t="s">
        <v>68</v>
      </c>
      <c r="E611" s="108" t="s">
        <v>804</v>
      </c>
      <c r="F611" s="82" t="s">
        <v>39</v>
      </c>
      <c r="G611" s="83">
        <v>300000</v>
      </c>
      <c r="H611" s="110">
        <v>1</v>
      </c>
      <c r="I611" s="84"/>
      <c r="J611" s="5" t="s">
        <v>89</v>
      </c>
    </row>
    <row r="612" spans="1:10" ht="25" customHeight="1">
      <c r="A612" s="78"/>
      <c r="B612" s="79" t="s">
        <v>806</v>
      </c>
      <c r="C612" s="124" t="s">
        <v>801</v>
      </c>
      <c r="D612" s="81" t="s">
        <v>70</v>
      </c>
      <c r="E612" s="108" t="s">
        <v>804</v>
      </c>
      <c r="F612" s="82" t="s">
        <v>39</v>
      </c>
      <c r="G612" s="83">
        <v>520000</v>
      </c>
      <c r="H612" s="110">
        <v>1</v>
      </c>
      <c r="I612" s="84"/>
      <c r="J612" s="5" t="s">
        <v>89</v>
      </c>
    </row>
    <row r="613" spans="1:10" ht="25" customHeight="1">
      <c r="A613" s="78"/>
      <c r="B613" s="79" t="s">
        <v>807</v>
      </c>
      <c r="C613" s="124" t="s">
        <v>801</v>
      </c>
      <c r="D613" s="81" t="s">
        <v>72</v>
      </c>
      <c r="E613" s="108" t="s">
        <v>804</v>
      </c>
      <c r="F613" s="82" t="s">
        <v>39</v>
      </c>
      <c r="G613" s="83">
        <v>700000</v>
      </c>
      <c r="H613" s="110">
        <v>1</v>
      </c>
      <c r="I613" s="84"/>
      <c r="J613" s="5" t="s">
        <v>89</v>
      </c>
    </row>
    <row r="614" spans="1:10" ht="25" customHeight="1">
      <c r="A614" s="85"/>
      <c r="B614" s="86" t="s">
        <v>808</v>
      </c>
      <c r="C614" s="125" t="s">
        <v>801</v>
      </c>
      <c r="D614" s="88" t="s">
        <v>74</v>
      </c>
      <c r="E614" s="108" t="s">
        <v>804</v>
      </c>
      <c r="F614" s="89" t="s">
        <v>39</v>
      </c>
      <c r="G614" s="90">
        <v>1000000</v>
      </c>
      <c r="H614" s="110">
        <v>1</v>
      </c>
      <c r="I614" s="91"/>
      <c r="J614" s="5" t="s">
        <v>89</v>
      </c>
    </row>
    <row r="615" spans="1:10" ht="25" customHeight="1">
      <c r="A615" s="143"/>
      <c r="B615" s="144" t="s">
        <v>809</v>
      </c>
      <c r="C615" s="184" t="s">
        <v>810</v>
      </c>
      <c r="D615" s="145" t="s">
        <v>63</v>
      </c>
      <c r="E615" s="108" t="s">
        <v>804</v>
      </c>
      <c r="F615" s="185" t="s">
        <v>31</v>
      </c>
      <c r="G615" s="207">
        <v>70000</v>
      </c>
      <c r="H615" s="170">
        <v>0.5</v>
      </c>
      <c r="I615" s="146"/>
      <c r="J615" s="5" t="s">
        <v>89</v>
      </c>
    </row>
    <row r="616" spans="1:10" ht="25" customHeight="1">
      <c r="A616" s="78"/>
      <c r="B616" s="79" t="s">
        <v>811</v>
      </c>
      <c r="C616" s="124" t="s">
        <v>810</v>
      </c>
      <c r="D616" s="81" t="s">
        <v>66</v>
      </c>
      <c r="E616" s="108" t="s">
        <v>804</v>
      </c>
      <c r="F616" s="82" t="s">
        <v>39</v>
      </c>
      <c r="G616" s="83">
        <v>180000</v>
      </c>
      <c r="H616" s="170">
        <v>0.5</v>
      </c>
      <c r="I616" s="84"/>
      <c r="J616" s="5" t="s">
        <v>89</v>
      </c>
    </row>
    <row r="617" spans="1:10" ht="25" customHeight="1">
      <c r="A617" s="78"/>
      <c r="B617" s="79" t="s">
        <v>812</v>
      </c>
      <c r="C617" s="124" t="s">
        <v>810</v>
      </c>
      <c r="D617" s="81" t="s">
        <v>68</v>
      </c>
      <c r="E617" s="108" t="s">
        <v>804</v>
      </c>
      <c r="F617" s="82" t="s">
        <v>39</v>
      </c>
      <c r="G617" s="83">
        <v>300000</v>
      </c>
      <c r="H617" s="170">
        <v>0.5</v>
      </c>
      <c r="I617" s="84"/>
      <c r="J617" s="5" t="s">
        <v>89</v>
      </c>
    </row>
    <row r="618" spans="1:10" ht="25" customHeight="1">
      <c r="A618" s="78"/>
      <c r="B618" s="79" t="s">
        <v>813</v>
      </c>
      <c r="C618" s="124" t="s">
        <v>810</v>
      </c>
      <c r="D618" s="81" t="s">
        <v>70</v>
      </c>
      <c r="E618" s="108" t="s">
        <v>804</v>
      </c>
      <c r="F618" s="82" t="s">
        <v>39</v>
      </c>
      <c r="G618" s="83">
        <v>520000</v>
      </c>
      <c r="H618" s="170">
        <v>0.5</v>
      </c>
      <c r="I618" s="84"/>
      <c r="J618" s="5" t="s">
        <v>89</v>
      </c>
    </row>
    <row r="619" spans="1:10" ht="25" customHeight="1">
      <c r="A619" s="78"/>
      <c r="B619" s="79" t="s">
        <v>814</v>
      </c>
      <c r="C619" s="124" t="s">
        <v>810</v>
      </c>
      <c r="D619" s="81" t="s">
        <v>72</v>
      </c>
      <c r="E619" s="108" t="s">
        <v>804</v>
      </c>
      <c r="F619" s="82" t="s">
        <v>39</v>
      </c>
      <c r="G619" s="83">
        <v>700000</v>
      </c>
      <c r="H619" s="170">
        <v>0.5</v>
      </c>
      <c r="I619" s="84"/>
      <c r="J619" s="5" t="s">
        <v>89</v>
      </c>
    </row>
    <row r="620" spans="1:10" ht="25" customHeight="1">
      <c r="A620" s="78"/>
      <c r="B620" s="79" t="s">
        <v>815</v>
      </c>
      <c r="C620" s="124" t="s">
        <v>810</v>
      </c>
      <c r="D620" s="88" t="s">
        <v>74</v>
      </c>
      <c r="E620" s="108" t="s">
        <v>804</v>
      </c>
      <c r="F620" s="82" t="s">
        <v>39</v>
      </c>
      <c r="G620" s="83">
        <v>1000000</v>
      </c>
      <c r="H620" s="170">
        <v>0.5</v>
      </c>
      <c r="I620" s="84"/>
      <c r="J620" s="5" t="s">
        <v>89</v>
      </c>
    </row>
    <row r="621" spans="1:10" ht="25" customHeight="1">
      <c r="A621" s="63"/>
      <c r="B621" s="106"/>
      <c r="C621" s="197" t="s">
        <v>816</v>
      </c>
      <c r="D621" s="108"/>
      <c r="E621" s="66">
        <f>10000/1100</f>
        <v>9.0909090909090917</v>
      </c>
      <c r="F621" s="66"/>
      <c r="G621" s="109"/>
      <c r="H621" s="69"/>
      <c r="I621" s="68"/>
    </row>
    <row r="622" spans="1:10" ht="25" customHeight="1">
      <c r="A622" s="78"/>
      <c r="B622" s="79" t="s">
        <v>817</v>
      </c>
      <c r="C622" s="124" t="s">
        <v>816</v>
      </c>
      <c r="D622" s="73" t="s">
        <v>63</v>
      </c>
      <c r="E622" s="82">
        <v>9.09</v>
      </c>
      <c r="F622" s="82" t="s">
        <v>31</v>
      </c>
      <c r="G622" s="83">
        <v>70000</v>
      </c>
      <c r="H622" s="110">
        <v>1</v>
      </c>
      <c r="I622" s="84"/>
      <c r="J622" s="5" t="s">
        <v>89</v>
      </c>
    </row>
    <row r="623" spans="1:10" ht="25" customHeight="1">
      <c r="A623" s="78"/>
      <c r="B623" s="79" t="s">
        <v>818</v>
      </c>
      <c r="C623" s="124" t="s">
        <v>816</v>
      </c>
      <c r="D623" s="81" t="s">
        <v>66</v>
      </c>
      <c r="E623" s="82">
        <v>9.09</v>
      </c>
      <c r="F623" s="82" t="s">
        <v>39</v>
      </c>
      <c r="G623" s="83">
        <v>130000</v>
      </c>
      <c r="H623" s="110">
        <v>1</v>
      </c>
      <c r="I623" s="84"/>
      <c r="J623" s="5" t="s">
        <v>89</v>
      </c>
    </row>
    <row r="624" spans="1:10" ht="25" customHeight="1">
      <c r="A624" s="78"/>
      <c r="B624" s="79" t="s">
        <v>819</v>
      </c>
      <c r="C624" s="124" t="s">
        <v>816</v>
      </c>
      <c r="D624" s="81" t="s">
        <v>68</v>
      </c>
      <c r="E624" s="82">
        <v>9.09</v>
      </c>
      <c r="F624" s="82" t="s">
        <v>39</v>
      </c>
      <c r="G624" s="83">
        <v>220000</v>
      </c>
      <c r="H624" s="110">
        <v>1</v>
      </c>
      <c r="I624" s="84"/>
      <c r="J624" s="5" t="s">
        <v>89</v>
      </c>
    </row>
    <row r="625" spans="1:10" ht="25" customHeight="1">
      <c r="A625" s="78"/>
      <c r="B625" s="79" t="s">
        <v>820</v>
      </c>
      <c r="C625" s="124" t="s">
        <v>816</v>
      </c>
      <c r="D625" s="81" t="s">
        <v>70</v>
      </c>
      <c r="E625" s="82">
        <v>9.09</v>
      </c>
      <c r="F625" s="82" t="s">
        <v>39</v>
      </c>
      <c r="G625" s="83">
        <v>330000</v>
      </c>
      <c r="H625" s="110">
        <v>1</v>
      </c>
      <c r="I625" s="84"/>
      <c r="J625" s="5" t="s">
        <v>89</v>
      </c>
    </row>
    <row r="626" spans="1:10" ht="25" customHeight="1">
      <c r="A626" s="78"/>
      <c r="B626" s="79" t="s">
        <v>821</v>
      </c>
      <c r="C626" s="124" t="s">
        <v>816</v>
      </c>
      <c r="D626" s="81" t="s">
        <v>72</v>
      </c>
      <c r="E626" s="82">
        <v>9.09</v>
      </c>
      <c r="F626" s="82" t="s">
        <v>39</v>
      </c>
      <c r="G626" s="83">
        <v>360000</v>
      </c>
      <c r="H626" s="110">
        <v>1</v>
      </c>
      <c r="I626" s="84"/>
      <c r="J626" s="5" t="s">
        <v>89</v>
      </c>
    </row>
    <row r="627" spans="1:10" ht="25" customHeight="1">
      <c r="A627" s="78"/>
      <c r="B627" s="79" t="s">
        <v>822</v>
      </c>
      <c r="C627" s="124" t="s">
        <v>816</v>
      </c>
      <c r="D627" s="88" t="s">
        <v>74</v>
      </c>
      <c r="E627" s="82">
        <v>9.09</v>
      </c>
      <c r="F627" s="82" t="s">
        <v>39</v>
      </c>
      <c r="G627" s="83">
        <v>500000</v>
      </c>
      <c r="H627" s="110">
        <v>1</v>
      </c>
      <c r="I627" s="84"/>
      <c r="J627" s="5" t="s">
        <v>89</v>
      </c>
    </row>
    <row r="628" spans="1:10" ht="25" customHeight="1">
      <c r="A628" s="78"/>
      <c r="B628" s="79" t="s">
        <v>823</v>
      </c>
      <c r="C628" s="124" t="s">
        <v>824</v>
      </c>
      <c r="D628" s="73" t="s">
        <v>63</v>
      </c>
      <c r="E628" s="82">
        <v>9.09</v>
      </c>
      <c r="F628" s="82" t="s">
        <v>31</v>
      </c>
      <c r="G628" s="83">
        <v>70000</v>
      </c>
      <c r="H628" s="110">
        <v>0.5</v>
      </c>
      <c r="I628" s="84"/>
      <c r="J628" s="5" t="s">
        <v>89</v>
      </c>
    </row>
    <row r="629" spans="1:10" ht="25" customHeight="1">
      <c r="A629" s="78"/>
      <c r="B629" s="79" t="s">
        <v>825</v>
      </c>
      <c r="C629" s="124" t="s">
        <v>824</v>
      </c>
      <c r="D629" s="81" t="s">
        <v>66</v>
      </c>
      <c r="E629" s="82">
        <v>9.09</v>
      </c>
      <c r="F629" s="82" t="s">
        <v>39</v>
      </c>
      <c r="G629" s="83">
        <v>130000</v>
      </c>
      <c r="H629" s="110">
        <v>0.5</v>
      </c>
      <c r="I629" s="84"/>
      <c r="J629" s="5" t="s">
        <v>89</v>
      </c>
    </row>
    <row r="630" spans="1:10" ht="25" customHeight="1">
      <c r="A630" s="78"/>
      <c r="B630" s="79" t="s">
        <v>826</v>
      </c>
      <c r="C630" s="124" t="s">
        <v>824</v>
      </c>
      <c r="D630" s="81" t="s">
        <v>68</v>
      </c>
      <c r="E630" s="82">
        <v>9.09</v>
      </c>
      <c r="F630" s="82" t="s">
        <v>39</v>
      </c>
      <c r="G630" s="83">
        <v>220000</v>
      </c>
      <c r="H630" s="110">
        <v>0.5</v>
      </c>
      <c r="I630" s="84"/>
      <c r="J630" s="5" t="s">
        <v>89</v>
      </c>
    </row>
    <row r="631" spans="1:10" ht="25" customHeight="1">
      <c r="A631" s="78"/>
      <c r="B631" s="79" t="s">
        <v>827</v>
      </c>
      <c r="C631" s="124" t="s">
        <v>824</v>
      </c>
      <c r="D631" s="81" t="s">
        <v>70</v>
      </c>
      <c r="E631" s="82">
        <v>9.09</v>
      </c>
      <c r="F631" s="82" t="s">
        <v>39</v>
      </c>
      <c r="G631" s="83">
        <v>330000</v>
      </c>
      <c r="H631" s="110">
        <v>0.5</v>
      </c>
      <c r="I631" s="84"/>
      <c r="J631" s="5" t="s">
        <v>89</v>
      </c>
    </row>
    <row r="632" spans="1:10" ht="25" customHeight="1">
      <c r="A632" s="78"/>
      <c r="B632" s="79" t="s">
        <v>828</v>
      </c>
      <c r="C632" s="124" t="s">
        <v>824</v>
      </c>
      <c r="D632" s="81" t="s">
        <v>72</v>
      </c>
      <c r="E632" s="82">
        <v>9.09</v>
      </c>
      <c r="F632" s="82" t="s">
        <v>39</v>
      </c>
      <c r="G632" s="83">
        <v>360000</v>
      </c>
      <c r="H632" s="110">
        <v>0.5</v>
      </c>
      <c r="I632" s="84"/>
      <c r="J632" s="5" t="s">
        <v>89</v>
      </c>
    </row>
    <row r="633" spans="1:10" ht="25" customHeight="1">
      <c r="A633" s="78"/>
      <c r="B633" s="79" t="s">
        <v>829</v>
      </c>
      <c r="C633" s="124" t="s">
        <v>824</v>
      </c>
      <c r="D633" s="88" t="s">
        <v>74</v>
      </c>
      <c r="E633" s="82">
        <v>9.09</v>
      </c>
      <c r="F633" s="82" t="s">
        <v>39</v>
      </c>
      <c r="G633" s="83">
        <v>500000</v>
      </c>
      <c r="H633" s="110">
        <v>0.5</v>
      </c>
      <c r="I633" s="84"/>
      <c r="J633" s="5" t="s">
        <v>89</v>
      </c>
    </row>
    <row r="634" spans="1:10" ht="25" customHeight="1">
      <c r="A634" s="78"/>
      <c r="B634" s="79" t="s">
        <v>830</v>
      </c>
      <c r="C634" s="124" t="s">
        <v>831</v>
      </c>
      <c r="D634" s="81" t="s">
        <v>66</v>
      </c>
      <c r="E634" s="82">
        <v>9.09</v>
      </c>
      <c r="F634" s="82" t="s">
        <v>39</v>
      </c>
      <c r="G634" s="83">
        <v>130000</v>
      </c>
      <c r="H634" s="110">
        <v>0.3</v>
      </c>
      <c r="I634" s="84"/>
      <c r="J634" s="5" t="s">
        <v>89</v>
      </c>
    </row>
    <row r="635" spans="1:10" ht="25" customHeight="1">
      <c r="A635" s="63"/>
      <c r="B635" s="106"/>
      <c r="C635" s="197" t="s">
        <v>832</v>
      </c>
      <c r="D635" s="108"/>
      <c r="E635" s="66"/>
      <c r="F635" s="66"/>
      <c r="G635" s="109"/>
      <c r="H635" s="69"/>
      <c r="I635" s="68"/>
    </row>
    <row r="636" spans="1:10" ht="25" customHeight="1">
      <c r="A636" s="78"/>
      <c r="B636" s="79" t="s">
        <v>833</v>
      </c>
      <c r="C636" s="124" t="s">
        <v>834</v>
      </c>
      <c r="D636" s="81" t="s">
        <v>63</v>
      </c>
      <c r="E636" s="82"/>
      <c r="F636" s="82" t="s">
        <v>31</v>
      </c>
      <c r="G636" s="83">
        <v>36000</v>
      </c>
      <c r="H636" s="110">
        <v>1</v>
      </c>
      <c r="I636" s="84"/>
      <c r="J636" s="5" t="s">
        <v>89</v>
      </c>
    </row>
    <row r="637" spans="1:10" ht="25" customHeight="1">
      <c r="A637" s="78"/>
      <c r="B637" s="79" t="s">
        <v>835</v>
      </c>
      <c r="C637" s="124" t="s">
        <v>834</v>
      </c>
      <c r="D637" s="81" t="s">
        <v>478</v>
      </c>
      <c r="E637" s="82">
        <v>4</v>
      </c>
      <c r="F637" s="82" t="s">
        <v>39</v>
      </c>
      <c r="G637" s="83">
        <v>48000</v>
      </c>
      <c r="H637" s="110">
        <v>1</v>
      </c>
      <c r="I637" s="84"/>
      <c r="J637" s="5" t="s">
        <v>89</v>
      </c>
    </row>
    <row r="638" spans="1:10" ht="25" customHeight="1">
      <c r="A638" s="78"/>
      <c r="B638" s="79" t="s">
        <v>836</v>
      </c>
      <c r="C638" s="124" t="s">
        <v>834</v>
      </c>
      <c r="D638" s="81" t="s">
        <v>480</v>
      </c>
      <c r="E638" s="82">
        <v>4</v>
      </c>
      <c r="F638" s="82" t="s">
        <v>39</v>
      </c>
      <c r="G638" s="83">
        <v>70000</v>
      </c>
      <c r="H638" s="110">
        <v>1</v>
      </c>
      <c r="I638" s="84"/>
      <c r="J638" s="5" t="s">
        <v>89</v>
      </c>
    </row>
    <row r="639" spans="1:10" ht="25" customHeight="1">
      <c r="A639" s="78"/>
      <c r="B639" s="79" t="s">
        <v>837</v>
      </c>
      <c r="C639" s="124" t="s">
        <v>834</v>
      </c>
      <c r="D639" s="81" t="s">
        <v>489</v>
      </c>
      <c r="E639" s="82">
        <v>5</v>
      </c>
      <c r="F639" s="82" t="s">
        <v>39</v>
      </c>
      <c r="G639" s="83">
        <v>95000</v>
      </c>
      <c r="H639" s="110">
        <v>1</v>
      </c>
      <c r="I639" s="84"/>
      <c r="J639" s="5" t="s">
        <v>89</v>
      </c>
    </row>
    <row r="640" spans="1:10" ht="25" customHeight="1">
      <c r="A640" s="78"/>
      <c r="B640" s="79" t="s">
        <v>838</v>
      </c>
      <c r="C640" s="124" t="s">
        <v>834</v>
      </c>
      <c r="D640" s="81" t="s">
        <v>491</v>
      </c>
      <c r="E640" s="82">
        <v>5</v>
      </c>
      <c r="F640" s="82" t="s">
        <v>39</v>
      </c>
      <c r="G640" s="83">
        <v>120000</v>
      </c>
      <c r="H640" s="110">
        <v>1</v>
      </c>
      <c r="I640" s="84"/>
      <c r="J640" s="5" t="s">
        <v>89</v>
      </c>
    </row>
    <row r="641" spans="1:10" ht="25" customHeight="1">
      <c r="A641" s="78"/>
      <c r="B641" s="79" t="s">
        <v>839</v>
      </c>
      <c r="C641" s="124" t="s">
        <v>834</v>
      </c>
      <c r="D641" s="81" t="s">
        <v>840</v>
      </c>
      <c r="E641" s="82">
        <v>6.6666666666666696</v>
      </c>
      <c r="F641" s="82" t="s">
        <v>39</v>
      </c>
      <c r="G641" s="83">
        <v>165000</v>
      </c>
      <c r="H641" s="110">
        <v>1</v>
      </c>
      <c r="I641" s="84"/>
      <c r="J641" s="5" t="s">
        <v>89</v>
      </c>
    </row>
    <row r="642" spans="1:10" ht="25" customHeight="1">
      <c r="A642" s="78"/>
      <c r="B642" s="79" t="s">
        <v>841</v>
      </c>
      <c r="C642" s="124" t="s">
        <v>834</v>
      </c>
      <c r="D642" s="81" t="s">
        <v>842</v>
      </c>
      <c r="E642" s="82">
        <v>6.6666666666666696</v>
      </c>
      <c r="F642" s="82" t="s">
        <v>39</v>
      </c>
      <c r="G642" s="83">
        <v>180000</v>
      </c>
      <c r="H642" s="110">
        <v>1</v>
      </c>
      <c r="I642" s="84"/>
      <c r="J642" s="5" t="s">
        <v>89</v>
      </c>
    </row>
    <row r="643" spans="1:10" ht="25" customHeight="1">
      <c r="A643" s="78"/>
      <c r="B643" s="79" t="s">
        <v>843</v>
      </c>
      <c r="C643" s="124" t="s">
        <v>844</v>
      </c>
      <c r="D643" s="81" t="s">
        <v>63</v>
      </c>
      <c r="E643" s="82"/>
      <c r="F643" s="82" t="s">
        <v>31</v>
      </c>
      <c r="G643" s="83">
        <v>36000</v>
      </c>
      <c r="H643" s="110">
        <v>0.5</v>
      </c>
      <c r="I643" s="84"/>
      <c r="J643" s="5" t="s">
        <v>89</v>
      </c>
    </row>
    <row r="644" spans="1:10" ht="25" customHeight="1">
      <c r="A644" s="78"/>
      <c r="B644" s="79" t="s">
        <v>845</v>
      </c>
      <c r="C644" s="124" t="s">
        <v>844</v>
      </c>
      <c r="D644" s="81" t="s">
        <v>478</v>
      </c>
      <c r="E644" s="82">
        <v>4</v>
      </c>
      <c r="F644" s="82" t="s">
        <v>39</v>
      </c>
      <c r="G644" s="83">
        <v>48000</v>
      </c>
      <c r="H644" s="110">
        <v>0.5</v>
      </c>
      <c r="I644" s="84"/>
      <c r="J644" s="5" t="s">
        <v>89</v>
      </c>
    </row>
    <row r="645" spans="1:10" ht="25" customHeight="1">
      <c r="A645" s="78"/>
      <c r="B645" s="79" t="s">
        <v>846</v>
      </c>
      <c r="C645" s="124" t="s">
        <v>844</v>
      </c>
      <c r="D645" s="81" t="s">
        <v>480</v>
      </c>
      <c r="E645" s="82">
        <v>4</v>
      </c>
      <c r="F645" s="82" t="s">
        <v>39</v>
      </c>
      <c r="G645" s="83">
        <v>70000</v>
      </c>
      <c r="H645" s="110">
        <v>0.5</v>
      </c>
      <c r="I645" s="84"/>
      <c r="J645" s="5" t="s">
        <v>89</v>
      </c>
    </row>
    <row r="646" spans="1:10" ht="25" customHeight="1">
      <c r="A646" s="78"/>
      <c r="B646" s="79" t="s">
        <v>847</v>
      </c>
      <c r="C646" s="124" t="s">
        <v>844</v>
      </c>
      <c r="D646" s="81" t="s">
        <v>489</v>
      </c>
      <c r="E646" s="82">
        <v>5</v>
      </c>
      <c r="F646" s="82" t="s">
        <v>39</v>
      </c>
      <c r="G646" s="83">
        <v>95000</v>
      </c>
      <c r="H646" s="110">
        <v>0.5</v>
      </c>
      <c r="I646" s="84"/>
      <c r="J646" s="5" t="s">
        <v>89</v>
      </c>
    </row>
    <row r="647" spans="1:10" ht="25" customHeight="1">
      <c r="A647" s="78"/>
      <c r="B647" s="79" t="s">
        <v>848</v>
      </c>
      <c r="C647" s="124" t="s">
        <v>844</v>
      </c>
      <c r="D647" s="81" t="s">
        <v>491</v>
      </c>
      <c r="E647" s="82">
        <v>5</v>
      </c>
      <c r="F647" s="82" t="s">
        <v>39</v>
      </c>
      <c r="G647" s="83">
        <v>120000</v>
      </c>
      <c r="H647" s="110">
        <v>0.5</v>
      </c>
      <c r="I647" s="84"/>
      <c r="J647" s="5" t="s">
        <v>89</v>
      </c>
    </row>
    <row r="648" spans="1:10" ht="25" customHeight="1">
      <c r="A648" s="78"/>
      <c r="B648" s="79" t="s">
        <v>849</v>
      </c>
      <c r="C648" s="124" t="s">
        <v>844</v>
      </c>
      <c r="D648" s="81" t="s">
        <v>840</v>
      </c>
      <c r="E648" s="82">
        <v>6.6666666666666696</v>
      </c>
      <c r="F648" s="82" t="s">
        <v>39</v>
      </c>
      <c r="G648" s="83">
        <v>165000</v>
      </c>
      <c r="H648" s="110">
        <v>0.5</v>
      </c>
      <c r="I648" s="84"/>
      <c r="J648" s="5" t="s">
        <v>89</v>
      </c>
    </row>
    <row r="649" spans="1:10" ht="25" customHeight="1">
      <c r="A649" s="78"/>
      <c r="B649" s="79" t="s">
        <v>850</v>
      </c>
      <c r="C649" s="124" t="s">
        <v>844</v>
      </c>
      <c r="D649" s="81" t="s">
        <v>842</v>
      </c>
      <c r="E649" s="82">
        <v>6.6666666666666696</v>
      </c>
      <c r="F649" s="82" t="s">
        <v>39</v>
      </c>
      <c r="G649" s="83">
        <v>180000</v>
      </c>
      <c r="H649" s="110">
        <v>0.5</v>
      </c>
      <c r="I649" s="84"/>
      <c r="J649" s="5" t="s">
        <v>89</v>
      </c>
    </row>
    <row r="650" spans="1:10" ht="25" customHeight="1">
      <c r="A650" s="78"/>
      <c r="B650" s="79" t="s">
        <v>851</v>
      </c>
      <c r="C650" s="124" t="s">
        <v>852</v>
      </c>
      <c r="D650" s="81" t="s">
        <v>840</v>
      </c>
      <c r="E650" s="82">
        <v>6.6666666666666696</v>
      </c>
      <c r="F650" s="82" t="s">
        <v>39</v>
      </c>
      <c r="G650" s="83">
        <v>165000</v>
      </c>
      <c r="H650" s="110">
        <v>0.3</v>
      </c>
      <c r="I650" s="84"/>
      <c r="J650" s="5" t="s">
        <v>89</v>
      </c>
    </row>
    <row r="651" spans="1:10" ht="25" customHeight="1">
      <c r="A651" s="63"/>
      <c r="B651" s="106"/>
      <c r="C651" s="197" t="s">
        <v>853</v>
      </c>
      <c r="D651" s="108"/>
      <c r="E651" s="66"/>
      <c r="F651" s="66"/>
      <c r="G651" s="109"/>
      <c r="H651" s="69"/>
      <c r="I651" s="68"/>
    </row>
    <row r="652" spans="1:10" ht="25" customHeight="1">
      <c r="A652" s="78"/>
      <c r="B652" s="79" t="s">
        <v>854</v>
      </c>
      <c r="C652" s="124" t="s">
        <v>853</v>
      </c>
      <c r="D652" s="81" t="s">
        <v>63</v>
      </c>
      <c r="E652" s="82"/>
      <c r="F652" s="82" t="s">
        <v>31</v>
      </c>
      <c r="G652" s="83">
        <v>36000</v>
      </c>
      <c r="H652" s="110">
        <v>0.8</v>
      </c>
      <c r="I652" s="84"/>
      <c r="J652" s="5" t="s">
        <v>89</v>
      </c>
    </row>
    <row r="653" spans="1:10" ht="25" customHeight="1">
      <c r="A653" s="78"/>
      <c r="B653" s="79" t="s">
        <v>855</v>
      </c>
      <c r="C653" s="124" t="s">
        <v>853</v>
      </c>
      <c r="D653" s="81" t="s">
        <v>478</v>
      </c>
      <c r="E653" s="82">
        <v>4</v>
      </c>
      <c r="F653" s="82" t="s">
        <v>39</v>
      </c>
      <c r="G653" s="83">
        <v>48000</v>
      </c>
      <c r="H653" s="110">
        <v>1</v>
      </c>
      <c r="I653" s="84"/>
      <c r="J653" s="5" t="s">
        <v>89</v>
      </c>
    </row>
    <row r="654" spans="1:10" ht="25" customHeight="1">
      <c r="A654" s="78"/>
      <c r="B654" s="79" t="s">
        <v>856</v>
      </c>
      <c r="C654" s="124" t="s">
        <v>853</v>
      </c>
      <c r="D654" s="81" t="s">
        <v>480</v>
      </c>
      <c r="E654" s="82">
        <v>4</v>
      </c>
      <c r="F654" s="82" t="s">
        <v>39</v>
      </c>
      <c r="G654" s="83">
        <v>70000</v>
      </c>
      <c r="H654" s="110">
        <v>1</v>
      </c>
      <c r="I654" s="84"/>
      <c r="J654" s="5" t="s">
        <v>89</v>
      </c>
    </row>
    <row r="655" spans="1:10" ht="25" customHeight="1">
      <c r="A655" s="78"/>
      <c r="B655" s="79" t="s">
        <v>857</v>
      </c>
      <c r="C655" s="124" t="s">
        <v>853</v>
      </c>
      <c r="D655" s="81" t="s">
        <v>489</v>
      </c>
      <c r="E655" s="82">
        <v>5</v>
      </c>
      <c r="F655" s="82" t="s">
        <v>39</v>
      </c>
      <c r="G655" s="83">
        <v>95000</v>
      </c>
      <c r="H655" s="110">
        <v>1</v>
      </c>
      <c r="I655" s="84"/>
      <c r="J655" s="5" t="s">
        <v>89</v>
      </c>
    </row>
    <row r="656" spans="1:10" ht="25" customHeight="1">
      <c r="A656" s="78"/>
      <c r="B656" s="79" t="s">
        <v>858</v>
      </c>
      <c r="C656" s="124" t="s">
        <v>853</v>
      </c>
      <c r="D656" s="81" t="s">
        <v>491</v>
      </c>
      <c r="E656" s="82">
        <v>5</v>
      </c>
      <c r="F656" s="82" t="s">
        <v>39</v>
      </c>
      <c r="G656" s="83">
        <v>120000</v>
      </c>
      <c r="H656" s="110">
        <v>1</v>
      </c>
      <c r="I656" s="84"/>
      <c r="J656" s="5" t="s">
        <v>89</v>
      </c>
    </row>
    <row r="657" spans="1:10" ht="25" customHeight="1">
      <c r="A657" s="78"/>
      <c r="B657" s="79" t="s">
        <v>859</v>
      </c>
      <c r="C657" s="124" t="s">
        <v>853</v>
      </c>
      <c r="D657" s="81" t="s">
        <v>840</v>
      </c>
      <c r="E657" s="82">
        <v>6.6666666666666696</v>
      </c>
      <c r="F657" s="82" t="s">
        <v>39</v>
      </c>
      <c r="G657" s="83">
        <v>165000</v>
      </c>
      <c r="H657" s="110">
        <v>1</v>
      </c>
      <c r="I657" s="84"/>
      <c r="J657" s="5" t="s">
        <v>89</v>
      </c>
    </row>
    <row r="658" spans="1:10" ht="25" customHeight="1">
      <c r="A658" s="78"/>
      <c r="B658" s="79" t="s">
        <v>860</v>
      </c>
      <c r="C658" s="124" t="s">
        <v>853</v>
      </c>
      <c r="D658" s="81" t="s">
        <v>842</v>
      </c>
      <c r="E658" s="82">
        <v>6.6666666666666696</v>
      </c>
      <c r="F658" s="82" t="s">
        <v>39</v>
      </c>
      <c r="G658" s="83">
        <v>180000</v>
      </c>
      <c r="H658" s="110">
        <v>1</v>
      </c>
      <c r="I658" s="84"/>
      <c r="J658" s="5" t="s">
        <v>89</v>
      </c>
    </row>
    <row r="659" spans="1:10" ht="25" customHeight="1">
      <c r="A659" s="78"/>
      <c r="B659" s="79" t="s">
        <v>861</v>
      </c>
      <c r="C659" s="124" t="s">
        <v>862</v>
      </c>
      <c r="D659" s="81" t="s">
        <v>63</v>
      </c>
      <c r="E659" s="82"/>
      <c r="F659" s="82" t="s">
        <v>31</v>
      </c>
      <c r="G659" s="83">
        <v>36000</v>
      </c>
      <c r="H659" s="110">
        <v>0.5</v>
      </c>
      <c r="I659" s="84"/>
      <c r="J659" s="5" t="s">
        <v>89</v>
      </c>
    </row>
    <row r="660" spans="1:10" ht="25" customHeight="1">
      <c r="A660" s="78"/>
      <c r="B660" s="79" t="s">
        <v>863</v>
      </c>
      <c r="C660" s="124" t="s">
        <v>862</v>
      </c>
      <c r="D660" s="81" t="s">
        <v>478</v>
      </c>
      <c r="E660" s="82">
        <v>4</v>
      </c>
      <c r="F660" s="82" t="s">
        <v>39</v>
      </c>
      <c r="G660" s="83">
        <v>48000</v>
      </c>
      <c r="H660" s="110">
        <v>0.5</v>
      </c>
      <c r="I660" s="84"/>
      <c r="J660" s="5" t="s">
        <v>89</v>
      </c>
    </row>
    <row r="661" spans="1:10" ht="25" customHeight="1">
      <c r="A661" s="78"/>
      <c r="B661" s="79" t="s">
        <v>864</v>
      </c>
      <c r="C661" s="124" t="s">
        <v>862</v>
      </c>
      <c r="D661" s="81" t="s">
        <v>480</v>
      </c>
      <c r="E661" s="82">
        <v>4</v>
      </c>
      <c r="F661" s="82" t="s">
        <v>39</v>
      </c>
      <c r="G661" s="83">
        <v>70000</v>
      </c>
      <c r="H661" s="110">
        <v>0.5</v>
      </c>
      <c r="I661" s="84"/>
      <c r="J661" s="5" t="s">
        <v>89</v>
      </c>
    </row>
    <row r="662" spans="1:10" ht="25" customHeight="1">
      <c r="A662" s="78"/>
      <c r="B662" s="79" t="s">
        <v>865</v>
      </c>
      <c r="C662" s="124" t="s">
        <v>862</v>
      </c>
      <c r="D662" s="81" t="s">
        <v>489</v>
      </c>
      <c r="E662" s="82">
        <v>5</v>
      </c>
      <c r="F662" s="82" t="s">
        <v>39</v>
      </c>
      <c r="G662" s="83">
        <v>95000</v>
      </c>
      <c r="H662" s="110">
        <v>0.5</v>
      </c>
      <c r="I662" s="84"/>
      <c r="J662" s="5" t="s">
        <v>89</v>
      </c>
    </row>
    <row r="663" spans="1:10" ht="25" customHeight="1">
      <c r="A663" s="78"/>
      <c r="B663" s="79" t="s">
        <v>866</v>
      </c>
      <c r="C663" s="124" t="s">
        <v>862</v>
      </c>
      <c r="D663" s="81" t="s">
        <v>491</v>
      </c>
      <c r="E663" s="82">
        <v>5</v>
      </c>
      <c r="F663" s="82" t="s">
        <v>39</v>
      </c>
      <c r="G663" s="83">
        <v>120000</v>
      </c>
      <c r="H663" s="110">
        <v>0.5</v>
      </c>
      <c r="I663" s="84"/>
      <c r="J663" s="5" t="s">
        <v>89</v>
      </c>
    </row>
    <row r="664" spans="1:10" ht="25" customHeight="1">
      <c r="A664" s="78"/>
      <c r="B664" s="79" t="s">
        <v>867</v>
      </c>
      <c r="C664" s="124" t="s">
        <v>862</v>
      </c>
      <c r="D664" s="81" t="s">
        <v>840</v>
      </c>
      <c r="E664" s="82">
        <v>6.6666666666666696</v>
      </c>
      <c r="F664" s="82" t="s">
        <v>39</v>
      </c>
      <c r="G664" s="83">
        <v>165000</v>
      </c>
      <c r="H664" s="110">
        <v>0.5</v>
      </c>
      <c r="I664" s="84"/>
      <c r="J664" s="5" t="s">
        <v>89</v>
      </c>
    </row>
    <row r="665" spans="1:10" ht="25" customHeight="1">
      <c r="A665" s="78"/>
      <c r="B665" s="79" t="s">
        <v>868</v>
      </c>
      <c r="C665" s="124" t="s">
        <v>862</v>
      </c>
      <c r="D665" s="81" t="s">
        <v>842</v>
      </c>
      <c r="E665" s="82">
        <v>6.6666666666666696</v>
      </c>
      <c r="F665" s="82" t="s">
        <v>39</v>
      </c>
      <c r="G665" s="83">
        <v>180000</v>
      </c>
      <c r="H665" s="110">
        <v>0.5</v>
      </c>
      <c r="I665" s="84"/>
      <c r="J665" s="5" t="s">
        <v>89</v>
      </c>
    </row>
    <row r="666" spans="1:10" ht="25" customHeight="1">
      <c r="A666" s="63"/>
      <c r="B666" s="106"/>
      <c r="C666" s="197" t="s">
        <v>869</v>
      </c>
      <c r="D666" s="108"/>
      <c r="E666" s="66"/>
      <c r="F666" s="66"/>
      <c r="G666" s="109"/>
      <c r="H666" s="69"/>
      <c r="I666" s="68"/>
    </row>
    <row r="667" spans="1:10" ht="25" customHeight="1">
      <c r="A667" s="78"/>
      <c r="B667" s="79" t="s">
        <v>870</v>
      </c>
      <c r="C667" s="124" t="s">
        <v>871</v>
      </c>
      <c r="D667" s="81" t="s">
        <v>63</v>
      </c>
      <c r="E667" s="82"/>
      <c r="F667" s="82" t="s">
        <v>31</v>
      </c>
      <c r="G667" s="83"/>
      <c r="H667" s="110">
        <v>1</v>
      </c>
      <c r="I667" s="84"/>
    </row>
    <row r="668" spans="1:10" ht="25" customHeight="1">
      <c r="A668" s="78"/>
      <c r="B668" s="79" t="s">
        <v>872</v>
      </c>
      <c r="C668" s="124" t="s">
        <v>871</v>
      </c>
      <c r="D668" s="81" t="s">
        <v>478</v>
      </c>
      <c r="E668" s="82">
        <v>4</v>
      </c>
      <c r="F668" s="82" t="s">
        <v>39</v>
      </c>
      <c r="G668" s="83">
        <v>36000</v>
      </c>
      <c r="H668" s="110">
        <v>1</v>
      </c>
      <c r="I668" s="84"/>
      <c r="J668" s="5" t="s">
        <v>89</v>
      </c>
    </row>
    <row r="669" spans="1:10" ht="25" customHeight="1">
      <c r="A669" s="78"/>
      <c r="B669" s="79" t="s">
        <v>873</v>
      </c>
      <c r="C669" s="124" t="s">
        <v>871</v>
      </c>
      <c r="D669" s="81" t="s">
        <v>480</v>
      </c>
      <c r="E669" s="82">
        <v>4</v>
      </c>
      <c r="F669" s="82" t="s">
        <v>39</v>
      </c>
      <c r="G669" s="83">
        <v>60000</v>
      </c>
      <c r="H669" s="110">
        <v>1</v>
      </c>
      <c r="I669" s="84"/>
      <c r="J669" s="5" t="s">
        <v>89</v>
      </c>
    </row>
    <row r="670" spans="1:10" ht="25" customHeight="1">
      <c r="A670" s="78"/>
      <c r="B670" s="79" t="s">
        <v>874</v>
      </c>
      <c r="C670" s="124" t="s">
        <v>871</v>
      </c>
      <c r="D670" s="81" t="s">
        <v>489</v>
      </c>
      <c r="E670" s="82">
        <v>5</v>
      </c>
      <c r="F670" s="82" t="s">
        <v>39</v>
      </c>
      <c r="G670" s="83">
        <v>90000</v>
      </c>
      <c r="H670" s="110">
        <v>1</v>
      </c>
      <c r="I670" s="84"/>
      <c r="J670" s="5" t="s">
        <v>89</v>
      </c>
    </row>
    <row r="671" spans="1:10" ht="25" customHeight="1">
      <c r="A671" s="78"/>
      <c r="B671" s="79" t="s">
        <v>875</v>
      </c>
      <c r="C671" s="124" t="s">
        <v>871</v>
      </c>
      <c r="D671" s="81" t="s">
        <v>491</v>
      </c>
      <c r="E671" s="82">
        <v>5</v>
      </c>
      <c r="F671" s="82" t="s">
        <v>39</v>
      </c>
      <c r="G671" s="83">
        <v>120000</v>
      </c>
      <c r="H671" s="110">
        <v>1</v>
      </c>
      <c r="I671" s="84"/>
      <c r="J671" s="5" t="s">
        <v>89</v>
      </c>
    </row>
    <row r="672" spans="1:10" ht="25" customHeight="1">
      <c r="A672" s="78"/>
      <c r="B672" s="79" t="s">
        <v>876</v>
      </c>
      <c r="C672" s="124" t="s">
        <v>871</v>
      </c>
      <c r="D672" s="81" t="s">
        <v>840</v>
      </c>
      <c r="E672" s="82">
        <v>6.6666666666666696</v>
      </c>
      <c r="F672" s="82" t="s">
        <v>39</v>
      </c>
      <c r="G672" s="83">
        <v>150000</v>
      </c>
      <c r="H672" s="110">
        <v>1</v>
      </c>
      <c r="I672" s="84"/>
      <c r="J672" s="5" t="s">
        <v>89</v>
      </c>
    </row>
    <row r="673" spans="1:10" ht="25" customHeight="1">
      <c r="A673" s="78"/>
      <c r="B673" s="79" t="s">
        <v>877</v>
      </c>
      <c r="C673" s="124" t="s">
        <v>871</v>
      </c>
      <c r="D673" s="81" t="s">
        <v>842</v>
      </c>
      <c r="E673" s="82">
        <v>6.6666666666666696</v>
      </c>
      <c r="F673" s="82" t="s">
        <v>39</v>
      </c>
      <c r="G673" s="83">
        <v>220000</v>
      </c>
      <c r="H673" s="110">
        <v>1</v>
      </c>
      <c r="I673" s="84"/>
      <c r="J673" s="5" t="s">
        <v>89</v>
      </c>
    </row>
    <row r="674" spans="1:10" ht="25" customHeight="1">
      <c r="A674" s="78"/>
      <c r="B674" s="79" t="s">
        <v>878</v>
      </c>
      <c r="C674" s="124" t="s">
        <v>871</v>
      </c>
      <c r="D674" s="81" t="s">
        <v>63</v>
      </c>
      <c r="E674" s="82"/>
      <c r="F674" s="82" t="s">
        <v>31</v>
      </c>
      <c r="G674" s="83"/>
      <c r="H674" s="110">
        <v>0.5</v>
      </c>
      <c r="I674" s="84"/>
    </row>
    <row r="675" spans="1:10" ht="25" customHeight="1">
      <c r="A675" s="78"/>
      <c r="B675" s="79" t="s">
        <v>879</v>
      </c>
      <c r="C675" s="124" t="s">
        <v>880</v>
      </c>
      <c r="D675" s="81" t="s">
        <v>478</v>
      </c>
      <c r="E675" s="82">
        <v>4</v>
      </c>
      <c r="F675" s="82" t="s">
        <v>39</v>
      </c>
      <c r="G675" s="83">
        <v>36000</v>
      </c>
      <c r="H675" s="110">
        <v>0.5</v>
      </c>
      <c r="I675" s="84"/>
      <c r="J675" s="5" t="s">
        <v>89</v>
      </c>
    </row>
    <row r="676" spans="1:10" ht="25" customHeight="1">
      <c r="A676" s="78"/>
      <c r="B676" s="79" t="s">
        <v>881</v>
      </c>
      <c r="C676" s="124" t="s">
        <v>880</v>
      </c>
      <c r="D676" s="81" t="s">
        <v>480</v>
      </c>
      <c r="E676" s="82">
        <v>4</v>
      </c>
      <c r="F676" s="82" t="s">
        <v>39</v>
      </c>
      <c r="G676" s="83">
        <v>60000</v>
      </c>
      <c r="H676" s="110">
        <v>0.5</v>
      </c>
      <c r="I676" s="84"/>
      <c r="J676" s="5" t="s">
        <v>89</v>
      </c>
    </row>
    <row r="677" spans="1:10" ht="25" customHeight="1">
      <c r="A677" s="78"/>
      <c r="B677" s="79" t="s">
        <v>882</v>
      </c>
      <c r="C677" s="124" t="s">
        <v>880</v>
      </c>
      <c r="D677" s="81" t="s">
        <v>489</v>
      </c>
      <c r="E677" s="82">
        <v>5</v>
      </c>
      <c r="F677" s="82" t="s">
        <v>39</v>
      </c>
      <c r="G677" s="83">
        <v>90000</v>
      </c>
      <c r="H677" s="110">
        <v>0.5</v>
      </c>
      <c r="I677" s="84"/>
      <c r="J677" s="5" t="s">
        <v>89</v>
      </c>
    </row>
    <row r="678" spans="1:10" ht="25" customHeight="1">
      <c r="A678" s="78"/>
      <c r="B678" s="79" t="s">
        <v>883</v>
      </c>
      <c r="C678" s="124" t="s">
        <v>880</v>
      </c>
      <c r="D678" s="81" t="s">
        <v>491</v>
      </c>
      <c r="E678" s="82">
        <v>5</v>
      </c>
      <c r="F678" s="82" t="s">
        <v>39</v>
      </c>
      <c r="G678" s="83">
        <v>120000</v>
      </c>
      <c r="H678" s="110">
        <v>0.5</v>
      </c>
      <c r="I678" s="84"/>
      <c r="J678" s="5" t="s">
        <v>89</v>
      </c>
    </row>
    <row r="679" spans="1:10" ht="25" customHeight="1">
      <c r="A679" s="78"/>
      <c r="B679" s="79" t="s">
        <v>884</v>
      </c>
      <c r="C679" s="124" t="s">
        <v>880</v>
      </c>
      <c r="D679" s="81" t="s">
        <v>840</v>
      </c>
      <c r="E679" s="82">
        <v>6.6666666666666696</v>
      </c>
      <c r="F679" s="82" t="s">
        <v>39</v>
      </c>
      <c r="G679" s="83">
        <v>150000</v>
      </c>
      <c r="H679" s="110">
        <v>0.5</v>
      </c>
      <c r="I679" s="84"/>
      <c r="J679" s="5" t="s">
        <v>89</v>
      </c>
    </row>
    <row r="680" spans="1:10" ht="25" customHeight="1">
      <c r="A680" s="78"/>
      <c r="B680" s="79" t="s">
        <v>885</v>
      </c>
      <c r="C680" s="124" t="s">
        <v>880</v>
      </c>
      <c r="D680" s="81" t="s">
        <v>842</v>
      </c>
      <c r="E680" s="82">
        <v>6.6666666666666696</v>
      </c>
      <c r="F680" s="82" t="s">
        <v>39</v>
      </c>
      <c r="G680" s="83">
        <v>220000</v>
      </c>
      <c r="H680" s="110">
        <v>0.5</v>
      </c>
      <c r="I680" s="84"/>
      <c r="J680" s="5" t="s">
        <v>89</v>
      </c>
    </row>
    <row r="681" spans="1:10" ht="25" customHeight="1">
      <c r="A681" s="78"/>
      <c r="B681" s="79" t="s">
        <v>886</v>
      </c>
      <c r="C681" s="124" t="s">
        <v>887</v>
      </c>
      <c r="D681" s="81" t="s">
        <v>840</v>
      </c>
      <c r="E681" s="82">
        <v>6.6666666666666696</v>
      </c>
      <c r="F681" s="82" t="s">
        <v>39</v>
      </c>
      <c r="G681" s="83">
        <v>150000</v>
      </c>
      <c r="H681" s="110">
        <v>0.3</v>
      </c>
      <c r="I681" s="84"/>
      <c r="J681" s="5" t="s">
        <v>89</v>
      </c>
    </row>
    <row r="682" spans="1:10" ht="25" customHeight="1">
      <c r="A682" s="78"/>
      <c r="B682" s="79" t="s">
        <v>888</v>
      </c>
      <c r="C682" s="124" t="s">
        <v>887</v>
      </c>
      <c r="D682" s="81" t="s">
        <v>489</v>
      </c>
      <c r="E682" s="82">
        <v>5</v>
      </c>
      <c r="F682" s="82" t="s">
        <v>39</v>
      </c>
      <c r="G682" s="83">
        <v>90000</v>
      </c>
      <c r="H682" s="110">
        <v>0.3</v>
      </c>
      <c r="I682" s="84"/>
      <c r="J682" s="5" t="s">
        <v>89</v>
      </c>
    </row>
    <row r="683" spans="1:10" ht="25" customHeight="1">
      <c r="A683" s="63"/>
      <c r="B683" s="106"/>
      <c r="C683" s="197" t="s">
        <v>889</v>
      </c>
      <c r="D683" s="108"/>
      <c r="E683" s="66"/>
      <c r="F683" s="66"/>
      <c r="G683" s="109"/>
      <c r="H683" s="69"/>
      <c r="I683" s="68"/>
    </row>
    <row r="684" spans="1:10" ht="25" customHeight="1">
      <c r="A684" s="78"/>
      <c r="B684" s="79" t="s">
        <v>890</v>
      </c>
      <c r="C684" s="124" t="s">
        <v>891</v>
      </c>
      <c r="D684" s="81" t="s">
        <v>63</v>
      </c>
      <c r="E684" s="82"/>
      <c r="F684" s="82" t="s">
        <v>31</v>
      </c>
      <c r="G684" s="83"/>
      <c r="H684" s="110">
        <v>1</v>
      </c>
      <c r="I684" s="84"/>
    </row>
    <row r="685" spans="1:10" ht="25" customHeight="1">
      <c r="A685" s="78"/>
      <c r="B685" s="79" t="s">
        <v>892</v>
      </c>
      <c r="C685" s="124" t="s">
        <v>891</v>
      </c>
      <c r="D685" s="81" t="s">
        <v>478</v>
      </c>
      <c r="E685" s="82">
        <v>4</v>
      </c>
      <c r="F685" s="82" t="s">
        <v>39</v>
      </c>
      <c r="G685" s="83">
        <v>36000</v>
      </c>
      <c r="H685" s="110">
        <v>1</v>
      </c>
      <c r="I685" s="84"/>
      <c r="J685" s="5" t="s">
        <v>89</v>
      </c>
    </row>
    <row r="686" spans="1:10" ht="25" customHeight="1">
      <c r="A686" s="78"/>
      <c r="B686" s="79" t="s">
        <v>893</v>
      </c>
      <c r="C686" s="124" t="s">
        <v>891</v>
      </c>
      <c r="D686" s="81" t="s">
        <v>480</v>
      </c>
      <c r="E686" s="82">
        <v>4</v>
      </c>
      <c r="F686" s="82" t="s">
        <v>39</v>
      </c>
      <c r="G686" s="83">
        <v>60000</v>
      </c>
      <c r="H686" s="110">
        <v>1</v>
      </c>
      <c r="I686" s="84"/>
      <c r="J686" s="5" t="s">
        <v>89</v>
      </c>
    </row>
    <row r="687" spans="1:10" ht="25" customHeight="1">
      <c r="A687" s="78"/>
      <c r="B687" s="79" t="s">
        <v>894</v>
      </c>
      <c r="C687" s="124" t="s">
        <v>891</v>
      </c>
      <c r="D687" s="81" t="s">
        <v>489</v>
      </c>
      <c r="E687" s="82">
        <v>5</v>
      </c>
      <c r="F687" s="82" t="s">
        <v>39</v>
      </c>
      <c r="G687" s="83">
        <v>90000</v>
      </c>
      <c r="H687" s="110">
        <v>1</v>
      </c>
      <c r="I687" s="84"/>
      <c r="J687" s="5" t="s">
        <v>89</v>
      </c>
    </row>
    <row r="688" spans="1:10" ht="25" customHeight="1">
      <c r="A688" s="78"/>
      <c r="B688" s="79" t="s">
        <v>895</v>
      </c>
      <c r="C688" s="124" t="s">
        <v>891</v>
      </c>
      <c r="D688" s="81" t="s">
        <v>491</v>
      </c>
      <c r="E688" s="82">
        <v>5</v>
      </c>
      <c r="F688" s="82" t="s">
        <v>39</v>
      </c>
      <c r="G688" s="83">
        <v>120000</v>
      </c>
      <c r="H688" s="110">
        <v>1</v>
      </c>
      <c r="I688" s="84"/>
      <c r="J688" s="5" t="s">
        <v>89</v>
      </c>
    </row>
    <row r="689" spans="1:10" ht="25" customHeight="1">
      <c r="A689" s="78"/>
      <c r="B689" s="79" t="s">
        <v>896</v>
      </c>
      <c r="C689" s="124" t="s">
        <v>891</v>
      </c>
      <c r="D689" s="81" t="s">
        <v>840</v>
      </c>
      <c r="E689" s="82">
        <v>6.6666666666666696</v>
      </c>
      <c r="F689" s="82" t="s">
        <v>39</v>
      </c>
      <c r="G689" s="83">
        <v>150000</v>
      </c>
      <c r="H689" s="110">
        <v>1</v>
      </c>
      <c r="I689" s="84"/>
      <c r="J689" s="5" t="s">
        <v>89</v>
      </c>
    </row>
    <row r="690" spans="1:10" ht="25" customHeight="1">
      <c r="A690" s="78"/>
      <c r="B690" s="79" t="s">
        <v>897</v>
      </c>
      <c r="C690" s="124" t="s">
        <v>891</v>
      </c>
      <c r="D690" s="81" t="s">
        <v>842</v>
      </c>
      <c r="E690" s="82">
        <v>6.6666666666666696</v>
      </c>
      <c r="F690" s="82" t="s">
        <v>39</v>
      </c>
      <c r="G690" s="83">
        <v>220000</v>
      </c>
      <c r="H690" s="110">
        <v>1</v>
      </c>
      <c r="I690" s="84"/>
      <c r="J690" s="5" t="s">
        <v>89</v>
      </c>
    </row>
    <row r="691" spans="1:10" ht="25" customHeight="1">
      <c r="A691" s="78"/>
      <c r="B691" s="79" t="s">
        <v>898</v>
      </c>
      <c r="C691" s="124" t="s">
        <v>891</v>
      </c>
      <c r="D691" s="81" t="s">
        <v>63</v>
      </c>
      <c r="E691" s="82"/>
      <c r="F691" s="82" t="s">
        <v>31</v>
      </c>
      <c r="G691" s="83"/>
      <c r="H691" s="110">
        <v>0.5</v>
      </c>
      <c r="I691" s="84"/>
    </row>
    <row r="692" spans="1:10" ht="25" customHeight="1">
      <c r="A692" s="78"/>
      <c r="B692" s="79" t="s">
        <v>899</v>
      </c>
      <c r="C692" s="124" t="s">
        <v>900</v>
      </c>
      <c r="D692" s="81" t="s">
        <v>478</v>
      </c>
      <c r="E692" s="82">
        <v>4</v>
      </c>
      <c r="F692" s="82" t="s">
        <v>39</v>
      </c>
      <c r="G692" s="83">
        <v>36000</v>
      </c>
      <c r="H692" s="110">
        <v>0.5</v>
      </c>
      <c r="I692" s="84"/>
      <c r="J692" s="5" t="s">
        <v>89</v>
      </c>
    </row>
    <row r="693" spans="1:10" ht="25" customHeight="1">
      <c r="A693" s="78"/>
      <c r="B693" s="79" t="s">
        <v>901</v>
      </c>
      <c r="C693" s="124" t="s">
        <v>900</v>
      </c>
      <c r="D693" s="81" t="s">
        <v>480</v>
      </c>
      <c r="E693" s="82">
        <v>4</v>
      </c>
      <c r="F693" s="82" t="s">
        <v>39</v>
      </c>
      <c r="G693" s="83">
        <v>60000</v>
      </c>
      <c r="H693" s="110">
        <v>0.5</v>
      </c>
      <c r="I693" s="84"/>
      <c r="J693" s="5" t="s">
        <v>89</v>
      </c>
    </row>
    <row r="694" spans="1:10" ht="25" customHeight="1">
      <c r="A694" s="78"/>
      <c r="B694" s="79" t="s">
        <v>902</v>
      </c>
      <c r="C694" s="124" t="s">
        <v>900</v>
      </c>
      <c r="D694" s="81" t="s">
        <v>489</v>
      </c>
      <c r="E694" s="82">
        <v>5</v>
      </c>
      <c r="F694" s="82" t="s">
        <v>39</v>
      </c>
      <c r="G694" s="83">
        <v>90000</v>
      </c>
      <c r="H694" s="110">
        <v>0.5</v>
      </c>
      <c r="I694" s="84"/>
      <c r="J694" s="5" t="s">
        <v>89</v>
      </c>
    </row>
    <row r="695" spans="1:10" ht="25" customHeight="1">
      <c r="A695" s="78"/>
      <c r="B695" s="79" t="s">
        <v>903</v>
      </c>
      <c r="C695" s="124" t="s">
        <v>900</v>
      </c>
      <c r="D695" s="81" t="s">
        <v>491</v>
      </c>
      <c r="E695" s="82">
        <v>5</v>
      </c>
      <c r="F695" s="82" t="s">
        <v>39</v>
      </c>
      <c r="G695" s="83">
        <v>120000</v>
      </c>
      <c r="H695" s="110">
        <v>0.5</v>
      </c>
      <c r="I695" s="84"/>
      <c r="J695" s="5" t="s">
        <v>89</v>
      </c>
    </row>
    <row r="696" spans="1:10" ht="25" customHeight="1">
      <c r="A696" s="78"/>
      <c r="B696" s="79" t="s">
        <v>904</v>
      </c>
      <c r="C696" s="124" t="s">
        <v>900</v>
      </c>
      <c r="D696" s="81" t="s">
        <v>840</v>
      </c>
      <c r="E696" s="82">
        <v>6.6666666666666696</v>
      </c>
      <c r="F696" s="82" t="s">
        <v>39</v>
      </c>
      <c r="G696" s="83">
        <v>150000</v>
      </c>
      <c r="H696" s="110">
        <v>0.5</v>
      </c>
      <c r="I696" s="84"/>
      <c r="J696" s="5" t="s">
        <v>89</v>
      </c>
    </row>
    <row r="697" spans="1:10" ht="25" customHeight="1">
      <c r="A697" s="78"/>
      <c r="B697" s="79" t="s">
        <v>905</v>
      </c>
      <c r="C697" s="124" t="s">
        <v>900</v>
      </c>
      <c r="D697" s="81" t="s">
        <v>842</v>
      </c>
      <c r="E697" s="82">
        <v>6.6666666666666696</v>
      </c>
      <c r="F697" s="82" t="s">
        <v>39</v>
      </c>
      <c r="G697" s="83">
        <v>220000</v>
      </c>
      <c r="H697" s="110">
        <v>0.5</v>
      </c>
      <c r="I697" s="84"/>
      <c r="J697" s="5" t="s">
        <v>89</v>
      </c>
    </row>
    <row r="698" spans="1:10" ht="25" customHeight="1">
      <c r="A698" s="63"/>
      <c r="B698" s="106"/>
      <c r="C698" s="197" t="s">
        <v>906</v>
      </c>
      <c r="D698" s="108"/>
      <c r="E698" s="66"/>
      <c r="F698" s="66"/>
      <c r="G698" s="109"/>
      <c r="H698" s="69"/>
      <c r="I698" s="68"/>
    </row>
    <row r="699" spans="1:10" ht="25" customHeight="1">
      <c r="A699" s="78"/>
      <c r="B699" s="79" t="s">
        <v>907</v>
      </c>
      <c r="C699" s="124" t="s">
        <v>906</v>
      </c>
      <c r="D699" s="81" t="s">
        <v>63</v>
      </c>
      <c r="E699" s="82"/>
      <c r="F699" s="82" t="s">
        <v>31</v>
      </c>
      <c r="G699" s="83"/>
      <c r="H699" s="110">
        <v>1</v>
      </c>
      <c r="I699" s="84"/>
    </row>
    <row r="700" spans="1:10" ht="25" customHeight="1">
      <c r="A700" s="78"/>
      <c r="B700" s="79" t="s">
        <v>908</v>
      </c>
      <c r="C700" s="124" t="s">
        <v>906</v>
      </c>
      <c r="D700" s="81" t="s">
        <v>478</v>
      </c>
      <c r="E700" s="82">
        <v>4</v>
      </c>
      <c r="F700" s="82" t="s">
        <v>39</v>
      </c>
      <c r="G700" s="83">
        <v>36000</v>
      </c>
      <c r="H700" s="110">
        <v>1</v>
      </c>
      <c r="I700" s="84"/>
      <c r="J700" s="5" t="s">
        <v>89</v>
      </c>
    </row>
    <row r="701" spans="1:10" ht="25" customHeight="1">
      <c r="A701" s="78"/>
      <c r="B701" s="79" t="s">
        <v>909</v>
      </c>
      <c r="C701" s="124" t="s">
        <v>906</v>
      </c>
      <c r="D701" s="81" t="s">
        <v>480</v>
      </c>
      <c r="E701" s="82">
        <v>4</v>
      </c>
      <c r="F701" s="82" t="s">
        <v>39</v>
      </c>
      <c r="G701" s="83">
        <v>60000</v>
      </c>
      <c r="H701" s="110">
        <v>1</v>
      </c>
      <c r="I701" s="84"/>
      <c r="J701" s="5" t="s">
        <v>89</v>
      </c>
    </row>
    <row r="702" spans="1:10" ht="25" customHeight="1">
      <c r="A702" s="78"/>
      <c r="B702" s="79" t="s">
        <v>910</v>
      </c>
      <c r="C702" s="124" t="s">
        <v>906</v>
      </c>
      <c r="D702" s="81" t="s">
        <v>489</v>
      </c>
      <c r="E702" s="82">
        <v>5</v>
      </c>
      <c r="F702" s="82" t="s">
        <v>39</v>
      </c>
      <c r="G702" s="83">
        <v>90000</v>
      </c>
      <c r="H702" s="110">
        <v>1</v>
      </c>
      <c r="I702" s="84"/>
      <c r="J702" s="5" t="s">
        <v>89</v>
      </c>
    </row>
    <row r="703" spans="1:10" ht="25" customHeight="1">
      <c r="A703" s="78"/>
      <c r="B703" s="79" t="s">
        <v>911</v>
      </c>
      <c r="C703" s="124" t="s">
        <v>906</v>
      </c>
      <c r="D703" s="81" t="s">
        <v>491</v>
      </c>
      <c r="E703" s="82">
        <v>5</v>
      </c>
      <c r="F703" s="82" t="s">
        <v>39</v>
      </c>
      <c r="G703" s="83">
        <v>120000</v>
      </c>
      <c r="H703" s="110">
        <v>1</v>
      </c>
      <c r="I703" s="84"/>
      <c r="J703" s="5" t="s">
        <v>89</v>
      </c>
    </row>
    <row r="704" spans="1:10" ht="25" customHeight="1">
      <c r="A704" s="78"/>
      <c r="B704" s="79" t="s">
        <v>912</v>
      </c>
      <c r="C704" s="124" t="s">
        <v>906</v>
      </c>
      <c r="D704" s="81" t="s">
        <v>840</v>
      </c>
      <c r="E704" s="82">
        <v>6.6666666666666696</v>
      </c>
      <c r="F704" s="82" t="s">
        <v>39</v>
      </c>
      <c r="G704" s="83">
        <v>150000</v>
      </c>
      <c r="H704" s="110">
        <v>1</v>
      </c>
      <c r="I704" s="84"/>
      <c r="J704" s="5" t="s">
        <v>89</v>
      </c>
    </row>
    <row r="705" spans="1:10" ht="25" customHeight="1">
      <c r="A705" s="78"/>
      <c r="B705" s="79" t="s">
        <v>913</v>
      </c>
      <c r="C705" s="124" t="s">
        <v>906</v>
      </c>
      <c r="D705" s="81" t="s">
        <v>842</v>
      </c>
      <c r="E705" s="82">
        <v>6.6666666666666696</v>
      </c>
      <c r="F705" s="82" t="s">
        <v>39</v>
      </c>
      <c r="G705" s="83">
        <v>220000</v>
      </c>
      <c r="H705" s="110">
        <v>1</v>
      </c>
      <c r="I705" s="84"/>
      <c r="J705" s="5" t="s">
        <v>89</v>
      </c>
    </row>
    <row r="706" spans="1:10" ht="25" customHeight="1">
      <c r="A706" s="78"/>
      <c r="B706" s="79" t="s">
        <v>914</v>
      </c>
      <c r="C706" s="124" t="s">
        <v>915</v>
      </c>
      <c r="D706" s="81" t="s">
        <v>63</v>
      </c>
      <c r="E706" s="82"/>
      <c r="F706" s="82" t="s">
        <v>31</v>
      </c>
      <c r="G706" s="83"/>
      <c r="H706" s="110">
        <v>0.5</v>
      </c>
      <c r="I706" s="84"/>
    </row>
    <row r="707" spans="1:10" ht="25" customHeight="1">
      <c r="A707" s="78"/>
      <c r="B707" s="79" t="s">
        <v>916</v>
      </c>
      <c r="C707" s="124" t="s">
        <v>915</v>
      </c>
      <c r="D707" s="81" t="s">
        <v>478</v>
      </c>
      <c r="E707" s="82">
        <v>4</v>
      </c>
      <c r="F707" s="82" t="s">
        <v>39</v>
      </c>
      <c r="G707" s="83">
        <v>36000</v>
      </c>
      <c r="H707" s="110">
        <v>0.5</v>
      </c>
      <c r="I707" s="84"/>
      <c r="J707" s="5" t="s">
        <v>89</v>
      </c>
    </row>
    <row r="708" spans="1:10" ht="25" customHeight="1">
      <c r="A708" s="78"/>
      <c r="B708" s="79" t="s">
        <v>917</v>
      </c>
      <c r="C708" s="124" t="s">
        <v>915</v>
      </c>
      <c r="D708" s="81" t="s">
        <v>480</v>
      </c>
      <c r="E708" s="82">
        <v>4</v>
      </c>
      <c r="F708" s="82" t="s">
        <v>39</v>
      </c>
      <c r="G708" s="83">
        <v>60000</v>
      </c>
      <c r="H708" s="110">
        <v>0.5</v>
      </c>
      <c r="I708" s="84"/>
      <c r="J708" s="5" t="s">
        <v>89</v>
      </c>
    </row>
    <row r="709" spans="1:10" ht="25" customHeight="1">
      <c r="A709" s="78"/>
      <c r="B709" s="79" t="s">
        <v>918</v>
      </c>
      <c r="C709" s="124" t="s">
        <v>915</v>
      </c>
      <c r="D709" s="81" t="s">
        <v>489</v>
      </c>
      <c r="E709" s="82">
        <v>5</v>
      </c>
      <c r="F709" s="82" t="s">
        <v>39</v>
      </c>
      <c r="G709" s="83">
        <v>90000</v>
      </c>
      <c r="H709" s="110">
        <v>0.5</v>
      </c>
      <c r="I709" s="84"/>
      <c r="J709" s="5" t="s">
        <v>89</v>
      </c>
    </row>
    <row r="710" spans="1:10" ht="25" customHeight="1">
      <c r="A710" s="78"/>
      <c r="B710" s="79" t="s">
        <v>919</v>
      </c>
      <c r="C710" s="124" t="s">
        <v>915</v>
      </c>
      <c r="D710" s="81" t="s">
        <v>491</v>
      </c>
      <c r="E710" s="82">
        <v>5</v>
      </c>
      <c r="F710" s="82" t="s">
        <v>39</v>
      </c>
      <c r="G710" s="83">
        <v>120000</v>
      </c>
      <c r="H710" s="110">
        <v>0.5</v>
      </c>
      <c r="I710" s="84"/>
      <c r="J710" s="5" t="s">
        <v>89</v>
      </c>
    </row>
    <row r="711" spans="1:10" ht="25" customHeight="1">
      <c r="A711" s="78"/>
      <c r="B711" s="79" t="s">
        <v>920</v>
      </c>
      <c r="C711" s="124" t="s">
        <v>915</v>
      </c>
      <c r="D711" s="81" t="s">
        <v>840</v>
      </c>
      <c r="E711" s="82">
        <v>6.6666666666666696</v>
      </c>
      <c r="F711" s="82" t="s">
        <v>39</v>
      </c>
      <c r="G711" s="83">
        <v>150000</v>
      </c>
      <c r="H711" s="110">
        <v>0.5</v>
      </c>
      <c r="I711" s="84"/>
      <c r="J711" s="5" t="s">
        <v>89</v>
      </c>
    </row>
    <row r="712" spans="1:10" ht="25" customHeight="1">
      <c r="A712" s="78"/>
      <c r="B712" s="79" t="s">
        <v>921</v>
      </c>
      <c r="C712" s="124" t="s">
        <v>915</v>
      </c>
      <c r="D712" s="81" t="s">
        <v>842</v>
      </c>
      <c r="E712" s="82">
        <v>6.6666666666666696</v>
      </c>
      <c r="F712" s="82" t="s">
        <v>39</v>
      </c>
      <c r="G712" s="83">
        <v>220000</v>
      </c>
      <c r="H712" s="110">
        <v>0.5</v>
      </c>
      <c r="I712" s="84"/>
      <c r="J712" s="5" t="s">
        <v>89</v>
      </c>
    </row>
    <row r="713" spans="1:10" ht="25" customHeight="1">
      <c r="A713" s="63"/>
      <c r="B713" s="106"/>
      <c r="C713" s="197" t="s">
        <v>922</v>
      </c>
      <c r="D713" s="108"/>
      <c r="E713" s="66"/>
      <c r="F713" s="66"/>
      <c r="G713" s="109"/>
      <c r="H713" s="69"/>
      <c r="I713" s="68"/>
    </row>
    <row r="714" spans="1:10" ht="25" customHeight="1">
      <c r="A714" s="78"/>
      <c r="B714" s="79" t="s">
        <v>923</v>
      </c>
      <c r="C714" s="124" t="s">
        <v>924</v>
      </c>
      <c r="D714" s="81" t="s">
        <v>63</v>
      </c>
      <c r="E714" s="82"/>
      <c r="F714" s="82" t="s">
        <v>31</v>
      </c>
      <c r="G714" s="83"/>
      <c r="H714" s="110">
        <v>1</v>
      </c>
      <c r="I714" s="84"/>
    </row>
    <row r="715" spans="1:10" ht="25" customHeight="1">
      <c r="A715" s="78"/>
      <c r="B715" s="79" t="s">
        <v>925</v>
      </c>
      <c r="C715" s="124" t="s">
        <v>924</v>
      </c>
      <c r="D715" s="81" t="s">
        <v>478</v>
      </c>
      <c r="E715" s="82">
        <v>4</v>
      </c>
      <c r="F715" s="82" t="s">
        <v>39</v>
      </c>
      <c r="G715" s="83">
        <v>36000</v>
      </c>
      <c r="H715" s="110">
        <v>1</v>
      </c>
      <c r="I715" s="84"/>
      <c r="J715" s="5" t="s">
        <v>89</v>
      </c>
    </row>
    <row r="716" spans="1:10" ht="25" customHeight="1">
      <c r="A716" s="78"/>
      <c r="B716" s="79" t="s">
        <v>926</v>
      </c>
      <c r="C716" s="124" t="s">
        <v>924</v>
      </c>
      <c r="D716" s="81" t="s">
        <v>480</v>
      </c>
      <c r="E716" s="82">
        <v>4</v>
      </c>
      <c r="F716" s="82" t="s">
        <v>39</v>
      </c>
      <c r="G716" s="83">
        <v>60000</v>
      </c>
      <c r="H716" s="110">
        <v>1</v>
      </c>
      <c r="I716" s="84"/>
      <c r="J716" s="5" t="s">
        <v>89</v>
      </c>
    </row>
    <row r="717" spans="1:10" ht="25" customHeight="1">
      <c r="A717" s="78"/>
      <c r="B717" s="79" t="s">
        <v>927</v>
      </c>
      <c r="C717" s="124" t="s">
        <v>924</v>
      </c>
      <c r="D717" s="81" t="s">
        <v>489</v>
      </c>
      <c r="E717" s="82">
        <v>5</v>
      </c>
      <c r="F717" s="82" t="s">
        <v>39</v>
      </c>
      <c r="G717" s="83">
        <v>90000</v>
      </c>
      <c r="H717" s="110">
        <v>1</v>
      </c>
      <c r="I717" s="84"/>
      <c r="J717" s="5" t="s">
        <v>89</v>
      </c>
    </row>
    <row r="718" spans="1:10" ht="25" customHeight="1">
      <c r="A718" s="78"/>
      <c r="B718" s="79" t="s">
        <v>928</v>
      </c>
      <c r="C718" s="124" t="s">
        <v>924</v>
      </c>
      <c r="D718" s="81" t="s">
        <v>491</v>
      </c>
      <c r="E718" s="82">
        <v>5</v>
      </c>
      <c r="F718" s="82" t="s">
        <v>39</v>
      </c>
      <c r="G718" s="83">
        <v>120000</v>
      </c>
      <c r="H718" s="110">
        <v>1</v>
      </c>
      <c r="I718" s="84"/>
      <c r="J718" s="5" t="s">
        <v>89</v>
      </c>
    </row>
    <row r="719" spans="1:10" ht="25" customHeight="1">
      <c r="A719" s="78"/>
      <c r="B719" s="79" t="s">
        <v>929</v>
      </c>
      <c r="C719" s="124" t="s">
        <v>924</v>
      </c>
      <c r="D719" s="81" t="s">
        <v>840</v>
      </c>
      <c r="E719" s="82">
        <v>6.6666666666666696</v>
      </c>
      <c r="F719" s="82" t="s">
        <v>39</v>
      </c>
      <c r="G719" s="83">
        <v>150000</v>
      </c>
      <c r="H719" s="110">
        <v>1</v>
      </c>
      <c r="I719" s="84"/>
      <c r="J719" s="5" t="s">
        <v>89</v>
      </c>
    </row>
    <row r="720" spans="1:10" ht="25" customHeight="1">
      <c r="A720" s="78"/>
      <c r="B720" s="79" t="s">
        <v>930</v>
      </c>
      <c r="C720" s="124" t="s">
        <v>924</v>
      </c>
      <c r="D720" s="81" t="s">
        <v>842</v>
      </c>
      <c r="E720" s="82">
        <v>6.6666666666666696</v>
      </c>
      <c r="F720" s="82" t="s">
        <v>39</v>
      </c>
      <c r="G720" s="83">
        <v>220000</v>
      </c>
      <c r="H720" s="110">
        <v>1</v>
      </c>
      <c r="I720" s="84"/>
      <c r="J720" s="5" t="s">
        <v>89</v>
      </c>
    </row>
    <row r="721" spans="1:10" ht="25" customHeight="1">
      <c r="A721" s="78"/>
      <c r="B721" s="79" t="s">
        <v>931</v>
      </c>
      <c r="C721" s="124" t="s">
        <v>932</v>
      </c>
      <c r="D721" s="81" t="s">
        <v>63</v>
      </c>
      <c r="E721" s="82"/>
      <c r="F721" s="82" t="s">
        <v>31</v>
      </c>
      <c r="G721" s="83"/>
      <c r="H721" s="110">
        <v>0.5</v>
      </c>
      <c r="I721" s="84"/>
    </row>
    <row r="722" spans="1:10" ht="25" customHeight="1">
      <c r="A722" s="78"/>
      <c r="B722" s="79" t="s">
        <v>933</v>
      </c>
      <c r="C722" s="124" t="s">
        <v>932</v>
      </c>
      <c r="D722" s="81" t="s">
        <v>478</v>
      </c>
      <c r="E722" s="82">
        <v>4</v>
      </c>
      <c r="F722" s="82" t="s">
        <v>39</v>
      </c>
      <c r="G722" s="83">
        <v>36000</v>
      </c>
      <c r="H722" s="110">
        <v>0.5</v>
      </c>
      <c r="I722" s="84"/>
      <c r="J722" s="5" t="s">
        <v>89</v>
      </c>
    </row>
    <row r="723" spans="1:10" ht="25" customHeight="1">
      <c r="A723" s="78"/>
      <c r="B723" s="79" t="s">
        <v>934</v>
      </c>
      <c r="C723" s="124" t="s">
        <v>932</v>
      </c>
      <c r="D723" s="81" t="s">
        <v>480</v>
      </c>
      <c r="E723" s="82">
        <v>4</v>
      </c>
      <c r="F723" s="82" t="s">
        <v>39</v>
      </c>
      <c r="G723" s="83">
        <v>60000</v>
      </c>
      <c r="H723" s="110">
        <v>0.5</v>
      </c>
      <c r="I723" s="84"/>
      <c r="J723" s="5" t="s">
        <v>89</v>
      </c>
    </row>
    <row r="724" spans="1:10" ht="25" customHeight="1">
      <c r="A724" s="78"/>
      <c r="B724" s="79" t="s">
        <v>935</v>
      </c>
      <c r="C724" s="124" t="s">
        <v>932</v>
      </c>
      <c r="D724" s="81" t="s">
        <v>489</v>
      </c>
      <c r="E724" s="82">
        <v>5</v>
      </c>
      <c r="F724" s="82" t="s">
        <v>39</v>
      </c>
      <c r="G724" s="83">
        <v>90000</v>
      </c>
      <c r="H724" s="110">
        <v>0.5</v>
      </c>
      <c r="I724" s="84"/>
      <c r="J724" s="5" t="s">
        <v>89</v>
      </c>
    </row>
    <row r="725" spans="1:10" ht="25" customHeight="1">
      <c r="A725" s="78"/>
      <c r="B725" s="79" t="s">
        <v>936</v>
      </c>
      <c r="C725" s="124" t="s">
        <v>932</v>
      </c>
      <c r="D725" s="81" t="s">
        <v>491</v>
      </c>
      <c r="E725" s="82">
        <v>5</v>
      </c>
      <c r="F725" s="82" t="s">
        <v>39</v>
      </c>
      <c r="G725" s="83">
        <v>120000</v>
      </c>
      <c r="H725" s="110">
        <v>0.5</v>
      </c>
      <c r="I725" s="84"/>
      <c r="J725" s="5" t="s">
        <v>89</v>
      </c>
    </row>
    <row r="726" spans="1:10" ht="25" customHeight="1">
      <c r="A726" s="78"/>
      <c r="B726" s="79" t="s">
        <v>937</v>
      </c>
      <c r="C726" s="124" t="s">
        <v>932</v>
      </c>
      <c r="D726" s="81" t="s">
        <v>840</v>
      </c>
      <c r="E726" s="82">
        <v>6.6666666666666696</v>
      </c>
      <c r="F726" s="82" t="s">
        <v>39</v>
      </c>
      <c r="G726" s="83">
        <v>150000</v>
      </c>
      <c r="H726" s="110">
        <v>0.5</v>
      </c>
      <c r="I726" s="84"/>
      <c r="J726" s="5" t="s">
        <v>89</v>
      </c>
    </row>
    <row r="727" spans="1:10" ht="25" customHeight="1">
      <c r="A727" s="78"/>
      <c r="B727" s="79" t="s">
        <v>938</v>
      </c>
      <c r="C727" s="124" t="s">
        <v>932</v>
      </c>
      <c r="D727" s="81" t="s">
        <v>842</v>
      </c>
      <c r="E727" s="82">
        <v>6.6666666666666696</v>
      </c>
      <c r="F727" s="82" t="s">
        <v>39</v>
      </c>
      <c r="G727" s="83">
        <v>220000</v>
      </c>
      <c r="H727" s="110">
        <v>0.5</v>
      </c>
      <c r="I727" s="84"/>
      <c r="J727" s="5" t="s">
        <v>89</v>
      </c>
    </row>
    <row r="728" spans="1:10" ht="25" customHeight="1">
      <c r="A728" s="63"/>
      <c r="B728" s="106"/>
      <c r="C728" s="197" t="s">
        <v>939</v>
      </c>
      <c r="D728" s="108"/>
      <c r="E728" s="66"/>
      <c r="F728" s="66"/>
      <c r="G728" s="109"/>
      <c r="H728" s="69"/>
      <c r="I728" s="68"/>
    </row>
    <row r="729" spans="1:10" ht="25" customHeight="1">
      <c r="A729" s="78"/>
      <c r="B729" s="79" t="s">
        <v>940</v>
      </c>
      <c r="C729" s="124" t="s">
        <v>941</v>
      </c>
      <c r="D729" s="73" t="s">
        <v>63</v>
      </c>
      <c r="E729" s="82"/>
      <c r="F729" s="82" t="s">
        <v>31</v>
      </c>
      <c r="G729" s="83">
        <v>36000</v>
      </c>
      <c r="H729" s="110">
        <v>1</v>
      </c>
      <c r="I729" s="84"/>
      <c r="J729" s="5" t="s">
        <v>89</v>
      </c>
    </row>
    <row r="730" spans="1:10" ht="25" customHeight="1">
      <c r="A730" s="78"/>
      <c r="B730" s="79" t="s">
        <v>942</v>
      </c>
      <c r="C730" s="124" t="s">
        <v>941</v>
      </c>
      <c r="D730" s="81" t="s">
        <v>66</v>
      </c>
      <c r="E730" s="82">
        <v>5</v>
      </c>
      <c r="F730" s="82" t="s">
        <v>39</v>
      </c>
      <c r="G730" s="83">
        <v>45000</v>
      </c>
      <c r="H730" s="110">
        <v>1</v>
      </c>
      <c r="I730" s="84"/>
      <c r="J730" s="5" t="s">
        <v>89</v>
      </c>
    </row>
    <row r="731" spans="1:10" ht="25" customHeight="1">
      <c r="A731" s="78"/>
      <c r="B731" s="79" t="s">
        <v>943</v>
      </c>
      <c r="C731" s="124" t="s">
        <v>941</v>
      </c>
      <c r="D731" s="81" t="s">
        <v>68</v>
      </c>
      <c r="E731" s="82">
        <v>6.6666666666666696</v>
      </c>
      <c r="F731" s="82" t="s">
        <v>39</v>
      </c>
      <c r="G731" s="83">
        <v>80000</v>
      </c>
      <c r="H731" s="110">
        <v>1</v>
      </c>
      <c r="I731" s="84"/>
      <c r="J731" s="5" t="s">
        <v>89</v>
      </c>
    </row>
    <row r="732" spans="1:10" ht="25" customHeight="1">
      <c r="A732" s="78"/>
      <c r="B732" s="79" t="s">
        <v>944</v>
      </c>
      <c r="C732" s="124" t="s">
        <v>941</v>
      </c>
      <c r="D732" s="81" t="s">
        <v>70</v>
      </c>
      <c r="E732" s="82">
        <v>8.3720930232558093</v>
      </c>
      <c r="F732" s="82" t="s">
        <v>39</v>
      </c>
      <c r="G732" s="83">
        <v>110000</v>
      </c>
      <c r="H732" s="110">
        <v>1</v>
      </c>
      <c r="I732" s="84"/>
      <c r="J732" s="5" t="s">
        <v>89</v>
      </c>
    </row>
    <row r="733" spans="1:10" ht="25" customHeight="1">
      <c r="A733" s="78"/>
      <c r="B733" s="79" t="s">
        <v>945</v>
      </c>
      <c r="C733" s="124" t="s">
        <v>941</v>
      </c>
      <c r="D733" s="81" t="s">
        <v>72</v>
      </c>
      <c r="E733" s="82">
        <v>8.3720930232558093</v>
      </c>
      <c r="F733" s="82" t="s">
        <v>39</v>
      </c>
      <c r="G733" s="83">
        <v>150000</v>
      </c>
      <c r="H733" s="110">
        <v>1</v>
      </c>
      <c r="I733" s="84"/>
      <c r="J733" s="5" t="s">
        <v>89</v>
      </c>
    </row>
    <row r="734" spans="1:10" ht="25" customHeight="1">
      <c r="A734" s="78"/>
      <c r="B734" s="79" t="s">
        <v>946</v>
      </c>
      <c r="C734" s="124" t="s">
        <v>941</v>
      </c>
      <c r="D734" s="88" t="s">
        <v>74</v>
      </c>
      <c r="E734" s="82">
        <v>16.363636363636399</v>
      </c>
      <c r="F734" s="82" t="s">
        <v>39</v>
      </c>
      <c r="G734" s="83">
        <v>220000</v>
      </c>
      <c r="H734" s="110">
        <v>1</v>
      </c>
      <c r="I734" s="84"/>
      <c r="J734" s="5" t="s">
        <v>89</v>
      </c>
    </row>
    <row r="735" spans="1:10" ht="25" customHeight="1">
      <c r="A735" s="78"/>
      <c r="B735" s="79" t="s">
        <v>947</v>
      </c>
      <c r="C735" s="124" t="s">
        <v>948</v>
      </c>
      <c r="D735" s="73" t="s">
        <v>63</v>
      </c>
      <c r="E735" s="82"/>
      <c r="F735" s="82" t="s">
        <v>31</v>
      </c>
      <c r="G735" s="83">
        <v>36000</v>
      </c>
      <c r="H735" s="110">
        <v>0.5</v>
      </c>
      <c r="I735" s="84"/>
      <c r="J735" s="5" t="s">
        <v>89</v>
      </c>
    </row>
    <row r="736" spans="1:10" ht="25" customHeight="1">
      <c r="A736" s="78"/>
      <c r="B736" s="79" t="s">
        <v>949</v>
      </c>
      <c r="C736" s="124" t="s">
        <v>948</v>
      </c>
      <c r="D736" s="81" t="s">
        <v>66</v>
      </c>
      <c r="E736" s="82">
        <v>5</v>
      </c>
      <c r="F736" s="82" t="s">
        <v>39</v>
      </c>
      <c r="G736" s="83">
        <v>45000</v>
      </c>
      <c r="H736" s="110">
        <v>0.5</v>
      </c>
      <c r="I736" s="84"/>
      <c r="J736" s="5" t="s">
        <v>89</v>
      </c>
    </row>
    <row r="737" spans="1:10" ht="25" customHeight="1">
      <c r="A737" s="78"/>
      <c r="B737" s="79" t="s">
        <v>950</v>
      </c>
      <c r="C737" s="124" t="s">
        <v>948</v>
      </c>
      <c r="D737" s="81" t="s">
        <v>68</v>
      </c>
      <c r="E737" s="82">
        <v>6.6666666666666696</v>
      </c>
      <c r="F737" s="82" t="s">
        <v>39</v>
      </c>
      <c r="G737" s="83">
        <v>80000</v>
      </c>
      <c r="H737" s="110">
        <v>0.5</v>
      </c>
      <c r="I737" s="84"/>
      <c r="J737" s="5" t="s">
        <v>89</v>
      </c>
    </row>
    <row r="738" spans="1:10" ht="25" customHeight="1">
      <c r="A738" s="78"/>
      <c r="B738" s="79" t="s">
        <v>951</v>
      </c>
      <c r="C738" s="124" t="s">
        <v>948</v>
      </c>
      <c r="D738" s="81" t="s">
        <v>70</v>
      </c>
      <c r="E738" s="82">
        <v>8.3720930232558093</v>
      </c>
      <c r="F738" s="82" t="s">
        <v>39</v>
      </c>
      <c r="G738" s="83">
        <v>110000</v>
      </c>
      <c r="H738" s="110">
        <v>0.5</v>
      </c>
      <c r="I738" s="84"/>
      <c r="J738" s="5" t="s">
        <v>89</v>
      </c>
    </row>
    <row r="739" spans="1:10" ht="25" customHeight="1">
      <c r="A739" s="78"/>
      <c r="B739" s="79" t="s">
        <v>952</v>
      </c>
      <c r="C739" s="124" t="s">
        <v>948</v>
      </c>
      <c r="D739" s="81" t="s">
        <v>72</v>
      </c>
      <c r="E739" s="82">
        <v>8.3720930232558093</v>
      </c>
      <c r="F739" s="82" t="s">
        <v>39</v>
      </c>
      <c r="G739" s="83">
        <v>150000</v>
      </c>
      <c r="H739" s="110">
        <v>0.5</v>
      </c>
      <c r="I739" s="84"/>
      <c r="J739" s="5" t="s">
        <v>89</v>
      </c>
    </row>
    <row r="740" spans="1:10" ht="25" customHeight="1">
      <c r="A740" s="78"/>
      <c r="B740" s="79" t="s">
        <v>953</v>
      </c>
      <c r="C740" s="124" t="s">
        <v>948</v>
      </c>
      <c r="D740" s="88" t="s">
        <v>74</v>
      </c>
      <c r="E740" s="82">
        <v>16.363636363636399</v>
      </c>
      <c r="F740" s="82" t="s">
        <v>39</v>
      </c>
      <c r="G740" s="83">
        <v>220000</v>
      </c>
      <c r="H740" s="110">
        <v>0.5</v>
      </c>
      <c r="I740" s="84"/>
      <c r="J740" s="5" t="s">
        <v>89</v>
      </c>
    </row>
    <row r="741" spans="1:10" ht="25" customHeight="1">
      <c r="A741" s="63"/>
      <c r="B741" s="106"/>
      <c r="C741" s="197" t="s">
        <v>954</v>
      </c>
      <c r="D741" s="108"/>
      <c r="E741" s="66"/>
      <c r="F741" s="66"/>
      <c r="G741" s="109"/>
      <c r="H741" s="69"/>
      <c r="I741" s="68"/>
    </row>
    <row r="742" spans="1:10" ht="25" customHeight="1">
      <c r="A742" s="78"/>
      <c r="B742" s="79" t="s">
        <v>955</v>
      </c>
      <c r="C742" s="124" t="s">
        <v>954</v>
      </c>
      <c r="D742" s="81" t="s">
        <v>63</v>
      </c>
      <c r="E742" s="82"/>
      <c r="F742" s="82" t="s">
        <v>31</v>
      </c>
      <c r="G742" s="83">
        <v>36000</v>
      </c>
      <c r="H742" s="110">
        <v>1</v>
      </c>
      <c r="I742" s="84"/>
    </row>
    <row r="743" spans="1:10" ht="25" customHeight="1">
      <c r="A743" s="78"/>
      <c r="B743" s="79" t="s">
        <v>956</v>
      </c>
      <c r="C743" s="124" t="s">
        <v>954</v>
      </c>
      <c r="D743" s="81" t="s">
        <v>478</v>
      </c>
      <c r="E743" s="82">
        <v>4</v>
      </c>
      <c r="F743" s="82" t="s">
        <v>39</v>
      </c>
      <c r="G743" s="83">
        <v>48000</v>
      </c>
      <c r="H743" s="110">
        <v>1</v>
      </c>
      <c r="I743" s="84"/>
    </row>
    <row r="744" spans="1:10" ht="25" customHeight="1">
      <c r="A744" s="78"/>
      <c r="B744" s="79" t="s">
        <v>957</v>
      </c>
      <c r="C744" s="124" t="s">
        <v>954</v>
      </c>
      <c r="D744" s="81" t="s">
        <v>480</v>
      </c>
      <c r="E744" s="82">
        <v>4</v>
      </c>
      <c r="F744" s="82" t="s">
        <v>39</v>
      </c>
      <c r="G744" s="83">
        <v>70000</v>
      </c>
      <c r="H744" s="110">
        <v>1</v>
      </c>
      <c r="I744" s="84"/>
    </row>
    <row r="745" spans="1:10" ht="25" customHeight="1">
      <c r="A745" s="78"/>
      <c r="B745" s="79" t="s">
        <v>958</v>
      </c>
      <c r="C745" s="124" t="s">
        <v>954</v>
      </c>
      <c r="D745" s="81" t="s">
        <v>489</v>
      </c>
      <c r="E745" s="82">
        <v>5</v>
      </c>
      <c r="F745" s="82" t="s">
        <v>39</v>
      </c>
      <c r="G745" s="83">
        <v>95000</v>
      </c>
      <c r="H745" s="110">
        <v>1</v>
      </c>
      <c r="I745" s="84"/>
    </row>
    <row r="746" spans="1:10" ht="25" customHeight="1">
      <c r="A746" s="78"/>
      <c r="B746" s="79" t="s">
        <v>959</v>
      </c>
      <c r="C746" s="124" t="s">
        <v>954</v>
      </c>
      <c r="D746" s="81" t="s">
        <v>491</v>
      </c>
      <c r="E746" s="82">
        <v>5</v>
      </c>
      <c r="F746" s="82" t="s">
        <v>39</v>
      </c>
      <c r="G746" s="83">
        <v>120000</v>
      </c>
      <c r="H746" s="110">
        <v>1</v>
      </c>
      <c r="I746" s="84"/>
    </row>
    <row r="747" spans="1:10" ht="25" customHeight="1">
      <c r="A747" s="78"/>
      <c r="B747" s="79" t="s">
        <v>960</v>
      </c>
      <c r="C747" s="124" t="s">
        <v>954</v>
      </c>
      <c r="D747" s="81" t="s">
        <v>840</v>
      </c>
      <c r="E747" s="82">
        <v>6.6666666666666696</v>
      </c>
      <c r="F747" s="82" t="s">
        <v>39</v>
      </c>
      <c r="G747" s="83">
        <v>145000</v>
      </c>
      <c r="H747" s="110">
        <v>1</v>
      </c>
      <c r="I747" s="84"/>
    </row>
    <row r="748" spans="1:10" ht="25" customHeight="1">
      <c r="A748" s="78"/>
      <c r="B748" s="79" t="s">
        <v>961</v>
      </c>
      <c r="C748" s="124" t="s">
        <v>954</v>
      </c>
      <c r="D748" s="81" t="s">
        <v>842</v>
      </c>
      <c r="E748" s="82">
        <v>6.6666666666666696</v>
      </c>
      <c r="F748" s="82" t="s">
        <v>39</v>
      </c>
      <c r="G748" s="83">
        <v>180000</v>
      </c>
      <c r="H748" s="110">
        <v>1</v>
      </c>
      <c r="I748" s="84"/>
    </row>
    <row r="749" spans="1:10" ht="25" customHeight="1">
      <c r="A749" s="63"/>
      <c r="B749" s="106"/>
      <c r="C749" s="197" t="s">
        <v>962</v>
      </c>
      <c r="D749" s="108"/>
      <c r="E749" s="66"/>
      <c r="F749" s="66"/>
      <c r="G749" s="109"/>
      <c r="H749" s="69"/>
      <c r="I749" s="68"/>
    </row>
    <row r="750" spans="1:10" ht="25" customHeight="1">
      <c r="A750" s="128"/>
      <c r="B750" s="129" t="s">
        <v>963</v>
      </c>
      <c r="C750" s="130" t="s">
        <v>964</v>
      </c>
      <c r="D750" s="213"/>
      <c r="E750" s="132"/>
      <c r="F750" s="82" t="s">
        <v>31</v>
      </c>
      <c r="G750" s="209">
        <v>40000</v>
      </c>
      <c r="H750" s="211">
        <v>1</v>
      </c>
      <c r="I750" s="196"/>
    </row>
    <row r="751" spans="1:10" ht="25" customHeight="1">
      <c r="A751" s="128"/>
      <c r="B751" s="129" t="s">
        <v>965</v>
      </c>
      <c r="C751" s="130" t="s">
        <v>966</v>
      </c>
      <c r="D751" s="213"/>
      <c r="E751" s="132"/>
      <c r="F751" s="82" t="s">
        <v>31</v>
      </c>
      <c r="G751" s="209">
        <v>40000</v>
      </c>
      <c r="H751" s="211">
        <v>0.5</v>
      </c>
      <c r="I751" s="196"/>
    </row>
    <row r="752" spans="1:10" ht="25" customHeight="1">
      <c r="A752" s="128"/>
      <c r="B752" s="129" t="s">
        <v>967</v>
      </c>
      <c r="C752" s="130" t="s">
        <v>964</v>
      </c>
      <c r="D752" s="81" t="s">
        <v>968</v>
      </c>
      <c r="E752" s="132"/>
      <c r="F752" s="82" t="s">
        <v>31</v>
      </c>
      <c r="G752" s="209">
        <v>40000</v>
      </c>
      <c r="H752" s="211">
        <v>1</v>
      </c>
      <c r="I752" s="196"/>
      <c r="J752" s="5" t="s">
        <v>969</v>
      </c>
    </row>
    <row r="753" spans="1:10" ht="25" customHeight="1">
      <c r="A753" s="128"/>
      <c r="B753" s="129" t="s">
        <v>970</v>
      </c>
      <c r="C753" s="130" t="s">
        <v>964</v>
      </c>
      <c r="D753" s="81" t="s">
        <v>971</v>
      </c>
      <c r="E753" s="132"/>
      <c r="F753" s="82" t="s">
        <v>31</v>
      </c>
      <c r="G753" s="209">
        <v>40000</v>
      </c>
      <c r="H753" s="211">
        <v>1</v>
      </c>
      <c r="I753" s="196"/>
      <c r="J753" s="5" t="s">
        <v>969</v>
      </c>
    </row>
    <row r="754" spans="1:10" ht="25" customHeight="1">
      <c r="A754" s="128"/>
      <c r="B754" s="129" t="s">
        <v>972</v>
      </c>
      <c r="C754" s="130" t="s">
        <v>973</v>
      </c>
      <c r="D754" s="81" t="s">
        <v>968</v>
      </c>
      <c r="E754" s="132"/>
      <c r="F754" s="82" t="s">
        <v>31</v>
      </c>
      <c r="G754" s="209">
        <v>40000</v>
      </c>
      <c r="H754" s="211">
        <v>1</v>
      </c>
      <c r="I754" s="196"/>
      <c r="J754" s="5" t="s">
        <v>969</v>
      </c>
    </row>
    <row r="755" spans="1:10" ht="25" customHeight="1">
      <c r="A755" s="128"/>
      <c r="B755" s="129" t="s">
        <v>974</v>
      </c>
      <c r="C755" s="130" t="s">
        <v>975</v>
      </c>
      <c r="D755" s="81"/>
      <c r="E755" s="132"/>
      <c r="F755" s="82" t="s">
        <v>31</v>
      </c>
      <c r="G755" s="209">
        <v>40000</v>
      </c>
      <c r="H755" s="211">
        <v>1</v>
      </c>
      <c r="I755" s="196"/>
    </row>
    <row r="756" spans="1:10" ht="25" customHeight="1">
      <c r="A756" s="128"/>
      <c r="B756" s="129" t="s">
        <v>976</v>
      </c>
      <c r="C756" s="130" t="s">
        <v>975</v>
      </c>
      <c r="D756" s="81" t="s">
        <v>968</v>
      </c>
      <c r="E756" s="132"/>
      <c r="F756" s="82" t="s">
        <v>31</v>
      </c>
      <c r="G756" s="209">
        <v>40000</v>
      </c>
      <c r="H756" s="211">
        <v>1</v>
      </c>
      <c r="I756" s="196"/>
      <c r="J756" s="5" t="s">
        <v>969</v>
      </c>
    </row>
    <row r="757" spans="1:10" ht="25" customHeight="1">
      <c r="A757" s="128"/>
      <c r="B757" s="129" t="s">
        <v>977</v>
      </c>
      <c r="C757" s="130" t="s">
        <v>975</v>
      </c>
      <c r="D757" s="81" t="s">
        <v>971</v>
      </c>
      <c r="E757" s="132"/>
      <c r="F757" s="82" t="s">
        <v>31</v>
      </c>
      <c r="G757" s="209">
        <v>40000</v>
      </c>
      <c r="H757" s="211">
        <v>1</v>
      </c>
      <c r="I757" s="196"/>
      <c r="J757" s="5" t="s">
        <v>969</v>
      </c>
    </row>
    <row r="758" spans="1:10" ht="25" customHeight="1">
      <c r="A758" s="128"/>
      <c r="B758" s="129" t="s">
        <v>978</v>
      </c>
      <c r="C758" s="130" t="s">
        <v>979</v>
      </c>
      <c r="D758" s="81" t="s">
        <v>968</v>
      </c>
      <c r="E758" s="132"/>
      <c r="F758" s="82" t="s">
        <v>31</v>
      </c>
      <c r="G758" s="209">
        <v>40000</v>
      </c>
      <c r="H758" s="211">
        <v>1</v>
      </c>
      <c r="I758" s="196"/>
      <c r="J758" s="5" t="s">
        <v>969</v>
      </c>
    </row>
    <row r="759" spans="1:10" ht="25" customHeight="1">
      <c r="A759" s="128"/>
      <c r="B759" s="129" t="s">
        <v>980</v>
      </c>
      <c r="C759" s="130" t="s">
        <v>981</v>
      </c>
      <c r="D759" s="81" t="s">
        <v>982</v>
      </c>
      <c r="E759" s="132"/>
      <c r="F759" s="82" t="s">
        <v>31</v>
      </c>
      <c r="G759" s="209">
        <v>40000</v>
      </c>
      <c r="H759" s="211">
        <v>1</v>
      </c>
      <c r="I759" s="196"/>
      <c r="J759" s="5" t="s">
        <v>969</v>
      </c>
    </row>
    <row r="760" spans="1:10" ht="25" customHeight="1">
      <c r="A760" s="128"/>
      <c r="B760" s="129" t="s">
        <v>983</v>
      </c>
      <c r="C760" s="130" t="s">
        <v>981</v>
      </c>
      <c r="D760" s="81" t="s">
        <v>984</v>
      </c>
      <c r="E760" s="132"/>
      <c r="F760" s="82" t="s">
        <v>31</v>
      </c>
      <c r="G760" s="209">
        <v>40000</v>
      </c>
      <c r="H760" s="211">
        <v>1</v>
      </c>
      <c r="I760" s="196"/>
      <c r="J760" s="5" t="s">
        <v>969</v>
      </c>
    </row>
    <row r="761" spans="1:10" ht="25" customHeight="1">
      <c r="A761" s="128"/>
      <c r="B761" s="129" t="s">
        <v>985</v>
      </c>
      <c r="C761" s="130" t="s">
        <v>981</v>
      </c>
      <c r="D761" s="81" t="s">
        <v>986</v>
      </c>
      <c r="E761" s="132"/>
      <c r="F761" s="82" t="s">
        <v>31</v>
      </c>
      <c r="G761" s="209">
        <v>40000</v>
      </c>
      <c r="H761" s="211">
        <v>1</v>
      </c>
      <c r="I761" s="196"/>
      <c r="J761" s="5" t="s">
        <v>969</v>
      </c>
    </row>
    <row r="762" spans="1:10" ht="25" customHeight="1">
      <c r="A762" s="128"/>
      <c r="B762" s="129" t="s">
        <v>987</v>
      </c>
      <c r="C762" s="130" t="s">
        <v>988</v>
      </c>
      <c r="D762" s="81" t="s">
        <v>984</v>
      </c>
      <c r="E762" s="132"/>
      <c r="F762" s="82" t="s">
        <v>31</v>
      </c>
      <c r="G762" s="209">
        <v>40000</v>
      </c>
      <c r="H762" s="211">
        <v>1</v>
      </c>
      <c r="I762" s="196"/>
      <c r="J762" s="5" t="s">
        <v>969</v>
      </c>
    </row>
    <row r="763" spans="1:10" ht="25" customHeight="1">
      <c r="A763" s="128"/>
      <c r="B763" s="129" t="s">
        <v>989</v>
      </c>
      <c r="C763" s="130" t="s">
        <v>990</v>
      </c>
      <c r="D763" s="213"/>
      <c r="E763" s="132"/>
      <c r="F763" s="82" t="s">
        <v>31</v>
      </c>
      <c r="G763" s="209">
        <v>40000</v>
      </c>
      <c r="H763" s="211">
        <v>1</v>
      </c>
      <c r="I763" s="196"/>
    </row>
    <row r="764" spans="1:10" ht="25" customHeight="1">
      <c r="A764" s="63"/>
      <c r="B764" s="106"/>
      <c r="C764" s="197" t="s">
        <v>991</v>
      </c>
      <c r="D764" s="108"/>
      <c r="E764" s="66"/>
      <c r="F764" s="66"/>
      <c r="G764" s="109"/>
      <c r="H764" s="69"/>
      <c r="I764" s="68"/>
    </row>
    <row r="765" spans="1:10" ht="25" customHeight="1">
      <c r="A765" s="78"/>
      <c r="B765" s="79" t="s">
        <v>992</v>
      </c>
      <c r="C765" s="124" t="s">
        <v>993</v>
      </c>
      <c r="D765" s="81" t="s">
        <v>63</v>
      </c>
      <c r="E765" s="82"/>
      <c r="F765" s="82" t="s">
        <v>31</v>
      </c>
      <c r="G765" s="83">
        <v>30000</v>
      </c>
      <c r="H765" s="211">
        <v>1</v>
      </c>
      <c r="I765" s="84"/>
      <c r="J765" s="5" t="s">
        <v>119</v>
      </c>
    </row>
    <row r="766" spans="1:10" ht="25" customHeight="1">
      <c r="A766" s="78"/>
      <c r="B766" s="79" t="s">
        <v>994</v>
      </c>
      <c r="C766" s="124" t="s">
        <v>993</v>
      </c>
      <c r="D766" s="81" t="s">
        <v>263</v>
      </c>
      <c r="E766" s="82">
        <v>0.5</v>
      </c>
      <c r="F766" s="82" t="s">
        <v>39</v>
      </c>
      <c r="G766" s="83">
        <v>70000</v>
      </c>
      <c r="H766" s="211">
        <v>1</v>
      </c>
      <c r="I766" s="84"/>
      <c r="J766" s="5" t="s">
        <v>89</v>
      </c>
    </row>
    <row r="767" spans="1:10" ht="25" customHeight="1">
      <c r="A767" s="78"/>
      <c r="B767" s="79" t="s">
        <v>995</v>
      </c>
      <c r="C767" s="124" t="s">
        <v>993</v>
      </c>
      <c r="D767" s="81" t="s">
        <v>40</v>
      </c>
      <c r="E767" s="82">
        <v>1</v>
      </c>
      <c r="F767" s="82" t="s">
        <v>39</v>
      </c>
      <c r="G767" s="83">
        <v>150000</v>
      </c>
      <c r="H767" s="211">
        <v>1</v>
      </c>
      <c r="I767" s="84"/>
      <c r="J767" s="5" t="s">
        <v>89</v>
      </c>
    </row>
    <row r="768" spans="1:10" ht="25" customHeight="1">
      <c r="A768" s="78"/>
      <c r="B768" s="79" t="s">
        <v>996</v>
      </c>
      <c r="C768" s="124" t="s">
        <v>993</v>
      </c>
      <c r="D768" s="81" t="s">
        <v>587</v>
      </c>
      <c r="E768" s="82">
        <v>1</v>
      </c>
      <c r="F768" s="82" t="s">
        <v>39</v>
      </c>
      <c r="G768" s="83">
        <v>200000</v>
      </c>
      <c r="H768" s="211">
        <v>1</v>
      </c>
      <c r="I768" s="84"/>
      <c r="J768" s="5" t="s">
        <v>89</v>
      </c>
    </row>
    <row r="769" spans="1:10" ht="25" customHeight="1">
      <c r="A769" s="85"/>
      <c r="B769" s="86" t="s">
        <v>997</v>
      </c>
      <c r="C769" s="125" t="s">
        <v>993</v>
      </c>
      <c r="D769" s="88" t="s">
        <v>998</v>
      </c>
      <c r="E769" s="89">
        <v>2</v>
      </c>
      <c r="F769" s="89" t="s">
        <v>39</v>
      </c>
      <c r="G769" s="90">
        <v>420000</v>
      </c>
      <c r="H769" s="211">
        <v>1</v>
      </c>
      <c r="I769" s="91"/>
      <c r="J769" s="5" t="s">
        <v>89</v>
      </c>
    </row>
    <row r="770" spans="1:10" ht="25" customHeight="1">
      <c r="A770" s="78"/>
      <c r="B770" s="79" t="s">
        <v>999</v>
      </c>
      <c r="C770" s="124" t="s">
        <v>1000</v>
      </c>
      <c r="D770" s="81" t="s">
        <v>263</v>
      </c>
      <c r="E770" s="82">
        <v>0.5</v>
      </c>
      <c r="F770" s="82" t="s">
        <v>39</v>
      </c>
      <c r="G770" s="83">
        <v>70000</v>
      </c>
      <c r="H770" s="211">
        <v>0.5</v>
      </c>
      <c r="I770" s="84"/>
      <c r="J770" s="5" t="s">
        <v>89</v>
      </c>
    </row>
    <row r="771" spans="1:10" ht="25" customHeight="1">
      <c r="A771" s="78"/>
      <c r="B771" s="79" t="s">
        <v>1001</v>
      </c>
      <c r="C771" s="124" t="s">
        <v>1000</v>
      </c>
      <c r="D771" s="81" t="s">
        <v>40</v>
      </c>
      <c r="E771" s="82">
        <v>1</v>
      </c>
      <c r="F771" s="82" t="s">
        <v>39</v>
      </c>
      <c r="G771" s="83">
        <v>150000</v>
      </c>
      <c r="H771" s="211">
        <v>0.5</v>
      </c>
      <c r="I771" s="84"/>
      <c r="J771" s="5" t="s">
        <v>89</v>
      </c>
    </row>
    <row r="772" spans="1:10" ht="25" customHeight="1">
      <c r="A772" s="78"/>
      <c r="B772" s="79" t="s">
        <v>1002</v>
      </c>
      <c r="C772" s="124" t="s">
        <v>1000</v>
      </c>
      <c r="D772" s="81" t="s">
        <v>587</v>
      </c>
      <c r="E772" s="82">
        <v>1</v>
      </c>
      <c r="F772" s="82" t="s">
        <v>39</v>
      </c>
      <c r="G772" s="83">
        <v>200000</v>
      </c>
      <c r="H772" s="211">
        <v>0.5</v>
      </c>
      <c r="I772" s="84"/>
      <c r="J772" s="5" t="s">
        <v>89</v>
      </c>
    </row>
    <row r="773" spans="1:10" ht="25" customHeight="1">
      <c r="A773" s="78"/>
      <c r="B773" s="79" t="s">
        <v>1003</v>
      </c>
      <c r="C773" s="124" t="s">
        <v>1000</v>
      </c>
      <c r="D773" s="81" t="s">
        <v>998</v>
      </c>
      <c r="E773" s="89">
        <v>2</v>
      </c>
      <c r="F773" s="82" t="s">
        <v>39</v>
      </c>
      <c r="G773" s="83">
        <v>420000</v>
      </c>
      <c r="H773" s="211">
        <v>0.5</v>
      </c>
      <c r="I773" s="84"/>
      <c r="J773" s="5" t="s">
        <v>89</v>
      </c>
    </row>
    <row r="774" spans="1:10" ht="25" customHeight="1">
      <c r="A774" s="63"/>
      <c r="B774" s="106"/>
      <c r="C774" s="197" t="s">
        <v>1004</v>
      </c>
      <c r="D774" s="108"/>
      <c r="E774" s="66"/>
      <c r="F774" s="66"/>
      <c r="G774" s="109"/>
      <c r="H774" s="69"/>
      <c r="I774" s="68"/>
    </row>
    <row r="775" spans="1:10" ht="25" customHeight="1">
      <c r="A775" s="78"/>
      <c r="B775" s="79" t="s">
        <v>1005</v>
      </c>
      <c r="C775" s="124" t="s">
        <v>1006</v>
      </c>
      <c r="D775" s="81" t="s">
        <v>63</v>
      </c>
      <c r="E775" s="82"/>
      <c r="F775" s="82" t="s">
        <v>31</v>
      </c>
      <c r="G775" s="209">
        <v>30000</v>
      </c>
      <c r="H775" s="211">
        <v>1</v>
      </c>
      <c r="I775" s="196"/>
      <c r="J775" s="5" t="s">
        <v>119</v>
      </c>
    </row>
    <row r="776" spans="1:10" ht="25" customHeight="1">
      <c r="A776" s="78"/>
      <c r="B776" s="79" t="s">
        <v>1007</v>
      </c>
      <c r="C776" s="124" t="s">
        <v>1006</v>
      </c>
      <c r="D776" s="81" t="s">
        <v>263</v>
      </c>
      <c r="E776" s="82">
        <v>0.5</v>
      </c>
      <c r="F776" s="82" t="s">
        <v>39</v>
      </c>
      <c r="G776" s="83">
        <v>70000</v>
      </c>
      <c r="H776" s="211">
        <v>1</v>
      </c>
      <c r="I776" s="84"/>
      <c r="J776" s="5" t="s">
        <v>89</v>
      </c>
    </row>
    <row r="777" spans="1:10" ht="25" customHeight="1">
      <c r="A777" s="78"/>
      <c r="B777" s="79" t="s">
        <v>1008</v>
      </c>
      <c r="C777" s="124" t="s">
        <v>1006</v>
      </c>
      <c r="D777" s="81" t="s">
        <v>40</v>
      </c>
      <c r="E777" s="82">
        <v>1</v>
      </c>
      <c r="F777" s="82" t="s">
        <v>39</v>
      </c>
      <c r="G777" s="83">
        <v>150000</v>
      </c>
      <c r="H777" s="211">
        <v>1</v>
      </c>
      <c r="I777" s="84"/>
      <c r="J777" s="5" t="s">
        <v>89</v>
      </c>
    </row>
    <row r="778" spans="1:10" ht="25" customHeight="1">
      <c r="A778" s="78"/>
      <c r="B778" s="79" t="s">
        <v>1009</v>
      </c>
      <c r="C778" s="124" t="s">
        <v>1006</v>
      </c>
      <c r="D778" s="81" t="s">
        <v>587</v>
      </c>
      <c r="E778" s="82">
        <v>1</v>
      </c>
      <c r="F778" s="82" t="s">
        <v>39</v>
      </c>
      <c r="G778" s="83">
        <v>200000</v>
      </c>
      <c r="H778" s="211">
        <v>1</v>
      </c>
      <c r="I778" s="84"/>
      <c r="J778" s="5" t="s">
        <v>89</v>
      </c>
    </row>
    <row r="779" spans="1:10" ht="25" customHeight="1">
      <c r="A779" s="85"/>
      <c r="B779" s="86" t="s">
        <v>1010</v>
      </c>
      <c r="C779" s="125" t="s">
        <v>1006</v>
      </c>
      <c r="D779" s="88" t="s">
        <v>998</v>
      </c>
      <c r="E779" s="89">
        <v>2</v>
      </c>
      <c r="F779" s="89" t="s">
        <v>39</v>
      </c>
      <c r="G779" s="90">
        <v>420000</v>
      </c>
      <c r="H779" s="211">
        <v>1</v>
      </c>
      <c r="I779" s="91"/>
      <c r="J779" s="5" t="s">
        <v>89</v>
      </c>
    </row>
    <row r="780" spans="1:10" ht="25" customHeight="1">
      <c r="A780" s="143"/>
      <c r="B780" s="144" t="s">
        <v>1011</v>
      </c>
      <c r="C780" s="184" t="s">
        <v>1012</v>
      </c>
      <c r="D780" s="145" t="s">
        <v>263</v>
      </c>
      <c r="E780" s="185">
        <v>0.5</v>
      </c>
      <c r="F780" s="185" t="s">
        <v>39</v>
      </c>
      <c r="G780" s="207">
        <v>70000</v>
      </c>
      <c r="H780" s="187">
        <v>0.5</v>
      </c>
      <c r="I780" s="146"/>
      <c r="J780" s="5" t="s">
        <v>89</v>
      </c>
    </row>
    <row r="781" spans="1:10" ht="25" customHeight="1">
      <c r="A781" s="78"/>
      <c r="B781" s="79" t="s">
        <v>1013</v>
      </c>
      <c r="C781" s="124" t="s">
        <v>1012</v>
      </c>
      <c r="D781" s="81" t="s">
        <v>40</v>
      </c>
      <c r="E781" s="82">
        <v>1</v>
      </c>
      <c r="F781" s="82" t="s">
        <v>39</v>
      </c>
      <c r="G781" s="83">
        <v>150000</v>
      </c>
      <c r="H781" s="187">
        <v>0.5</v>
      </c>
      <c r="I781" s="84"/>
      <c r="J781" s="5" t="s">
        <v>89</v>
      </c>
    </row>
    <row r="782" spans="1:10" ht="25" customHeight="1">
      <c r="A782" s="78"/>
      <c r="B782" s="79" t="s">
        <v>1014</v>
      </c>
      <c r="C782" s="124" t="s">
        <v>1012</v>
      </c>
      <c r="D782" s="81" t="s">
        <v>587</v>
      </c>
      <c r="E782" s="82">
        <v>1</v>
      </c>
      <c r="F782" s="82" t="s">
        <v>39</v>
      </c>
      <c r="G782" s="83">
        <v>200000</v>
      </c>
      <c r="H782" s="187">
        <v>0.5</v>
      </c>
      <c r="I782" s="84"/>
      <c r="J782" s="5" t="s">
        <v>89</v>
      </c>
    </row>
    <row r="783" spans="1:10" ht="25" customHeight="1">
      <c r="A783" s="78"/>
      <c r="B783" s="79" t="s">
        <v>1015</v>
      </c>
      <c r="C783" s="124" t="s">
        <v>1012</v>
      </c>
      <c r="D783" s="81" t="s">
        <v>998</v>
      </c>
      <c r="E783" s="82">
        <v>2</v>
      </c>
      <c r="F783" s="82" t="s">
        <v>39</v>
      </c>
      <c r="G783" s="83">
        <v>420000</v>
      </c>
      <c r="H783" s="187">
        <v>0.5</v>
      </c>
      <c r="I783" s="84"/>
      <c r="J783" s="5" t="s">
        <v>89</v>
      </c>
    </row>
    <row r="784" spans="1:10" ht="25" customHeight="1">
      <c r="A784" s="78"/>
      <c r="B784" s="79" t="s">
        <v>1016</v>
      </c>
      <c r="C784" s="124" t="s">
        <v>1017</v>
      </c>
      <c r="D784" s="81" t="s">
        <v>263</v>
      </c>
      <c r="E784" s="82">
        <v>0.5</v>
      </c>
      <c r="F784" s="82" t="s">
        <v>39</v>
      </c>
      <c r="G784" s="83">
        <v>15000</v>
      </c>
      <c r="H784" s="211">
        <v>1</v>
      </c>
      <c r="I784" s="84"/>
      <c r="J784" s="5" t="s">
        <v>89</v>
      </c>
    </row>
    <row r="785" spans="1:10" ht="25" customHeight="1">
      <c r="A785" s="63"/>
      <c r="B785" s="63"/>
      <c r="C785" s="197" t="s">
        <v>1018</v>
      </c>
      <c r="D785" s="108"/>
      <c r="E785" s="66"/>
      <c r="F785" s="66"/>
      <c r="G785" s="109"/>
      <c r="H785" s="69"/>
      <c r="I785" s="68"/>
    </row>
    <row r="786" spans="1:10" ht="25" customHeight="1">
      <c r="A786" s="78"/>
      <c r="B786" s="79" t="s">
        <v>1019</v>
      </c>
      <c r="C786" s="124" t="s">
        <v>1020</v>
      </c>
      <c r="D786" s="81" t="s">
        <v>63</v>
      </c>
      <c r="E786" s="82"/>
      <c r="F786" s="82" t="s">
        <v>31</v>
      </c>
      <c r="G786" s="214">
        <v>30000</v>
      </c>
      <c r="H786" s="211">
        <v>1</v>
      </c>
      <c r="I786" s="84"/>
      <c r="J786" s="5" t="s">
        <v>89</v>
      </c>
    </row>
    <row r="787" spans="1:10" ht="25" customHeight="1">
      <c r="A787" s="78"/>
      <c r="B787" s="79" t="s">
        <v>1021</v>
      </c>
      <c r="C787" s="124" t="s">
        <v>1020</v>
      </c>
      <c r="D787" s="81" t="s">
        <v>1022</v>
      </c>
      <c r="E787" s="82"/>
      <c r="F787" s="82" t="s">
        <v>31</v>
      </c>
      <c r="G787" s="214">
        <v>40000</v>
      </c>
      <c r="H787" s="211">
        <v>1</v>
      </c>
      <c r="I787" s="84"/>
    </row>
    <row r="788" spans="1:10" ht="25" customHeight="1">
      <c r="A788" s="78"/>
      <c r="B788" s="79" t="s">
        <v>1023</v>
      </c>
      <c r="C788" s="124" t="s">
        <v>1020</v>
      </c>
      <c r="D788" s="81" t="s">
        <v>263</v>
      </c>
      <c r="E788" s="82">
        <v>0.5</v>
      </c>
      <c r="F788" s="82" t="s">
        <v>39</v>
      </c>
      <c r="G788" s="83">
        <v>70000</v>
      </c>
      <c r="H788" s="211">
        <v>1</v>
      </c>
      <c r="I788" s="84"/>
      <c r="J788" s="5" t="s">
        <v>89</v>
      </c>
    </row>
    <row r="789" spans="1:10" ht="25" customHeight="1">
      <c r="A789" s="78"/>
      <c r="B789" s="79" t="s">
        <v>1024</v>
      </c>
      <c r="C789" s="124" t="s">
        <v>1020</v>
      </c>
      <c r="D789" s="81" t="s">
        <v>40</v>
      </c>
      <c r="E789" s="82">
        <v>1</v>
      </c>
      <c r="F789" s="82" t="s">
        <v>39</v>
      </c>
      <c r="G789" s="83">
        <v>150000</v>
      </c>
      <c r="H789" s="211">
        <v>1</v>
      </c>
      <c r="I789" s="84"/>
      <c r="J789" s="5" t="s">
        <v>89</v>
      </c>
    </row>
    <row r="790" spans="1:10" ht="25" customHeight="1">
      <c r="A790" s="137"/>
      <c r="B790" s="79" t="s">
        <v>1025</v>
      </c>
      <c r="C790" s="124" t="s">
        <v>1020</v>
      </c>
      <c r="D790" s="81" t="s">
        <v>587</v>
      </c>
      <c r="E790" s="82">
        <v>1</v>
      </c>
      <c r="F790" s="82" t="s">
        <v>39</v>
      </c>
      <c r="G790" s="83">
        <v>200000</v>
      </c>
      <c r="H790" s="211">
        <v>1</v>
      </c>
      <c r="I790" s="141"/>
      <c r="J790" s="5" t="s">
        <v>89</v>
      </c>
    </row>
    <row r="791" spans="1:10" ht="25" customHeight="1">
      <c r="A791" s="137"/>
      <c r="B791" s="79" t="s">
        <v>1026</v>
      </c>
      <c r="C791" s="124" t="s">
        <v>1020</v>
      </c>
      <c r="D791" s="81" t="s">
        <v>998</v>
      </c>
      <c r="E791" s="89">
        <v>2</v>
      </c>
      <c r="F791" s="89" t="s">
        <v>39</v>
      </c>
      <c r="G791" s="90">
        <v>420000</v>
      </c>
      <c r="H791" s="211">
        <v>1</v>
      </c>
      <c r="I791" s="141"/>
      <c r="J791" s="5" t="s">
        <v>89</v>
      </c>
    </row>
    <row r="792" spans="1:10" ht="25" customHeight="1">
      <c r="A792" s="78"/>
      <c r="B792" s="79" t="s">
        <v>1027</v>
      </c>
      <c r="C792" s="124" t="s">
        <v>1028</v>
      </c>
      <c r="D792" s="81" t="s">
        <v>63</v>
      </c>
      <c r="E792" s="82"/>
      <c r="F792" s="82" t="s">
        <v>31</v>
      </c>
      <c r="G792" s="214">
        <v>30000</v>
      </c>
      <c r="H792" s="211">
        <v>0.5</v>
      </c>
      <c r="I792" s="84"/>
      <c r="J792" s="5" t="s">
        <v>89</v>
      </c>
    </row>
    <row r="793" spans="1:10" ht="25" customHeight="1">
      <c r="A793" s="78"/>
      <c r="B793" s="79" t="s">
        <v>1029</v>
      </c>
      <c r="C793" s="124" t="s">
        <v>1028</v>
      </c>
      <c r="D793" s="81" t="s">
        <v>263</v>
      </c>
      <c r="E793" s="82">
        <v>0.5</v>
      </c>
      <c r="F793" s="82" t="s">
        <v>39</v>
      </c>
      <c r="G793" s="83">
        <v>70000</v>
      </c>
      <c r="H793" s="211">
        <v>0.5</v>
      </c>
      <c r="I793" s="84"/>
      <c r="J793" s="5" t="s">
        <v>89</v>
      </c>
    </row>
    <row r="794" spans="1:10" ht="25" customHeight="1">
      <c r="A794" s="78"/>
      <c r="B794" s="79" t="s">
        <v>1030</v>
      </c>
      <c r="C794" s="124" t="s">
        <v>1028</v>
      </c>
      <c r="D794" s="81" t="s">
        <v>40</v>
      </c>
      <c r="E794" s="82">
        <v>1</v>
      </c>
      <c r="F794" s="82" t="s">
        <v>39</v>
      </c>
      <c r="G794" s="83">
        <v>150000</v>
      </c>
      <c r="H794" s="211">
        <v>0.5</v>
      </c>
      <c r="I794" s="84"/>
      <c r="J794" s="5" t="s">
        <v>89</v>
      </c>
    </row>
    <row r="795" spans="1:10" ht="25" customHeight="1">
      <c r="A795" s="137"/>
      <c r="B795" s="79" t="s">
        <v>1031</v>
      </c>
      <c r="C795" s="124" t="s">
        <v>1028</v>
      </c>
      <c r="D795" s="81" t="s">
        <v>587</v>
      </c>
      <c r="E795" s="82">
        <v>1</v>
      </c>
      <c r="F795" s="82" t="s">
        <v>39</v>
      </c>
      <c r="G795" s="83">
        <v>200000</v>
      </c>
      <c r="H795" s="211">
        <v>0.5</v>
      </c>
      <c r="I795" s="141"/>
      <c r="J795" s="5" t="s">
        <v>89</v>
      </c>
    </row>
    <row r="796" spans="1:10" ht="25" customHeight="1">
      <c r="A796" s="137"/>
      <c r="B796" s="79" t="s">
        <v>1032</v>
      </c>
      <c r="C796" s="124" t="s">
        <v>1028</v>
      </c>
      <c r="D796" s="81" t="s">
        <v>998</v>
      </c>
      <c r="E796" s="89">
        <v>2</v>
      </c>
      <c r="F796" s="89" t="s">
        <v>39</v>
      </c>
      <c r="G796" s="90">
        <v>420000</v>
      </c>
      <c r="H796" s="211">
        <v>0.5</v>
      </c>
      <c r="I796" s="141"/>
      <c r="J796" s="5" t="s">
        <v>89</v>
      </c>
    </row>
    <row r="797" spans="1:10" ht="25" customHeight="1">
      <c r="A797" s="63"/>
      <c r="B797" s="106"/>
      <c r="C797" s="197" t="s">
        <v>1033</v>
      </c>
      <c r="D797" s="108"/>
      <c r="E797" s="66"/>
      <c r="F797" s="66"/>
      <c r="G797" s="109"/>
      <c r="H797" s="69"/>
      <c r="I797" s="68"/>
    </row>
    <row r="798" spans="1:10" ht="25" customHeight="1">
      <c r="A798" s="78"/>
      <c r="B798" s="79" t="s">
        <v>1034</v>
      </c>
      <c r="C798" s="124" t="s">
        <v>1033</v>
      </c>
      <c r="D798" s="81" t="s">
        <v>478</v>
      </c>
      <c r="E798" s="82">
        <v>1</v>
      </c>
      <c r="F798" s="82" t="s">
        <v>39</v>
      </c>
      <c r="G798" s="83">
        <v>80000</v>
      </c>
      <c r="H798" s="211">
        <v>1</v>
      </c>
      <c r="I798" s="84"/>
      <c r="J798" s="5" t="s">
        <v>89</v>
      </c>
    </row>
    <row r="799" spans="1:10" ht="25" customHeight="1">
      <c r="A799" s="78"/>
      <c r="B799" s="79" t="s">
        <v>1035</v>
      </c>
      <c r="C799" s="124" t="s">
        <v>1033</v>
      </c>
      <c r="D799" s="81" t="s">
        <v>40</v>
      </c>
      <c r="E799" s="82">
        <v>1</v>
      </c>
      <c r="F799" s="82" t="s">
        <v>39</v>
      </c>
      <c r="G799" s="83">
        <v>100000</v>
      </c>
      <c r="H799" s="211">
        <v>1</v>
      </c>
      <c r="I799" s="84"/>
      <c r="J799" s="5" t="s">
        <v>89</v>
      </c>
    </row>
    <row r="800" spans="1:10" ht="25" customHeight="1">
      <c r="A800" s="137"/>
      <c r="B800" s="79" t="s">
        <v>1036</v>
      </c>
      <c r="C800" s="124" t="s">
        <v>1033</v>
      </c>
      <c r="D800" s="81" t="s">
        <v>587</v>
      </c>
      <c r="E800" s="82">
        <v>1.5</v>
      </c>
      <c r="F800" s="82" t="s">
        <v>39</v>
      </c>
      <c r="G800" s="83">
        <v>160000</v>
      </c>
      <c r="H800" s="211">
        <v>1</v>
      </c>
      <c r="I800" s="141"/>
      <c r="J800" s="5" t="s">
        <v>89</v>
      </c>
    </row>
    <row r="801" spans="1:10" ht="25" customHeight="1">
      <c r="A801" s="137"/>
      <c r="B801" s="79" t="s">
        <v>1037</v>
      </c>
      <c r="C801" s="124" t="s">
        <v>1033</v>
      </c>
      <c r="D801" s="81" t="s">
        <v>589</v>
      </c>
      <c r="E801" s="82">
        <v>2</v>
      </c>
      <c r="F801" s="82" t="s">
        <v>39</v>
      </c>
      <c r="G801" s="83">
        <v>280000</v>
      </c>
      <c r="H801" s="211">
        <v>1</v>
      </c>
      <c r="I801" s="141"/>
      <c r="J801" s="5" t="s">
        <v>89</v>
      </c>
    </row>
    <row r="802" spans="1:10" ht="25" customHeight="1">
      <c r="A802" s="137"/>
      <c r="B802" s="79" t="s">
        <v>1038</v>
      </c>
      <c r="C802" s="124" t="s">
        <v>1033</v>
      </c>
      <c r="D802" s="81" t="s">
        <v>429</v>
      </c>
      <c r="E802" s="82">
        <v>2.5</v>
      </c>
      <c r="F802" s="82" t="s">
        <v>39</v>
      </c>
      <c r="G802" s="83">
        <v>400000</v>
      </c>
      <c r="H802" s="211">
        <v>1</v>
      </c>
      <c r="I802" s="141"/>
      <c r="J802" s="5" t="s">
        <v>89</v>
      </c>
    </row>
    <row r="803" spans="1:10" ht="25" customHeight="1">
      <c r="A803" s="137"/>
      <c r="B803" s="79" t="s">
        <v>1039</v>
      </c>
      <c r="C803" s="124" t="s">
        <v>1033</v>
      </c>
      <c r="D803" s="81" t="s">
        <v>94</v>
      </c>
      <c r="E803" s="82">
        <v>3</v>
      </c>
      <c r="F803" s="82" t="s">
        <v>39</v>
      </c>
      <c r="G803" s="83">
        <v>520000</v>
      </c>
      <c r="H803" s="211">
        <v>1</v>
      </c>
      <c r="I803" s="141"/>
      <c r="J803" s="5" t="s">
        <v>89</v>
      </c>
    </row>
    <row r="804" spans="1:10" ht="25" customHeight="1">
      <c r="A804" s="78"/>
      <c r="B804" s="79" t="s">
        <v>1040</v>
      </c>
      <c r="C804" s="124" t="s">
        <v>1041</v>
      </c>
      <c r="D804" s="81" t="s">
        <v>478</v>
      </c>
      <c r="E804" s="82">
        <v>1</v>
      </c>
      <c r="F804" s="82" t="s">
        <v>39</v>
      </c>
      <c r="G804" s="83">
        <v>80000</v>
      </c>
      <c r="H804" s="211">
        <v>0.5</v>
      </c>
      <c r="I804" s="84"/>
      <c r="J804" s="5" t="s">
        <v>89</v>
      </c>
    </row>
    <row r="805" spans="1:10" ht="25" customHeight="1">
      <c r="A805" s="78"/>
      <c r="B805" s="79" t="s">
        <v>1042</v>
      </c>
      <c r="C805" s="124" t="s">
        <v>1041</v>
      </c>
      <c r="D805" s="81" t="s">
        <v>40</v>
      </c>
      <c r="E805" s="82">
        <v>1</v>
      </c>
      <c r="F805" s="82" t="s">
        <v>39</v>
      </c>
      <c r="G805" s="83">
        <v>100000</v>
      </c>
      <c r="H805" s="211">
        <v>0.5</v>
      </c>
      <c r="I805" s="84"/>
      <c r="J805" s="5" t="s">
        <v>89</v>
      </c>
    </row>
    <row r="806" spans="1:10" ht="25" customHeight="1">
      <c r="A806" s="137"/>
      <c r="B806" s="79" t="s">
        <v>1043</v>
      </c>
      <c r="C806" s="124" t="s">
        <v>1041</v>
      </c>
      <c r="D806" s="81" t="s">
        <v>587</v>
      </c>
      <c r="E806" s="82">
        <v>1.5</v>
      </c>
      <c r="F806" s="82" t="s">
        <v>39</v>
      </c>
      <c r="G806" s="83">
        <v>160000</v>
      </c>
      <c r="H806" s="211">
        <v>0.5</v>
      </c>
      <c r="I806" s="141"/>
      <c r="J806" s="5" t="s">
        <v>89</v>
      </c>
    </row>
    <row r="807" spans="1:10" ht="25" customHeight="1">
      <c r="A807" s="137"/>
      <c r="B807" s="79" t="s">
        <v>1044</v>
      </c>
      <c r="C807" s="124" t="s">
        <v>1041</v>
      </c>
      <c r="D807" s="81" t="s">
        <v>589</v>
      </c>
      <c r="E807" s="82">
        <v>2</v>
      </c>
      <c r="F807" s="82" t="s">
        <v>39</v>
      </c>
      <c r="G807" s="83">
        <v>280000</v>
      </c>
      <c r="H807" s="211">
        <v>0.5</v>
      </c>
      <c r="I807" s="141"/>
      <c r="J807" s="5" t="s">
        <v>89</v>
      </c>
    </row>
    <row r="808" spans="1:10" ht="25" customHeight="1">
      <c r="A808" s="137"/>
      <c r="B808" s="79" t="s">
        <v>1045</v>
      </c>
      <c r="C808" s="124" t="s">
        <v>1041</v>
      </c>
      <c r="D808" s="81" t="s">
        <v>429</v>
      </c>
      <c r="E808" s="82">
        <v>2.5</v>
      </c>
      <c r="F808" s="82" t="s">
        <v>39</v>
      </c>
      <c r="G808" s="83">
        <v>400000</v>
      </c>
      <c r="H808" s="211">
        <v>0.5</v>
      </c>
      <c r="I808" s="141"/>
      <c r="J808" s="5" t="s">
        <v>89</v>
      </c>
    </row>
    <row r="809" spans="1:10" ht="25" customHeight="1">
      <c r="A809" s="137"/>
      <c r="B809" s="79" t="s">
        <v>1046</v>
      </c>
      <c r="C809" s="124" t="s">
        <v>1041</v>
      </c>
      <c r="D809" s="81" t="s">
        <v>94</v>
      </c>
      <c r="E809" s="82">
        <v>3</v>
      </c>
      <c r="F809" s="82" t="s">
        <v>39</v>
      </c>
      <c r="G809" s="83">
        <v>520000</v>
      </c>
      <c r="H809" s="211">
        <v>0.5</v>
      </c>
      <c r="I809" s="141"/>
      <c r="J809" s="5" t="s">
        <v>89</v>
      </c>
    </row>
    <row r="810" spans="1:10" ht="25" customHeight="1">
      <c r="A810" s="63"/>
      <c r="B810" s="106"/>
      <c r="C810" s="197" t="s">
        <v>1047</v>
      </c>
      <c r="D810" s="108"/>
      <c r="E810" s="66"/>
      <c r="F810" s="66"/>
      <c r="G810" s="109"/>
      <c r="H810" s="69"/>
      <c r="I810" s="68"/>
    </row>
    <row r="811" spans="1:10" ht="25" customHeight="1">
      <c r="A811" s="78"/>
      <c r="B811" s="79" t="s">
        <v>1048</v>
      </c>
      <c r="C811" s="124" t="s">
        <v>1047</v>
      </c>
      <c r="D811" s="81" t="s">
        <v>478</v>
      </c>
      <c r="E811" s="82">
        <v>1</v>
      </c>
      <c r="F811" s="82" t="s">
        <v>39</v>
      </c>
      <c r="G811" s="83">
        <v>80000</v>
      </c>
      <c r="H811" s="211">
        <v>1</v>
      </c>
      <c r="I811" s="84"/>
      <c r="J811" s="5" t="s">
        <v>89</v>
      </c>
    </row>
    <row r="812" spans="1:10" ht="25" customHeight="1">
      <c r="A812" s="78"/>
      <c r="B812" s="79" t="s">
        <v>1049</v>
      </c>
      <c r="C812" s="124" t="s">
        <v>1047</v>
      </c>
      <c r="D812" s="81" t="s">
        <v>40</v>
      </c>
      <c r="E812" s="82">
        <v>1</v>
      </c>
      <c r="F812" s="82" t="s">
        <v>39</v>
      </c>
      <c r="G812" s="83">
        <v>100000</v>
      </c>
      <c r="H812" s="211">
        <v>1</v>
      </c>
      <c r="I812" s="84"/>
      <c r="J812" s="5" t="s">
        <v>89</v>
      </c>
    </row>
    <row r="813" spans="1:10" ht="25" customHeight="1">
      <c r="A813" s="137"/>
      <c r="B813" s="79" t="s">
        <v>1050</v>
      </c>
      <c r="C813" s="124" t="s">
        <v>1047</v>
      </c>
      <c r="D813" s="81" t="s">
        <v>587</v>
      </c>
      <c r="E813" s="82">
        <v>1.5</v>
      </c>
      <c r="F813" s="82" t="s">
        <v>39</v>
      </c>
      <c r="G813" s="83">
        <v>160000</v>
      </c>
      <c r="H813" s="211">
        <v>1</v>
      </c>
      <c r="I813" s="141"/>
      <c r="J813" s="5" t="s">
        <v>89</v>
      </c>
    </row>
    <row r="814" spans="1:10" ht="25" customHeight="1">
      <c r="A814" s="137"/>
      <c r="B814" s="79" t="s">
        <v>1051</v>
      </c>
      <c r="C814" s="124" t="s">
        <v>1047</v>
      </c>
      <c r="D814" s="81" t="s">
        <v>589</v>
      </c>
      <c r="E814" s="82">
        <v>2</v>
      </c>
      <c r="F814" s="82" t="s">
        <v>39</v>
      </c>
      <c r="G814" s="83">
        <v>280000</v>
      </c>
      <c r="H814" s="211">
        <v>1</v>
      </c>
      <c r="I814" s="141"/>
      <c r="J814" s="5" t="s">
        <v>89</v>
      </c>
    </row>
    <row r="815" spans="1:10" ht="25" customHeight="1">
      <c r="A815" s="137"/>
      <c r="B815" s="79" t="s">
        <v>1052</v>
      </c>
      <c r="C815" s="124" t="s">
        <v>1047</v>
      </c>
      <c r="D815" s="81" t="s">
        <v>429</v>
      </c>
      <c r="E815" s="82">
        <v>2.5</v>
      </c>
      <c r="F815" s="82" t="s">
        <v>39</v>
      </c>
      <c r="G815" s="83">
        <v>400000</v>
      </c>
      <c r="H815" s="211">
        <v>1</v>
      </c>
      <c r="I815" s="141"/>
      <c r="J815" s="5" t="s">
        <v>89</v>
      </c>
    </row>
    <row r="816" spans="1:10" ht="25" customHeight="1">
      <c r="A816" s="137"/>
      <c r="B816" s="79" t="s">
        <v>1053</v>
      </c>
      <c r="C816" s="124" t="s">
        <v>1047</v>
      </c>
      <c r="D816" s="81" t="s">
        <v>94</v>
      </c>
      <c r="E816" s="82">
        <v>3</v>
      </c>
      <c r="F816" s="82" t="s">
        <v>39</v>
      </c>
      <c r="G816" s="83">
        <v>520000</v>
      </c>
      <c r="H816" s="211">
        <v>1</v>
      </c>
      <c r="I816" s="141"/>
      <c r="J816" s="5" t="s">
        <v>89</v>
      </c>
    </row>
    <row r="817" spans="1:10" ht="25" customHeight="1">
      <c r="A817" s="78"/>
      <c r="B817" s="79" t="s">
        <v>1054</v>
      </c>
      <c r="C817" s="124" t="s">
        <v>1055</v>
      </c>
      <c r="D817" s="81" t="s">
        <v>478</v>
      </c>
      <c r="E817" s="82">
        <v>1</v>
      </c>
      <c r="F817" s="82" t="s">
        <v>39</v>
      </c>
      <c r="G817" s="83">
        <v>80000</v>
      </c>
      <c r="H817" s="211">
        <v>0.5</v>
      </c>
      <c r="I817" s="84"/>
      <c r="J817" s="5" t="s">
        <v>89</v>
      </c>
    </row>
    <row r="818" spans="1:10" ht="25" customHeight="1">
      <c r="A818" s="78"/>
      <c r="B818" s="79" t="s">
        <v>1056</v>
      </c>
      <c r="C818" s="124" t="s">
        <v>1055</v>
      </c>
      <c r="D818" s="81" t="s">
        <v>40</v>
      </c>
      <c r="E818" s="82">
        <v>1</v>
      </c>
      <c r="F818" s="82" t="s">
        <v>39</v>
      </c>
      <c r="G818" s="83">
        <v>100000</v>
      </c>
      <c r="H818" s="211">
        <v>0.5</v>
      </c>
      <c r="I818" s="84"/>
      <c r="J818" s="5" t="s">
        <v>89</v>
      </c>
    </row>
    <row r="819" spans="1:10" ht="25" customHeight="1">
      <c r="A819" s="137"/>
      <c r="B819" s="79" t="s">
        <v>1057</v>
      </c>
      <c r="C819" s="124" t="s">
        <v>1055</v>
      </c>
      <c r="D819" s="81" t="s">
        <v>587</v>
      </c>
      <c r="E819" s="82">
        <v>1.5</v>
      </c>
      <c r="F819" s="82" t="s">
        <v>39</v>
      </c>
      <c r="G819" s="83">
        <v>160000</v>
      </c>
      <c r="H819" s="211">
        <v>0.5</v>
      </c>
      <c r="I819" s="141"/>
      <c r="J819" s="5" t="s">
        <v>89</v>
      </c>
    </row>
    <row r="820" spans="1:10" ht="25" customHeight="1">
      <c r="A820" s="137"/>
      <c r="B820" s="79" t="s">
        <v>1058</v>
      </c>
      <c r="C820" s="124" t="s">
        <v>1055</v>
      </c>
      <c r="D820" s="81" t="s">
        <v>589</v>
      </c>
      <c r="E820" s="82">
        <v>2</v>
      </c>
      <c r="F820" s="82" t="s">
        <v>39</v>
      </c>
      <c r="G820" s="83">
        <v>280000</v>
      </c>
      <c r="H820" s="211">
        <v>0.5</v>
      </c>
      <c r="I820" s="141"/>
      <c r="J820" s="5" t="s">
        <v>89</v>
      </c>
    </row>
    <row r="821" spans="1:10" ht="25" customHeight="1">
      <c r="A821" s="137"/>
      <c r="B821" s="79" t="s">
        <v>1059</v>
      </c>
      <c r="C821" s="124" t="s">
        <v>1055</v>
      </c>
      <c r="D821" s="81" t="s">
        <v>429</v>
      </c>
      <c r="E821" s="82">
        <v>2.5</v>
      </c>
      <c r="F821" s="82" t="s">
        <v>39</v>
      </c>
      <c r="G821" s="83">
        <v>400000</v>
      </c>
      <c r="H821" s="211">
        <v>0.5</v>
      </c>
      <c r="I821" s="141"/>
      <c r="J821" s="5" t="s">
        <v>89</v>
      </c>
    </row>
    <row r="822" spans="1:10" ht="25" customHeight="1">
      <c r="A822" s="137"/>
      <c r="B822" s="79" t="s">
        <v>1060</v>
      </c>
      <c r="C822" s="124" t="s">
        <v>1055</v>
      </c>
      <c r="D822" s="81" t="s">
        <v>94</v>
      </c>
      <c r="E822" s="82">
        <v>3</v>
      </c>
      <c r="F822" s="82" t="s">
        <v>39</v>
      </c>
      <c r="G822" s="83">
        <v>520000</v>
      </c>
      <c r="H822" s="211">
        <v>0.5</v>
      </c>
      <c r="I822" s="141"/>
      <c r="J822" s="5" t="s">
        <v>89</v>
      </c>
    </row>
    <row r="823" spans="1:10" ht="25" customHeight="1">
      <c r="A823" s="63"/>
      <c r="B823" s="106"/>
      <c r="C823" s="197" t="s">
        <v>1061</v>
      </c>
      <c r="D823" s="108"/>
      <c r="E823" s="66"/>
      <c r="F823" s="66"/>
      <c r="G823" s="109"/>
      <c r="H823" s="69"/>
      <c r="I823" s="68"/>
    </row>
    <row r="824" spans="1:10" ht="25" customHeight="1">
      <c r="A824" s="78"/>
      <c r="B824" s="79" t="s">
        <v>1062</v>
      </c>
      <c r="C824" s="124" t="s">
        <v>1063</v>
      </c>
      <c r="D824" s="81" t="s">
        <v>478</v>
      </c>
      <c r="E824" s="82">
        <v>1</v>
      </c>
      <c r="F824" s="82" t="s">
        <v>39</v>
      </c>
      <c r="G824" s="83">
        <v>80000</v>
      </c>
      <c r="H824" s="211">
        <v>1</v>
      </c>
      <c r="I824" s="84"/>
      <c r="J824" s="5" t="s">
        <v>89</v>
      </c>
    </row>
    <row r="825" spans="1:10" ht="25" customHeight="1">
      <c r="A825" s="78"/>
      <c r="B825" s="79" t="s">
        <v>1064</v>
      </c>
      <c r="C825" s="124" t="s">
        <v>1063</v>
      </c>
      <c r="D825" s="81" t="s">
        <v>40</v>
      </c>
      <c r="E825" s="82">
        <v>1</v>
      </c>
      <c r="F825" s="82" t="s">
        <v>39</v>
      </c>
      <c r="G825" s="83">
        <v>100000</v>
      </c>
      <c r="H825" s="211">
        <v>1</v>
      </c>
      <c r="I825" s="84"/>
      <c r="J825" s="5" t="s">
        <v>89</v>
      </c>
    </row>
    <row r="826" spans="1:10" ht="25" customHeight="1">
      <c r="A826" s="137"/>
      <c r="B826" s="79" t="s">
        <v>1065</v>
      </c>
      <c r="C826" s="124" t="s">
        <v>1063</v>
      </c>
      <c r="D826" s="81" t="s">
        <v>587</v>
      </c>
      <c r="E826" s="82">
        <v>1.5</v>
      </c>
      <c r="F826" s="82" t="s">
        <v>39</v>
      </c>
      <c r="G826" s="83">
        <v>160000</v>
      </c>
      <c r="H826" s="211">
        <v>1</v>
      </c>
      <c r="I826" s="141"/>
      <c r="J826" s="5" t="s">
        <v>89</v>
      </c>
    </row>
    <row r="827" spans="1:10" ht="25" customHeight="1">
      <c r="A827" s="137"/>
      <c r="B827" s="79" t="s">
        <v>1066</v>
      </c>
      <c r="C827" s="124" t="s">
        <v>1063</v>
      </c>
      <c r="D827" s="81" t="s">
        <v>589</v>
      </c>
      <c r="E827" s="82">
        <v>2</v>
      </c>
      <c r="F827" s="82" t="s">
        <v>39</v>
      </c>
      <c r="G827" s="83">
        <v>280000</v>
      </c>
      <c r="H827" s="211">
        <v>1</v>
      </c>
      <c r="I827" s="141"/>
      <c r="J827" s="5" t="s">
        <v>89</v>
      </c>
    </row>
    <row r="828" spans="1:10" ht="25" customHeight="1">
      <c r="A828" s="137"/>
      <c r="B828" s="79" t="s">
        <v>1067</v>
      </c>
      <c r="C828" s="124" t="s">
        <v>1063</v>
      </c>
      <c r="D828" s="81" t="s">
        <v>429</v>
      </c>
      <c r="E828" s="82">
        <v>2.5</v>
      </c>
      <c r="F828" s="82" t="s">
        <v>39</v>
      </c>
      <c r="G828" s="83">
        <v>400000</v>
      </c>
      <c r="H828" s="211">
        <v>1</v>
      </c>
      <c r="I828" s="141"/>
      <c r="J828" s="5" t="s">
        <v>89</v>
      </c>
    </row>
    <row r="829" spans="1:10" ht="25" customHeight="1">
      <c r="A829" s="137"/>
      <c r="B829" s="79" t="s">
        <v>1068</v>
      </c>
      <c r="C829" s="124" t="s">
        <v>1063</v>
      </c>
      <c r="D829" s="81" t="s">
        <v>94</v>
      </c>
      <c r="E829" s="82">
        <v>3</v>
      </c>
      <c r="F829" s="82" t="s">
        <v>39</v>
      </c>
      <c r="G829" s="83">
        <v>520000</v>
      </c>
      <c r="H829" s="211">
        <v>1</v>
      </c>
      <c r="I829" s="141"/>
      <c r="J829" s="5" t="s">
        <v>89</v>
      </c>
    </row>
    <row r="830" spans="1:10" ht="25" customHeight="1">
      <c r="A830" s="78"/>
      <c r="B830" s="79" t="s">
        <v>1069</v>
      </c>
      <c r="C830" s="124" t="s">
        <v>1070</v>
      </c>
      <c r="D830" s="81" t="s">
        <v>478</v>
      </c>
      <c r="E830" s="82">
        <v>1</v>
      </c>
      <c r="F830" s="82" t="s">
        <v>39</v>
      </c>
      <c r="G830" s="83">
        <v>80000</v>
      </c>
      <c r="H830" s="211">
        <v>0.5</v>
      </c>
      <c r="I830" s="84"/>
      <c r="J830" s="5" t="s">
        <v>89</v>
      </c>
    </row>
    <row r="831" spans="1:10" ht="25" customHeight="1">
      <c r="A831" s="78"/>
      <c r="B831" s="79" t="s">
        <v>1071</v>
      </c>
      <c r="C831" s="124" t="s">
        <v>1070</v>
      </c>
      <c r="D831" s="81" t="s">
        <v>40</v>
      </c>
      <c r="E831" s="82">
        <v>1</v>
      </c>
      <c r="F831" s="82" t="s">
        <v>39</v>
      </c>
      <c r="G831" s="83">
        <v>100000</v>
      </c>
      <c r="H831" s="211">
        <v>0.5</v>
      </c>
      <c r="I831" s="84"/>
      <c r="J831" s="5" t="s">
        <v>89</v>
      </c>
    </row>
    <row r="832" spans="1:10" ht="25" customHeight="1">
      <c r="A832" s="137"/>
      <c r="B832" s="79" t="s">
        <v>1072</v>
      </c>
      <c r="C832" s="124" t="s">
        <v>1070</v>
      </c>
      <c r="D832" s="81" t="s">
        <v>587</v>
      </c>
      <c r="E832" s="82">
        <v>1.5</v>
      </c>
      <c r="F832" s="82" t="s">
        <v>39</v>
      </c>
      <c r="G832" s="83">
        <v>160000</v>
      </c>
      <c r="H832" s="211">
        <v>0.5</v>
      </c>
      <c r="I832" s="141"/>
      <c r="J832" s="5" t="s">
        <v>89</v>
      </c>
    </row>
    <row r="833" spans="1:10" ht="25" customHeight="1">
      <c r="A833" s="137"/>
      <c r="B833" s="79" t="s">
        <v>1073</v>
      </c>
      <c r="C833" s="124" t="s">
        <v>1070</v>
      </c>
      <c r="D833" s="81" t="s">
        <v>589</v>
      </c>
      <c r="E833" s="82">
        <v>2</v>
      </c>
      <c r="F833" s="82" t="s">
        <v>39</v>
      </c>
      <c r="G833" s="83">
        <v>280000</v>
      </c>
      <c r="H833" s="211">
        <v>0.5</v>
      </c>
      <c r="I833" s="141"/>
      <c r="J833" s="5" t="s">
        <v>89</v>
      </c>
    </row>
    <row r="834" spans="1:10" ht="25" customHeight="1">
      <c r="A834" s="137"/>
      <c r="B834" s="79" t="s">
        <v>1074</v>
      </c>
      <c r="C834" s="124" t="s">
        <v>1070</v>
      </c>
      <c r="D834" s="81" t="s">
        <v>429</v>
      </c>
      <c r="E834" s="82">
        <v>2.5</v>
      </c>
      <c r="F834" s="82" t="s">
        <v>39</v>
      </c>
      <c r="G834" s="83">
        <v>400000</v>
      </c>
      <c r="H834" s="211">
        <v>0.5</v>
      </c>
      <c r="I834" s="141"/>
      <c r="J834" s="5" t="s">
        <v>89</v>
      </c>
    </row>
    <row r="835" spans="1:10" ht="25" customHeight="1">
      <c r="A835" s="137"/>
      <c r="B835" s="79" t="s">
        <v>1075</v>
      </c>
      <c r="C835" s="124" t="s">
        <v>1070</v>
      </c>
      <c r="D835" s="81" t="s">
        <v>94</v>
      </c>
      <c r="E835" s="82">
        <v>3</v>
      </c>
      <c r="F835" s="82" t="s">
        <v>39</v>
      </c>
      <c r="G835" s="83">
        <v>520000</v>
      </c>
      <c r="H835" s="211">
        <v>0.5</v>
      </c>
      <c r="I835" s="141"/>
      <c r="J835" s="5" t="s">
        <v>89</v>
      </c>
    </row>
    <row r="836" spans="1:10" ht="25" customHeight="1">
      <c r="A836" s="63"/>
      <c r="B836" s="106"/>
      <c r="C836" s="197" t="s">
        <v>1076</v>
      </c>
      <c r="D836" s="108"/>
      <c r="E836" s="66"/>
      <c r="F836" s="66"/>
      <c r="G836" s="109"/>
      <c r="H836" s="69"/>
      <c r="I836" s="68"/>
    </row>
    <row r="837" spans="1:10" ht="25" customHeight="1">
      <c r="A837" s="128"/>
      <c r="B837" s="129" t="s">
        <v>1077</v>
      </c>
      <c r="C837" s="130" t="s">
        <v>1078</v>
      </c>
      <c r="D837" s="81" t="s">
        <v>63</v>
      </c>
      <c r="E837" s="132"/>
      <c r="F837" s="82" t="s">
        <v>31</v>
      </c>
      <c r="G837" s="210">
        <v>33000</v>
      </c>
      <c r="H837" s="211">
        <v>1</v>
      </c>
      <c r="I837" s="196"/>
      <c r="J837" s="5" t="s">
        <v>89</v>
      </c>
    </row>
    <row r="838" spans="1:10" ht="25" customHeight="1">
      <c r="A838" s="128"/>
      <c r="B838" s="129" t="s">
        <v>1079</v>
      </c>
      <c r="C838" s="130" t="s">
        <v>1078</v>
      </c>
      <c r="D838" s="81" t="s">
        <v>478</v>
      </c>
      <c r="E838" s="82">
        <f>360/90</f>
        <v>4</v>
      </c>
      <c r="F838" s="82" t="s">
        <v>39</v>
      </c>
      <c r="G838" s="210">
        <v>33000</v>
      </c>
      <c r="H838" s="211">
        <v>1</v>
      </c>
      <c r="I838" s="196"/>
      <c r="J838" s="5" t="s">
        <v>89</v>
      </c>
    </row>
    <row r="839" spans="1:10" ht="25" customHeight="1">
      <c r="A839" s="128"/>
      <c r="B839" s="129" t="s">
        <v>1080</v>
      </c>
      <c r="C839" s="130" t="s">
        <v>1078</v>
      </c>
      <c r="D839" s="81" t="s">
        <v>625</v>
      </c>
      <c r="E839" s="82">
        <f>360/90</f>
        <v>4</v>
      </c>
      <c r="F839" s="82" t="s">
        <v>39</v>
      </c>
      <c r="G839" s="210">
        <v>55000</v>
      </c>
      <c r="H839" s="211">
        <v>1</v>
      </c>
      <c r="I839" s="196"/>
      <c r="J839" s="5" t="s">
        <v>89</v>
      </c>
    </row>
    <row r="840" spans="1:10" ht="25" customHeight="1">
      <c r="A840" s="128"/>
      <c r="B840" s="129" t="s">
        <v>1081</v>
      </c>
      <c r="C840" s="130" t="s">
        <v>1078</v>
      </c>
      <c r="D840" s="81" t="s">
        <v>499</v>
      </c>
      <c r="E840" s="82">
        <f>360/72</f>
        <v>5</v>
      </c>
      <c r="F840" s="82" t="s">
        <v>39</v>
      </c>
      <c r="G840" s="210">
        <v>80000</v>
      </c>
      <c r="H840" s="211">
        <v>1</v>
      </c>
      <c r="I840" s="196"/>
      <c r="J840" s="5" t="s">
        <v>89</v>
      </c>
    </row>
    <row r="841" spans="1:10" ht="25" customHeight="1">
      <c r="A841" s="128"/>
      <c r="B841" s="129" t="s">
        <v>1082</v>
      </c>
      <c r="C841" s="130" t="s">
        <v>1078</v>
      </c>
      <c r="D841" s="81" t="s">
        <v>491</v>
      </c>
      <c r="E841" s="82">
        <f>360/72</f>
        <v>5</v>
      </c>
      <c r="F841" s="82" t="s">
        <v>39</v>
      </c>
      <c r="G841" s="210">
        <v>100000</v>
      </c>
      <c r="H841" s="211">
        <v>1</v>
      </c>
      <c r="I841" s="196"/>
      <c r="J841" s="5" t="s">
        <v>89</v>
      </c>
    </row>
    <row r="842" spans="1:10" ht="25" customHeight="1">
      <c r="A842" s="128"/>
      <c r="B842" s="129" t="s">
        <v>1083</v>
      </c>
      <c r="C842" s="130" t="s">
        <v>1078</v>
      </c>
      <c r="D842" s="81" t="s">
        <v>1084</v>
      </c>
      <c r="E842" s="132">
        <f>360/54</f>
        <v>6.666666666666667</v>
      </c>
      <c r="F842" s="82" t="s">
        <v>39</v>
      </c>
      <c r="G842" s="210">
        <v>200000</v>
      </c>
      <c r="H842" s="211">
        <v>1</v>
      </c>
      <c r="I842" s="196"/>
      <c r="J842" s="5" t="s">
        <v>89</v>
      </c>
    </row>
    <row r="843" spans="1:10" ht="25" customHeight="1">
      <c r="A843" s="128"/>
      <c r="B843" s="129" t="s">
        <v>1085</v>
      </c>
      <c r="C843" s="130" t="s">
        <v>1078</v>
      </c>
      <c r="D843" s="81" t="s">
        <v>1086</v>
      </c>
      <c r="E843" s="132">
        <f>360/54</f>
        <v>6.666666666666667</v>
      </c>
      <c r="F843" s="82" t="s">
        <v>39</v>
      </c>
      <c r="G843" s="210">
        <v>220000</v>
      </c>
      <c r="H843" s="211">
        <v>1</v>
      </c>
      <c r="I843" s="196"/>
      <c r="J843" s="5" t="s">
        <v>89</v>
      </c>
    </row>
    <row r="844" spans="1:10" ht="25" customHeight="1">
      <c r="A844" s="128"/>
      <c r="B844" s="129" t="s">
        <v>1087</v>
      </c>
      <c r="C844" s="130" t="s">
        <v>1088</v>
      </c>
      <c r="D844" s="81" t="s">
        <v>63</v>
      </c>
      <c r="E844" s="132"/>
      <c r="F844" s="82" t="s">
        <v>31</v>
      </c>
      <c r="G844" s="210">
        <v>33000</v>
      </c>
      <c r="H844" s="211">
        <v>0.5</v>
      </c>
      <c r="I844" s="196"/>
      <c r="J844" s="5" t="s">
        <v>89</v>
      </c>
    </row>
    <row r="845" spans="1:10" ht="25" customHeight="1">
      <c r="A845" s="128"/>
      <c r="B845" s="129" t="s">
        <v>1089</v>
      </c>
      <c r="C845" s="130" t="s">
        <v>1088</v>
      </c>
      <c r="D845" s="81" t="s">
        <v>478</v>
      </c>
      <c r="E845" s="82">
        <f>360/90</f>
        <v>4</v>
      </c>
      <c r="F845" s="82" t="s">
        <v>39</v>
      </c>
      <c r="G845" s="210">
        <v>33000</v>
      </c>
      <c r="H845" s="211">
        <v>0.5</v>
      </c>
      <c r="I845" s="196"/>
      <c r="J845" s="5" t="s">
        <v>89</v>
      </c>
    </row>
    <row r="846" spans="1:10" ht="25" customHeight="1">
      <c r="A846" s="128"/>
      <c r="B846" s="129" t="s">
        <v>1090</v>
      </c>
      <c r="C846" s="130" t="s">
        <v>1088</v>
      </c>
      <c r="D846" s="81" t="s">
        <v>625</v>
      </c>
      <c r="E846" s="82">
        <f>360/90</f>
        <v>4</v>
      </c>
      <c r="F846" s="82" t="s">
        <v>39</v>
      </c>
      <c r="G846" s="210">
        <v>55000</v>
      </c>
      <c r="H846" s="211">
        <v>0.5</v>
      </c>
      <c r="I846" s="196"/>
      <c r="J846" s="5" t="s">
        <v>89</v>
      </c>
    </row>
    <row r="847" spans="1:10" ht="25" customHeight="1">
      <c r="A847" s="128"/>
      <c r="B847" s="129" t="s">
        <v>1091</v>
      </c>
      <c r="C847" s="130" t="s">
        <v>1088</v>
      </c>
      <c r="D847" s="81" t="s">
        <v>499</v>
      </c>
      <c r="E847" s="82">
        <f>360/72</f>
        <v>5</v>
      </c>
      <c r="F847" s="82" t="s">
        <v>39</v>
      </c>
      <c r="G847" s="210">
        <v>80000</v>
      </c>
      <c r="H847" s="211">
        <v>0.5</v>
      </c>
      <c r="I847" s="196"/>
      <c r="J847" s="5" t="s">
        <v>89</v>
      </c>
    </row>
    <row r="848" spans="1:10" ht="25" customHeight="1">
      <c r="A848" s="128"/>
      <c r="B848" s="129" t="s">
        <v>1092</v>
      </c>
      <c r="C848" s="130" t="s">
        <v>1088</v>
      </c>
      <c r="D848" s="81" t="s">
        <v>491</v>
      </c>
      <c r="E848" s="82">
        <f>360/72</f>
        <v>5</v>
      </c>
      <c r="F848" s="82" t="s">
        <v>39</v>
      </c>
      <c r="G848" s="210">
        <v>100000</v>
      </c>
      <c r="H848" s="211">
        <v>0.5</v>
      </c>
      <c r="I848" s="196"/>
      <c r="J848" s="5" t="s">
        <v>89</v>
      </c>
    </row>
    <row r="849" spans="1:10" ht="25" customHeight="1">
      <c r="A849" s="128"/>
      <c r="B849" s="129" t="s">
        <v>1093</v>
      </c>
      <c r="C849" s="130" t="s">
        <v>1088</v>
      </c>
      <c r="D849" s="81" t="s">
        <v>1084</v>
      </c>
      <c r="E849" s="132">
        <f>360/54</f>
        <v>6.666666666666667</v>
      </c>
      <c r="F849" s="82" t="s">
        <v>39</v>
      </c>
      <c r="G849" s="210">
        <v>200000</v>
      </c>
      <c r="H849" s="211">
        <v>0.5</v>
      </c>
      <c r="I849" s="196"/>
      <c r="J849" s="5" t="s">
        <v>89</v>
      </c>
    </row>
    <row r="850" spans="1:10" ht="25" customHeight="1">
      <c r="A850" s="128"/>
      <c r="B850" s="129" t="s">
        <v>1094</v>
      </c>
      <c r="C850" s="130" t="s">
        <v>1088</v>
      </c>
      <c r="D850" s="81" t="s">
        <v>1086</v>
      </c>
      <c r="E850" s="132">
        <f>360/54</f>
        <v>6.666666666666667</v>
      </c>
      <c r="F850" s="82" t="s">
        <v>39</v>
      </c>
      <c r="G850" s="210">
        <v>220000</v>
      </c>
      <c r="H850" s="211">
        <v>0.5</v>
      </c>
      <c r="I850" s="196"/>
      <c r="J850" s="5" t="s">
        <v>89</v>
      </c>
    </row>
    <row r="851" spans="1:10" ht="25" customHeight="1">
      <c r="A851" s="128"/>
      <c r="B851" s="129" t="s">
        <v>1095</v>
      </c>
      <c r="C851" s="130" t="s">
        <v>1078</v>
      </c>
      <c r="D851" s="81" t="s">
        <v>478</v>
      </c>
      <c r="E851" s="82">
        <f>360/90</f>
        <v>4</v>
      </c>
      <c r="F851" s="82" t="s">
        <v>39</v>
      </c>
      <c r="G851" s="210">
        <v>33000</v>
      </c>
      <c r="H851" s="211">
        <v>0.3</v>
      </c>
      <c r="I851" s="196"/>
      <c r="J851" s="5" t="s">
        <v>89</v>
      </c>
    </row>
    <row r="852" spans="1:10" ht="25" customHeight="1">
      <c r="A852" s="63"/>
      <c r="B852" s="106"/>
      <c r="C852" s="197" t="s">
        <v>1096</v>
      </c>
      <c r="D852" s="108"/>
      <c r="E852" s="66"/>
      <c r="F852" s="66"/>
      <c r="G852" s="109"/>
      <c r="H852" s="69"/>
      <c r="I852" s="68"/>
    </row>
    <row r="853" spans="1:10" ht="25" customHeight="1">
      <c r="A853" s="128"/>
      <c r="B853" s="129" t="s">
        <v>1077</v>
      </c>
      <c r="C853" s="130" t="s">
        <v>1096</v>
      </c>
      <c r="D853" s="81" t="s">
        <v>63</v>
      </c>
      <c r="E853" s="132"/>
      <c r="F853" s="82" t="s">
        <v>31</v>
      </c>
      <c r="G853" s="210">
        <v>33000</v>
      </c>
      <c r="H853" s="211">
        <v>1</v>
      </c>
      <c r="I853" s="196"/>
      <c r="J853" s="5" t="s">
        <v>89</v>
      </c>
    </row>
    <row r="854" spans="1:10" ht="25" customHeight="1">
      <c r="A854" s="128"/>
      <c r="B854" s="129" t="s">
        <v>1079</v>
      </c>
      <c r="C854" s="130" t="s">
        <v>1096</v>
      </c>
      <c r="D854" s="81" t="s">
        <v>478</v>
      </c>
      <c r="E854" s="82">
        <f>360/90</f>
        <v>4</v>
      </c>
      <c r="F854" s="82" t="s">
        <v>39</v>
      </c>
      <c r="G854" s="210">
        <v>33000</v>
      </c>
      <c r="H854" s="211">
        <v>1</v>
      </c>
      <c r="I854" s="196"/>
      <c r="J854" s="5" t="s">
        <v>89</v>
      </c>
    </row>
    <row r="855" spans="1:10" ht="25" customHeight="1">
      <c r="A855" s="128"/>
      <c r="B855" s="129" t="s">
        <v>1080</v>
      </c>
      <c r="C855" s="130" t="s">
        <v>1096</v>
      </c>
      <c r="D855" s="81" t="s">
        <v>625</v>
      </c>
      <c r="E855" s="82">
        <f>360/90</f>
        <v>4</v>
      </c>
      <c r="F855" s="82" t="s">
        <v>39</v>
      </c>
      <c r="G855" s="210">
        <v>55000</v>
      </c>
      <c r="H855" s="211">
        <v>1</v>
      </c>
      <c r="I855" s="196"/>
      <c r="J855" s="5" t="s">
        <v>89</v>
      </c>
    </row>
    <row r="856" spans="1:10" ht="25" customHeight="1">
      <c r="A856" s="128"/>
      <c r="B856" s="129" t="s">
        <v>1081</v>
      </c>
      <c r="C856" s="130" t="s">
        <v>1096</v>
      </c>
      <c r="D856" s="81" t="s">
        <v>499</v>
      </c>
      <c r="E856" s="82">
        <f>360/72</f>
        <v>5</v>
      </c>
      <c r="F856" s="82" t="s">
        <v>39</v>
      </c>
      <c r="G856" s="210">
        <v>80000</v>
      </c>
      <c r="H856" s="211">
        <v>1</v>
      </c>
      <c r="I856" s="196"/>
      <c r="J856" s="5" t="s">
        <v>89</v>
      </c>
    </row>
    <row r="857" spans="1:10" ht="25" customHeight="1">
      <c r="A857" s="128"/>
      <c r="B857" s="129" t="s">
        <v>1082</v>
      </c>
      <c r="C857" s="130" t="s">
        <v>1096</v>
      </c>
      <c r="D857" s="81" t="s">
        <v>491</v>
      </c>
      <c r="E857" s="82">
        <f>360/72</f>
        <v>5</v>
      </c>
      <c r="F857" s="82" t="s">
        <v>39</v>
      </c>
      <c r="G857" s="210">
        <v>100000</v>
      </c>
      <c r="H857" s="211">
        <v>1</v>
      </c>
      <c r="I857" s="196"/>
      <c r="J857" s="5" t="s">
        <v>89</v>
      </c>
    </row>
    <row r="858" spans="1:10" ht="25" customHeight="1">
      <c r="A858" s="128"/>
      <c r="B858" s="129" t="s">
        <v>1083</v>
      </c>
      <c r="C858" s="130" t="s">
        <v>1096</v>
      </c>
      <c r="D858" s="81" t="s">
        <v>1084</v>
      </c>
      <c r="E858" s="132">
        <f>360/54</f>
        <v>6.666666666666667</v>
      </c>
      <c r="F858" s="82" t="s">
        <v>39</v>
      </c>
      <c r="G858" s="210">
        <v>200000</v>
      </c>
      <c r="H858" s="211">
        <v>1</v>
      </c>
      <c r="I858" s="196"/>
      <c r="J858" s="5" t="s">
        <v>89</v>
      </c>
    </row>
    <row r="859" spans="1:10" ht="25" customHeight="1">
      <c r="A859" s="128"/>
      <c r="B859" s="129" t="s">
        <v>1085</v>
      </c>
      <c r="C859" s="130" t="s">
        <v>1096</v>
      </c>
      <c r="D859" s="81" t="s">
        <v>1086</v>
      </c>
      <c r="E859" s="132">
        <f>360/54</f>
        <v>6.666666666666667</v>
      </c>
      <c r="F859" s="82" t="s">
        <v>39</v>
      </c>
      <c r="G859" s="210">
        <v>220000</v>
      </c>
      <c r="H859" s="211">
        <v>1</v>
      </c>
      <c r="I859" s="196"/>
      <c r="J859" s="5" t="s">
        <v>89</v>
      </c>
    </row>
    <row r="860" spans="1:10" ht="25" customHeight="1">
      <c r="A860" s="128"/>
      <c r="B860" s="129" t="s">
        <v>1087</v>
      </c>
      <c r="C860" s="130" t="s">
        <v>1097</v>
      </c>
      <c r="D860" s="81" t="s">
        <v>63</v>
      </c>
      <c r="E860" s="132"/>
      <c r="F860" s="82" t="s">
        <v>31</v>
      </c>
      <c r="G860" s="210">
        <v>33000</v>
      </c>
      <c r="H860" s="211">
        <v>0.5</v>
      </c>
      <c r="I860" s="196"/>
      <c r="J860" s="5" t="s">
        <v>89</v>
      </c>
    </row>
    <row r="861" spans="1:10" ht="25" customHeight="1">
      <c r="A861" s="128"/>
      <c r="B861" s="129" t="s">
        <v>1089</v>
      </c>
      <c r="C861" s="130" t="s">
        <v>1097</v>
      </c>
      <c r="D861" s="81" t="s">
        <v>478</v>
      </c>
      <c r="E861" s="82">
        <f>360/90</f>
        <v>4</v>
      </c>
      <c r="F861" s="82" t="s">
        <v>39</v>
      </c>
      <c r="G861" s="210">
        <v>33000</v>
      </c>
      <c r="H861" s="211">
        <v>0.5</v>
      </c>
      <c r="I861" s="196"/>
      <c r="J861" s="5" t="s">
        <v>89</v>
      </c>
    </row>
    <row r="862" spans="1:10" ht="25" customHeight="1">
      <c r="A862" s="128"/>
      <c r="B862" s="129" t="s">
        <v>1090</v>
      </c>
      <c r="C862" s="130" t="s">
        <v>1097</v>
      </c>
      <c r="D862" s="81" t="s">
        <v>625</v>
      </c>
      <c r="E862" s="82">
        <f>360/90</f>
        <v>4</v>
      </c>
      <c r="F862" s="82" t="s">
        <v>39</v>
      </c>
      <c r="G862" s="210">
        <v>55000</v>
      </c>
      <c r="H862" s="211">
        <v>0.5</v>
      </c>
      <c r="I862" s="196"/>
      <c r="J862" s="5" t="s">
        <v>89</v>
      </c>
    </row>
    <row r="863" spans="1:10" ht="25" customHeight="1">
      <c r="A863" s="128"/>
      <c r="B863" s="129" t="s">
        <v>1091</v>
      </c>
      <c r="C863" s="130" t="s">
        <v>1097</v>
      </c>
      <c r="D863" s="81" t="s">
        <v>499</v>
      </c>
      <c r="E863" s="82">
        <f>360/72</f>
        <v>5</v>
      </c>
      <c r="F863" s="82" t="s">
        <v>39</v>
      </c>
      <c r="G863" s="210">
        <v>80000</v>
      </c>
      <c r="H863" s="211">
        <v>0.5</v>
      </c>
      <c r="I863" s="196"/>
      <c r="J863" s="5" t="s">
        <v>89</v>
      </c>
    </row>
    <row r="864" spans="1:10" ht="25" customHeight="1">
      <c r="A864" s="128"/>
      <c r="B864" s="129" t="s">
        <v>1092</v>
      </c>
      <c r="C864" s="130" t="s">
        <v>1097</v>
      </c>
      <c r="D864" s="81" t="s">
        <v>491</v>
      </c>
      <c r="E864" s="82">
        <f>360/72</f>
        <v>5</v>
      </c>
      <c r="F864" s="82" t="s">
        <v>39</v>
      </c>
      <c r="G864" s="210">
        <v>100000</v>
      </c>
      <c r="H864" s="211">
        <v>0.5</v>
      </c>
      <c r="I864" s="196"/>
      <c r="J864" s="5" t="s">
        <v>89</v>
      </c>
    </row>
    <row r="865" spans="1:10" ht="25" customHeight="1">
      <c r="A865" s="128"/>
      <c r="B865" s="129" t="s">
        <v>1093</v>
      </c>
      <c r="C865" s="130" t="s">
        <v>1097</v>
      </c>
      <c r="D865" s="81" t="s">
        <v>1084</v>
      </c>
      <c r="E865" s="132">
        <f>360/54</f>
        <v>6.666666666666667</v>
      </c>
      <c r="F865" s="82" t="s">
        <v>39</v>
      </c>
      <c r="G865" s="210">
        <v>200000</v>
      </c>
      <c r="H865" s="211">
        <v>0.5</v>
      </c>
      <c r="I865" s="196"/>
      <c r="J865" s="5" t="s">
        <v>89</v>
      </c>
    </row>
    <row r="866" spans="1:10" ht="25" customHeight="1">
      <c r="A866" s="128"/>
      <c r="B866" s="129" t="s">
        <v>1094</v>
      </c>
      <c r="C866" s="130" t="s">
        <v>1097</v>
      </c>
      <c r="D866" s="81" t="s">
        <v>1086</v>
      </c>
      <c r="E866" s="132">
        <f>360/54</f>
        <v>6.666666666666667</v>
      </c>
      <c r="F866" s="82" t="s">
        <v>39</v>
      </c>
      <c r="G866" s="210">
        <v>220000</v>
      </c>
      <c r="H866" s="211">
        <v>0.5</v>
      </c>
      <c r="I866" s="196"/>
      <c r="J866" s="5" t="s">
        <v>89</v>
      </c>
    </row>
    <row r="867" spans="1:10" ht="25" customHeight="1">
      <c r="A867" s="128"/>
      <c r="B867" s="129" t="s">
        <v>1095</v>
      </c>
      <c r="C867" s="130" t="s">
        <v>1096</v>
      </c>
      <c r="D867" s="81" t="s">
        <v>478</v>
      </c>
      <c r="E867" s="82">
        <f>360/90</f>
        <v>4</v>
      </c>
      <c r="F867" s="82" t="s">
        <v>39</v>
      </c>
      <c r="G867" s="210">
        <v>33000</v>
      </c>
      <c r="H867" s="211">
        <v>0.3</v>
      </c>
      <c r="I867" s="196"/>
      <c r="J867" s="5" t="s">
        <v>89</v>
      </c>
    </row>
    <row r="868" spans="1:10" ht="25" customHeight="1">
      <c r="A868" s="63"/>
      <c r="B868" s="106"/>
      <c r="C868" s="197" t="s">
        <v>1098</v>
      </c>
      <c r="D868" s="108"/>
      <c r="E868" s="66"/>
      <c r="F868" s="66"/>
      <c r="G868" s="109"/>
      <c r="H868" s="69"/>
      <c r="I868" s="68"/>
    </row>
    <row r="869" spans="1:10" ht="25" customHeight="1">
      <c r="A869" s="78"/>
      <c r="B869" s="79" t="s">
        <v>1099</v>
      </c>
      <c r="C869" s="124" t="s">
        <v>1098</v>
      </c>
      <c r="D869" s="81" t="s">
        <v>478</v>
      </c>
      <c r="E869" s="82">
        <v>1</v>
      </c>
      <c r="F869" s="82" t="s">
        <v>39</v>
      </c>
      <c r="G869" s="83">
        <v>80000</v>
      </c>
      <c r="H869" s="211">
        <v>1</v>
      </c>
      <c r="I869" s="84"/>
      <c r="J869" s="5" t="s">
        <v>89</v>
      </c>
    </row>
    <row r="870" spans="1:10" ht="25" customHeight="1">
      <c r="A870" s="78"/>
      <c r="B870" s="79" t="s">
        <v>1100</v>
      </c>
      <c r="C870" s="124" t="s">
        <v>1098</v>
      </c>
      <c r="D870" s="81" t="s">
        <v>40</v>
      </c>
      <c r="E870" s="82">
        <v>1</v>
      </c>
      <c r="F870" s="82" t="s">
        <v>39</v>
      </c>
      <c r="G870" s="83">
        <v>100000</v>
      </c>
      <c r="H870" s="211">
        <v>1</v>
      </c>
      <c r="I870" s="84"/>
      <c r="J870" s="5" t="s">
        <v>89</v>
      </c>
    </row>
    <row r="871" spans="1:10" ht="25" customHeight="1">
      <c r="A871" s="137"/>
      <c r="B871" s="79" t="s">
        <v>1101</v>
      </c>
      <c r="C871" s="124" t="s">
        <v>1098</v>
      </c>
      <c r="D871" s="81" t="s">
        <v>587</v>
      </c>
      <c r="E871" s="82">
        <v>1.5</v>
      </c>
      <c r="F871" s="82" t="s">
        <v>39</v>
      </c>
      <c r="G871" s="83">
        <v>160000</v>
      </c>
      <c r="H871" s="211">
        <v>1</v>
      </c>
      <c r="I871" s="141"/>
      <c r="J871" s="5" t="s">
        <v>89</v>
      </c>
    </row>
    <row r="872" spans="1:10" ht="25" customHeight="1">
      <c r="A872" s="137"/>
      <c r="B872" s="79" t="s">
        <v>1102</v>
      </c>
      <c r="C872" s="124" t="s">
        <v>1098</v>
      </c>
      <c r="D872" s="81" t="s">
        <v>589</v>
      </c>
      <c r="E872" s="82">
        <v>2</v>
      </c>
      <c r="F872" s="82" t="s">
        <v>39</v>
      </c>
      <c r="G872" s="83">
        <v>280000</v>
      </c>
      <c r="H872" s="211">
        <v>1</v>
      </c>
      <c r="I872" s="141"/>
      <c r="J872" s="5" t="s">
        <v>89</v>
      </c>
    </row>
    <row r="873" spans="1:10" ht="25" customHeight="1">
      <c r="A873" s="137"/>
      <c r="B873" s="79" t="s">
        <v>1103</v>
      </c>
      <c r="C873" s="124" t="s">
        <v>1098</v>
      </c>
      <c r="D873" s="81" t="s">
        <v>429</v>
      </c>
      <c r="E873" s="82">
        <v>2.5</v>
      </c>
      <c r="F873" s="82" t="s">
        <v>39</v>
      </c>
      <c r="G873" s="83">
        <v>400000</v>
      </c>
      <c r="H873" s="211">
        <v>1</v>
      </c>
      <c r="I873" s="141"/>
      <c r="J873" s="5" t="s">
        <v>89</v>
      </c>
    </row>
    <row r="874" spans="1:10" ht="25" customHeight="1">
      <c r="A874" s="137"/>
      <c r="B874" s="79" t="s">
        <v>1104</v>
      </c>
      <c r="C874" s="124" t="s">
        <v>1098</v>
      </c>
      <c r="D874" s="81" t="s">
        <v>94</v>
      </c>
      <c r="E874" s="82">
        <v>3</v>
      </c>
      <c r="F874" s="82" t="s">
        <v>39</v>
      </c>
      <c r="G874" s="83">
        <v>520000</v>
      </c>
      <c r="H874" s="211">
        <v>1</v>
      </c>
      <c r="I874" s="141"/>
      <c r="J874" s="5" t="s">
        <v>89</v>
      </c>
    </row>
    <row r="875" spans="1:10" ht="25" customHeight="1">
      <c r="A875" s="78"/>
      <c r="B875" s="79" t="s">
        <v>1105</v>
      </c>
      <c r="C875" s="124" t="s">
        <v>1106</v>
      </c>
      <c r="D875" s="81" t="s">
        <v>478</v>
      </c>
      <c r="E875" s="82">
        <v>1</v>
      </c>
      <c r="F875" s="82" t="s">
        <v>39</v>
      </c>
      <c r="G875" s="83">
        <v>80000</v>
      </c>
      <c r="H875" s="211">
        <v>0.5</v>
      </c>
      <c r="I875" s="84"/>
      <c r="J875" s="5" t="s">
        <v>89</v>
      </c>
    </row>
    <row r="876" spans="1:10" ht="25" customHeight="1">
      <c r="A876" s="78"/>
      <c r="B876" s="79" t="s">
        <v>1107</v>
      </c>
      <c r="C876" s="124" t="s">
        <v>1106</v>
      </c>
      <c r="D876" s="81" t="s">
        <v>40</v>
      </c>
      <c r="E876" s="82">
        <v>1</v>
      </c>
      <c r="F876" s="82" t="s">
        <v>39</v>
      </c>
      <c r="G876" s="83">
        <v>100000</v>
      </c>
      <c r="H876" s="211">
        <v>0.5</v>
      </c>
      <c r="I876" s="84"/>
      <c r="J876" s="5" t="s">
        <v>89</v>
      </c>
    </row>
    <row r="877" spans="1:10" ht="25" customHeight="1">
      <c r="A877" s="137"/>
      <c r="B877" s="79" t="s">
        <v>1108</v>
      </c>
      <c r="C877" s="124" t="s">
        <v>1106</v>
      </c>
      <c r="D877" s="81" t="s">
        <v>587</v>
      </c>
      <c r="E877" s="82">
        <v>1.5</v>
      </c>
      <c r="F877" s="82" t="s">
        <v>39</v>
      </c>
      <c r="G877" s="83">
        <v>160000</v>
      </c>
      <c r="H877" s="211">
        <v>0.5</v>
      </c>
      <c r="I877" s="141"/>
      <c r="J877" s="5" t="s">
        <v>89</v>
      </c>
    </row>
    <row r="878" spans="1:10" ht="25" customHeight="1">
      <c r="A878" s="137"/>
      <c r="B878" s="79" t="s">
        <v>1109</v>
      </c>
      <c r="C878" s="124" t="s">
        <v>1106</v>
      </c>
      <c r="D878" s="81" t="s">
        <v>589</v>
      </c>
      <c r="E878" s="82">
        <v>2</v>
      </c>
      <c r="F878" s="82" t="s">
        <v>39</v>
      </c>
      <c r="G878" s="83">
        <v>280000</v>
      </c>
      <c r="H878" s="211">
        <v>0.5</v>
      </c>
      <c r="I878" s="141"/>
      <c r="J878" s="5" t="s">
        <v>89</v>
      </c>
    </row>
    <row r="879" spans="1:10" ht="25" customHeight="1">
      <c r="A879" s="137"/>
      <c r="B879" s="79" t="s">
        <v>1110</v>
      </c>
      <c r="C879" s="124" t="s">
        <v>1106</v>
      </c>
      <c r="D879" s="81" t="s">
        <v>429</v>
      </c>
      <c r="E879" s="82">
        <v>2.5</v>
      </c>
      <c r="F879" s="82" t="s">
        <v>39</v>
      </c>
      <c r="G879" s="83">
        <v>400000</v>
      </c>
      <c r="H879" s="211">
        <v>0.5</v>
      </c>
      <c r="I879" s="141"/>
      <c r="J879" s="5" t="s">
        <v>89</v>
      </c>
    </row>
    <row r="880" spans="1:10" ht="25" customHeight="1">
      <c r="A880" s="137"/>
      <c r="B880" s="79" t="s">
        <v>1111</v>
      </c>
      <c r="C880" s="124" t="s">
        <v>1106</v>
      </c>
      <c r="D880" s="81" t="s">
        <v>94</v>
      </c>
      <c r="E880" s="82">
        <v>3</v>
      </c>
      <c r="F880" s="82" t="s">
        <v>39</v>
      </c>
      <c r="G880" s="83">
        <v>520000</v>
      </c>
      <c r="H880" s="211">
        <v>0.5</v>
      </c>
      <c r="I880" s="141"/>
      <c r="J880" s="5" t="s">
        <v>89</v>
      </c>
    </row>
    <row r="881" spans="1:10" ht="25" customHeight="1">
      <c r="A881" s="63"/>
      <c r="B881" s="106"/>
      <c r="C881" s="197" t="s">
        <v>1112</v>
      </c>
      <c r="D881" s="108"/>
      <c r="E881" s="66"/>
      <c r="F881" s="66"/>
      <c r="G881" s="109"/>
      <c r="H881" s="69"/>
      <c r="I881" s="68"/>
    </row>
    <row r="882" spans="1:10" ht="25" customHeight="1">
      <c r="A882" s="128"/>
      <c r="B882" s="129" t="s">
        <v>1113</v>
      </c>
      <c r="C882" s="130" t="s">
        <v>1112</v>
      </c>
      <c r="D882" s="81" t="s">
        <v>63</v>
      </c>
      <c r="E882" s="132"/>
      <c r="F882" s="82" t="s">
        <v>31</v>
      </c>
      <c r="G882" s="210">
        <v>36000</v>
      </c>
      <c r="H882" s="211">
        <v>1</v>
      </c>
      <c r="I882" s="196"/>
    </row>
    <row r="883" spans="1:10" ht="25" customHeight="1">
      <c r="A883" s="128"/>
      <c r="B883" s="129" t="s">
        <v>1114</v>
      </c>
      <c r="C883" s="130" t="s">
        <v>1112</v>
      </c>
      <c r="D883" s="81" t="s">
        <v>478</v>
      </c>
      <c r="E883" s="82">
        <v>4</v>
      </c>
      <c r="F883" s="82" t="s">
        <v>39</v>
      </c>
      <c r="G883" s="210">
        <v>60000</v>
      </c>
      <c r="H883" s="211">
        <v>1</v>
      </c>
      <c r="I883" s="196"/>
    </row>
    <row r="884" spans="1:10" ht="25" customHeight="1">
      <c r="A884" s="128"/>
      <c r="B884" s="129" t="s">
        <v>1115</v>
      </c>
      <c r="C884" s="130" t="s">
        <v>1112</v>
      </c>
      <c r="D884" s="81" t="s">
        <v>625</v>
      </c>
      <c r="E884" s="82">
        <v>4</v>
      </c>
      <c r="F884" s="82" t="s">
        <v>39</v>
      </c>
      <c r="G884" s="210">
        <v>90000</v>
      </c>
      <c r="H884" s="211">
        <v>1</v>
      </c>
      <c r="I884" s="196"/>
    </row>
    <row r="885" spans="1:10" ht="25" customHeight="1">
      <c r="A885" s="128"/>
      <c r="B885" s="129" t="s">
        <v>1116</v>
      </c>
      <c r="C885" s="130" t="s">
        <v>1112</v>
      </c>
      <c r="D885" s="81" t="s">
        <v>1117</v>
      </c>
      <c r="E885" s="82">
        <f>360/72</f>
        <v>5</v>
      </c>
      <c r="F885" s="82" t="s">
        <v>39</v>
      </c>
      <c r="G885" s="210">
        <v>120000</v>
      </c>
      <c r="H885" s="211">
        <v>1</v>
      </c>
      <c r="I885" s="196"/>
    </row>
    <row r="886" spans="1:10" ht="25" customHeight="1">
      <c r="A886" s="128"/>
      <c r="B886" s="129" t="s">
        <v>1118</v>
      </c>
      <c r="C886" s="130" t="s">
        <v>1112</v>
      </c>
      <c r="D886" s="81" t="s">
        <v>629</v>
      </c>
      <c r="E886" s="82">
        <f>360/72</f>
        <v>5</v>
      </c>
      <c r="F886" s="82" t="s">
        <v>39</v>
      </c>
      <c r="G886" s="210">
        <v>150000</v>
      </c>
      <c r="H886" s="211">
        <v>1</v>
      </c>
      <c r="I886" s="196"/>
    </row>
    <row r="887" spans="1:10" ht="25" customHeight="1">
      <c r="A887" s="128"/>
      <c r="B887" s="129" t="s">
        <v>1119</v>
      </c>
      <c r="C887" s="130" t="s">
        <v>1112</v>
      </c>
      <c r="D887" s="81" t="s">
        <v>1120</v>
      </c>
      <c r="E887" s="132">
        <f>360/54</f>
        <v>6.666666666666667</v>
      </c>
      <c r="F887" s="82" t="s">
        <v>39</v>
      </c>
      <c r="G887" s="210">
        <v>180000</v>
      </c>
      <c r="H887" s="211">
        <v>1</v>
      </c>
      <c r="I887" s="196"/>
    </row>
    <row r="888" spans="1:10" ht="25" customHeight="1">
      <c r="A888" s="128"/>
      <c r="B888" s="129" t="s">
        <v>1121</v>
      </c>
      <c r="C888" s="130" t="s">
        <v>1112</v>
      </c>
      <c r="D888" s="81" t="s">
        <v>1122</v>
      </c>
      <c r="E888" s="132">
        <f>360/54</f>
        <v>6.666666666666667</v>
      </c>
      <c r="F888" s="82" t="s">
        <v>39</v>
      </c>
      <c r="G888" s="210">
        <v>225000</v>
      </c>
      <c r="H888" s="211">
        <v>1</v>
      </c>
      <c r="I888" s="196"/>
    </row>
    <row r="889" spans="1:10" ht="25" customHeight="1">
      <c r="A889" s="63"/>
      <c r="B889" s="106"/>
      <c r="C889" s="197" t="s">
        <v>1123</v>
      </c>
      <c r="D889" s="108"/>
      <c r="E889" s="66"/>
      <c r="F889" s="66"/>
      <c r="G889" s="109"/>
      <c r="H889" s="69"/>
      <c r="I889" s="68"/>
    </row>
    <row r="890" spans="1:10" ht="25" customHeight="1">
      <c r="A890" s="128"/>
      <c r="B890" s="129" t="s">
        <v>1124</v>
      </c>
      <c r="C890" s="130" t="s">
        <v>1125</v>
      </c>
      <c r="D890" s="81" t="s">
        <v>63</v>
      </c>
      <c r="E890" s="132"/>
      <c r="F890" s="82" t="s">
        <v>31</v>
      </c>
      <c r="G890" s="210">
        <v>36000</v>
      </c>
      <c r="H890" s="211">
        <v>1</v>
      </c>
      <c r="I890" s="196"/>
      <c r="J890" s="5" t="s">
        <v>89</v>
      </c>
    </row>
    <row r="891" spans="1:10" ht="25" customHeight="1">
      <c r="A891" s="128"/>
      <c r="B891" s="129" t="s">
        <v>1126</v>
      </c>
      <c r="C891" s="130" t="s">
        <v>1125</v>
      </c>
      <c r="D891" s="81" t="s">
        <v>478</v>
      </c>
      <c r="E891" s="82">
        <v>4</v>
      </c>
      <c r="F891" s="82" t="s">
        <v>39</v>
      </c>
      <c r="G891" s="210">
        <v>36000</v>
      </c>
      <c r="H891" s="211">
        <v>1</v>
      </c>
      <c r="I891" s="196"/>
      <c r="J891" s="5" t="s">
        <v>89</v>
      </c>
    </row>
    <row r="892" spans="1:10" ht="25" customHeight="1">
      <c r="A892" s="128"/>
      <c r="B892" s="129" t="s">
        <v>1127</v>
      </c>
      <c r="C892" s="130" t="s">
        <v>1125</v>
      </c>
      <c r="D892" s="81" t="s">
        <v>625</v>
      </c>
      <c r="E892" s="82">
        <v>4</v>
      </c>
      <c r="F892" s="82" t="s">
        <v>39</v>
      </c>
      <c r="G892" s="210">
        <v>60000</v>
      </c>
      <c r="H892" s="211">
        <v>1</v>
      </c>
      <c r="I892" s="196"/>
      <c r="J892" s="5" t="s">
        <v>89</v>
      </c>
    </row>
    <row r="893" spans="1:10" ht="25" customHeight="1">
      <c r="A893" s="128"/>
      <c r="B893" s="129" t="s">
        <v>1128</v>
      </c>
      <c r="C893" s="130" t="s">
        <v>1125</v>
      </c>
      <c r="D893" s="81" t="s">
        <v>499</v>
      </c>
      <c r="E893" s="82">
        <v>5</v>
      </c>
      <c r="F893" s="82" t="s">
        <v>39</v>
      </c>
      <c r="G893" s="210">
        <v>85000</v>
      </c>
      <c r="H893" s="211">
        <v>1</v>
      </c>
      <c r="I893" s="196"/>
      <c r="J893" s="5" t="s">
        <v>89</v>
      </c>
    </row>
    <row r="894" spans="1:10" ht="25" customHeight="1">
      <c r="A894" s="128"/>
      <c r="B894" s="129" t="s">
        <v>1129</v>
      </c>
      <c r="C894" s="130" t="s">
        <v>1125</v>
      </c>
      <c r="D894" s="81" t="s">
        <v>491</v>
      </c>
      <c r="E894" s="82">
        <v>5</v>
      </c>
      <c r="F894" s="82" t="s">
        <v>39</v>
      </c>
      <c r="G894" s="210">
        <v>110000</v>
      </c>
      <c r="H894" s="211">
        <v>1</v>
      </c>
      <c r="I894" s="196"/>
      <c r="J894" s="5" t="s">
        <v>89</v>
      </c>
    </row>
    <row r="895" spans="1:10" ht="25" customHeight="1">
      <c r="A895" s="128"/>
      <c r="B895" s="129" t="s">
        <v>1130</v>
      </c>
      <c r="C895" s="130" t="s">
        <v>1125</v>
      </c>
      <c r="D895" s="81" t="s">
        <v>1084</v>
      </c>
      <c r="E895" s="132">
        <f>360/54</f>
        <v>6.666666666666667</v>
      </c>
      <c r="F895" s="82" t="s">
        <v>39</v>
      </c>
      <c r="G895" s="210">
        <v>150000</v>
      </c>
      <c r="H895" s="211">
        <v>1</v>
      </c>
      <c r="I895" s="196"/>
      <c r="J895" s="5" t="s">
        <v>89</v>
      </c>
    </row>
    <row r="896" spans="1:10" ht="25" customHeight="1">
      <c r="A896" s="128"/>
      <c r="B896" s="129" t="s">
        <v>1131</v>
      </c>
      <c r="C896" s="130" t="s">
        <v>1125</v>
      </c>
      <c r="D896" s="81" t="s">
        <v>1086</v>
      </c>
      <c r="E896" s="132">
        <f>360/54</f>
        <v>6.666666666666667</v>
      </c>
      <c r="F896" s="82" t="s">
        <v>39</v>
      </c>
      <c r="G896" s="210">
        <v>220000</v>
      </c>
      <c r="H896" s="211">
        <v>1</v>
      </c>
      <c r="I896" s="196"/>
      <c r="J896" s="5" t="s">
        <v>89</v>
      </c>
    </row>
    <row r="897" spans="1:10" ht="25" customHeight="1">
      <c r="A897" s="128"/>
      <c r="B897" s="129" t="s">
        <v>1132</v>
      </c>
      <c r="C897" s="130" t="s">
        <v>1133</v>
      </c>
      <c r="D897" s="81" t="s">
        <v>63</v>
      </c>
      <c r="E897" s="132"/>
      <c r="F897" s="82" t="s">
        <v>31</v>
      </c>
      <c r="G897" s="210">
        <v>36000</v>
      </c>
      <c r="H897" s="211">
        <v>0.5</v>
      </c>
      <c r="I897" s="196"/>
      <c r="J897" s="5" t="s">
        <v>89</v>
      </c>
    </row>
    <row r="898" spans="1:10" ht="25" customHeight="1">
      <c r="A898" s="128"/>
      <c r="B898" s="129" t="s">
        <v>1134</v>
      </c>
      <c r="C898" s="130" t="s">
        <v>1133</v>
      </c>
      <c r="D898" s="81" t="s">
        <v>478</v>
      </c>
      <c r="E898" s="82">
        <v>4</v>
      </c>
      <c r="F898" s="82" t="s">
        <v>39</v>
      </c>
      <c r="G898" s="210">
        <v>36000</v>
      </c>
      <c r="H898" s="211">
        <v>0.5</v>
      </c>
      <c r="I898" s="196"/>
      <c r="J898" s="5" t="s">
        <v>89</v>
      </c>
    </row>
    <row r="899" spans="1:10" ht="25" customHeight="1">
      <c r="A899" s="128"/>
      <c r="B899" s="129" t="s">
        <v>1135</v>
      </c>
      <c r="C899" s="130" t="s">
        <v>1133</v>
      </c>
      <c r="D899" s="81" t="s">
        <v>625</v>
      </c>
      <c r="E899" s="82">
        <v>4</v>
      </c>
      <c r="F899" s="82" t="s">
        <v>39</v>
      </c>
      <c r="G899" s="210">
        <v>60000</v>
      </c>
      <c r="H899" s="211">
        <v>0.5</v>
      </c>
      <c r="I899" s="196"/>
      <c r="J899" s="5" t="s">
        <v>89</v>
      </c>
    </row>
    <row r="900" spans="1:10" ht="25" customHeight="1">
      <c r="A900" s="128"/>
      <c r="B900" s="129" t="s">
        <v>1136</v>
      </c>
      <c r="C900" s="130" t="s">
        <v>1133</v>
      </c>
      <c r="D900" s="81" t="s">
        <v>499</v>
      </c>
      <c r="E900" s="82">
        <v>5</v>
      </c>
      <c r="F900" s="82" t="s">
        <v>39</v>
      </c>
      <c r="G900" s="210">
        <v>85000</v>
      </c>
      <c r="H900" s="211">
        <v>0.5</v>
      </c>
      <c r="I900" s="196"/>
      <c r="J900" s="5" t="s">
        <v>89</v>
      </c>
    </row>
    <row r="901" spans="1:10" ht="25" customHeight="1">
      <c r="A901" s="128"/>
      <c r="B901" s="129" t="s">
        <v>1137</v>
      </c>
      <c r="C901" s="130" t="s">
        <v>1133</v>
      </c>
      <c r="D901" s="81" t="s">
        <v>491</v>
      </c>
      <c r="E901" s="82">
        <v>5</v>
      </c>
      <c r="F901" s="82" t="s">
        <v>39</v>
      </c>
      <c r="G901" s="210">
        <v>110000</v>
      </c>
      <c r="H901" s="211">
        <v>0.5</v>
      </c>
      <c r="I901" s="196"/>
      <c r="J901" s="5" t="s">
        <v>89</v>
      </c>
    </row>
    <row r="902" spans="1:10" ht="25" customHeight="1">
      <c r="A902" s="128"/>
      <c r="B902" s="129" t="s">
        <v>1138</v>
      </c>
      <c r="C902" s="130" t="s">
        <v>1133</v>
      </c>
      <c r="D902" s="81" t="s">
        <v>1084</v>
      </c>
      <c r="E902" s="132">
        <f>360/54</f>
        <v>6.666666666666667</v>
      </c>
      <c r="F902" s="82" t="s">
        <v>39</v>
      </c>
      <c r="G902" s="210">
        <v>150000</v>
      </c>
      <c r="H902" s="211">
        <v>0.5</v>
      </c>
      <c r="I902" s="196"/>
      <c r="J902" s="5" t="s">
        <v>89</v>
      </c>
    </row>
    <row r="903" spans="1:10" ht="25" customHeight="1">
      <c r="A903" s="128"/>
      <c r="B903" s="129" t="s">
        <v>1139</v>
      </c>
      <c r="C903" s="130" t="s">
        <v>1133</v>
      </c>
      <c r="D903" s="81" t="s">
        <v>1086</v>
      </c>
      <c r="E903" s="132">
        <f>360/54</f>
        <v>6.666666666666667</v>
      </c>
      <c r="F903" s="82" t="s">
        <v>39</v>
      </c>
      <c r="G903" s="210">
        <v>220000</v>
      </c>
      <c r="H903" s="211">
        <v>0.5</v>
      </c>
      <c r="I903" s="196"/>
      <c r="J903" s="5" t="s">
        <v>89</v>
      </c>
    </row>
    <row r="904" spans="1:10" ht="25" customHeight="1">
      <c r="A904" s="63"/>
      <c r="B904" s="106"/>
      <c r="C904" s="197" t="s">
        <v>1140</v>
      </c>
      <c r="D904" s="108"/>
      <c r="E904" s="66"/>
      <c r="F904" s="66"/>
      <c r="G904" s="109"/>
      <c r="H904" s="69"/>
      <c r="I904" s="68"/>
    </row>
    <row r="905" spans="1:10" ht="25" customHeight="1">
      <c r="A905" s="128"/>
      <c r="B905" s="129" t="s">
        <v>1141</v>
      </c>
      <c r="C905" s="130" t="s">
        <v>1140</v>
      </c>
      <c r="D905" s="81" t="s">
        <v>63</v>
      </c>
      <c r="E905" s="132"/>
      <c r="F905" s="82" t="s">
        <v>31</v>
      </c>
      <c r="G905" s="210">
        <v>36000</v>
      </c>
      <c r="H905" s="211">
        <v>1</v>
      </c>
      <c r="I905" s="196"/>
      <c r="J905" s="5" t="s">
        <v>89</v>
      </c>
    </row>
    <row r="906" spans="1:10" ht="25" customHeight="1">
      <c r="A906" s="128"/>
      <c r="B906" s="129" t="s">
        <v>1142</v>
      </c>
      <c r="C906" s="130" t="s">
        <v>1140</v>
      </c>
      <c r="D906" s="81" t="s">
        <v>478</v>
      </c>
      <c r="E906" s="82">
        <v>4</v>
      </c>
      <c r="F906" s="82" t="s">
        <v>39</v>
      </c>
      <c r="G906" s="210">
        <v>36000</v>
      </c>
      <c r="H906" s="211">
        <v>1</v>
      </c>
      <c r="I906" s="196"/>
      <c r="J906" s="5" t="s">
        <v>89</v>
      </c>
    </row>
    <row r="907" spans="1:10" ht="25" customHeight="1">
      <c r="A907" s="128"/>
      <c r="B907" s="129" t="s">
        <v>1143</v>
      </c>
      <c r="C907" s="130" t="s">
        <v>1140</v>
      </c>
      <c r="D907" s="81" t="s">
        <v>625</v>
      </c>
      <c r="E907" s="82">
        <v>4</v>
      </c>
      <c r="F907" s="82" t="s">
        <v>39</v>
      </c>
      <c r="G907" s="210">
        <v>60000</v>
      </c>
      <c r="H907" s="211">
        <v>1</v>
      </c>
      <c r="I907" s="196"/>
      <c r="J907" s="5" t="s">
        <v>89</v>
      </c>
    </row>
    <row r="908" spans="1:10" ht="25" customHeight="1">
      <c r="A908" s="128"/>
      <c r="B908" s="129" t="s">
        <v>1144</v>
      </c>
      <c r="C908" s="130" t="s">
        <v>1140</v>
      </c>
      <c r="D908" s="81" t="s">
        <v>1117</v>
      </c>
      <c r="E908" s="82">
        <v>5</v>
      </c>
      <c r="F908" s="82" t="s">
        <v>39</v>
      </c>
      <c r="G908" s="210">
        <v>85000</v>
      </c>
      <c r="H908" s="211">
        <v>1</v>
      </c>
      <c r="I908" s="196"/>
      <c r="J908" s="5" t="s">
        <v>89</v>
      </c>
    </row>
    <row r="909" spans="1:10" ht="25" customHeight="1">
      <c r="A909" s="128"/>
      <c r="B909" s="129" t="s">
        <v>1145</v>
      </c>
      <c r="C909" s="130" t="s">
        <v>1140</v>
      </c>
      <c r="D909" s="81" t="s">
        <v>629</v>
      </c>
      <c r="E909" s="82">
        <v>5</v>
      </c>
      <c r="F909" s="82" t="s">
        <v>39</v>
      </c>
      <c r="G909" s="210">
        <v>110000</v>
      </c>
      <c r="H909" s="211">
        <v>1</v>
      </c>
      <c r="I909" s="196"/>
      <c r="J909" s="5" t="s">
        <v>89</v>
      </c>
    </row>
    <row r="910" spans="1:10" ht="25" customHeight="1">
      <c r="A910" s="128"/>
      <c r="B910" s="129" t="s">
        <v>1146</v>
      </c>
      <c r="C910" s="130" t="s">
        <v>1140</v>
      </c>
      <c r="D910" s="81" t="s">
        <v>631</v>
      </c>
      <c r="E910" s="132">
        <f>360/54</f>
        <v>6.666666666666667</v>
      </c>
      <c r="F910" s="82" t="s">
        <v>39</v>
      </c>
      <c r="G910" s="210">
        <v>150000</v>
      </c>
      <c r="H910" s="211">
        <v>1</v>
      </c>
      <c r="I910" s="196"/>
      <c r="J910" s="5" t="s">
        <v>89</v>
      </c>
    </row>
    <row r="911" spans="1:10" ht="25" customHeight="1">
      <c r="A911" s="128"/>
      <c r="B911" s="129" t="s">
        <v>1147</v>
      </c>
      <c r="C911" s="130" t="s">
        <v>1140</v>
      </c>
      <c r="D911" s="81" t="s">
        <v>1086</v>
      </c>
      <c r="E911" s="132">
        <f>360/54</f>
        <v>6.666666666666667</v>
      </c>
      <c r="F911" s="82" t="s">
        <v>39</v>
      </c>
      <c r="G911" s="210">
        <v>220000</v>
      </c>
      <c r="H911" s="211">
        <v>1</v>
      </c>
      <c r="I911" s="196"/>
      <c r="J911" s="5" t="s">
        <v>89</v>
      </c>
    </row>
    <row r="912" spans="1:10" ht="25" customHeight="1">
      <c r="A912" s="128"/>
      <c r="B912" s="129" t="s">
        <v>1148</v>
      </c>
      <c r="C912" s="130" t="s">
        <v>1149</v>
      </c>
      <c r="D912" s="81" t="s">
        <v>63</v>
      </c>
      <c r="E912" s="132"/>
      <c r="F912" s="82" t="s">
        <v>31</v>
      </c>
      <c r="G912" s="210">
        <v>36000</v>
      </c>
      <c r="H912" s="211">
        <v>0.5</v>
      </c>
      <c r="I912" s="196"/>
      <c r="J912" s="5" t="s">
        <v>89</v>
      </c>
    </row>
    <row r="913" spans="1:10" ht="25" customHeight="1">
      <c r="A913" s="128"/>
      <c r="B913" s="129" t="s">
        <v>1150</v>
      </c>
      <c r="C913" s="130" t="s">
        <v>1149</v>
      </c>
      <c r="D913" s="81" t="s">
        <v>478</v>
      </c>
      <c r="E913" s="82">
        <v>4</v>
      </c>
      <c r="F913" s="82" t="s">
        <v>39</v>
      </c>
      <c r="G913" s="210">
        <v>36000</v>
      </c>
      <c r="H913" s="211">
        <v>0.5</v>
      </c>
      <c r="I913" s="196"/>
      <c r="J913" s="5" t="s">
        <v>89</v>
      </c>
    </row>
    <row r="914" spans="1:10" ht="25" customHeight="1">
      <c r="A914" s="128"/>
      <c r="B914" s="129" t="s">
        <v>1151</v>
      </c>
      <c r="C914" s="130" t="s">
        <v>1149</v>
      </c>
      <c r="D914" s="81" t="s">
        <v>625</v>
      </c>
      <c r="E914" s="82">
        <v>4</v>
      </c>
      <c r="F914" s="82" t="s">
        <v>39</v>
      </c>
      <c r="G914" s="210">
        <v>60000</v>
      </c>
      <c r="H914" s="211">
        <v>0.5</v>
      </c>
      <c r="I914" s="196"/>
      <c r="J914" s="5" t="s">
        <v>89</v>
      </c>
    </row>
    <row r="915" spans="1:10" ht="25" customHeight="1">
      <c r="A915" s="128"/>
      <c r="B915" s="129" t="s">
        <v>1152</v>
      </c>
      <c r="C915" s="130" t="s">
        <v>1149</v>
      </c>
      <c r="D915" s="81" t="s">
        <v>1117</v>
      </c>
      <c r="E915" s="82">
        <v>5</v>
      </c>
      <c r="F915" s="82" t="s">
        <v>39</v>
      </c>
      <c r="G915" s="210">
        <v>85000</v>
      </c>
      <c r="H915" s="211">
        <v>0.5</v>
      </c>
      <c r="I915" s="196"/>
      <c r="J915" s="5" t="s">
        <v>89</v>
      </c>
    </row>
    <row r="916" spans="1:10" ht="25" customHeight="1">
      <c r="A916" s="128"/>
      <c r="B916" s="129" t="s">
        <v>1153</v>
      </c>
      <c r="C916" s="130" t="s">
        <v>1149</v>
      </c>
      <c r="D916" s="81" t="s">
        <v>629</v>
      </c>
      <c r="E916" s="82">
        <v>5</v>
      </c>
      <c r="F916" s="82" t="s">
        <v>39</v>
      </c>
      <c r="G916" s="210">
        <v>110000</v>
      </c>
      <c r="H916" s="211">
        <v>0.5</v>
      </c>
      <c r="I916" s="196"/>
      <c r="J916" s="5" t="s">
        <v>89</v>
      </c>
    </row>
    <row r="917" spans="1:10" ht="25" customHeight="1">
      <c r="A917" s="128"/>
      <c r="B917" s="129" t="s">
        <v>1154</v>
      </c>
      <c r="C917" s="130" t="s">
        <v>1149</v>
      </c>
      <c r="D917" s="81" t="s">
        <v>631</v>
      </c>
      <c r="E917" s="132">
        <f>360/54</f>
        <v>6.666666666666667</v>
      </c>
      <c r="F917" s="82" t="s">
        <v>39</v>
      </c>
      <c r="G917" s="210">
        <v>150000</v>
      </c>
      <c r="H917" s="211">
        <v>0.5</v>
      </c>
      <c r="I917" s="196"/>
      <c r="J917" s="5" t="s">
        <v>89</v>
      </c>
    </row>
    <row r="918" spans="1:10" ht="25" customHeight="1">
      <c r="A918" s="128"/>
      <c r="B918" s="129" t="s">
        <v>1155</v>
      </c>
      <c r="C918" s="130" t="s">
        <v>1149</v>
      </c>
      <c r="D918" s="81" t="s">
        <v>1086</v>
      </c>
      <c r="E918" s="132">
        <f>360/54</f>
        <v>6.666666666666667</v>
      </c>
      <c r="F918" s="82" t="s">
        <v>39</v>
      </c>
      <c r="G918" s="210">
        <v>220000</v>
      </c>
      <c r="H918" s="211">
        <v>0.5</v>
      </c>
      <c r="I918" s="196"/>
      <c r="J918" s="5" t="s">
        <v>89</v>
      </c>
    </row>
    <row r="919" spans="1:10" ht="25" customHeight="1">
      <c r="A919" s="63"/>
      <c r="B919" s="106"/>
      <c r="C919" s="197" t="s">
        <v>1156</v>
      </c>
      <c r="D919" s="108"/>
      <c r="E919" s="66"/>
      <c r="F919" s="66"/>
      <c r="G919" s="109"/>
      <c r="H919" s="69"/>
      <c r="I919" s="68"/>
    </row>
    <row r="920" spans="1:10" ht="25" customHeight="1">
      <c r="A920" s="128"/>
      <c r="B920" s="129" t="s">
        <v>1157</v>
      </c>
      <c r="C920" s="130" t="s">
        <v>1158</v>
      </c>
      <c r="D920" s="81" t="s">
        <v>63</v>
      </c>
      <c r="E920" s="132"/>
      <c r="F920" s="82" t="s">
        <v>31</v>
      </c>
      <c r="G920" s="210">
        <v>36000</v>
      </c>
      <c r="H920" s="211">
        <v>1</v>
      </c>
      <c r="I920" s="196"/>
      <c r="J920" s="5" t="s">
        <v>89</v>
      </c>
    </row>
    <row r="921" spans="1:10" ht="25" customHeight="1">
      <c r="A921" s="128"/>
      <c r="B921" s="129" t="s">
        <v>1159</v>
      </c>
      <c r="C921" s="130" t="s">
        <v>1158</v>
      </c>
      <c r="D921" s="81" t="s">
        <v>478</v>
      </c>
      <c r="E921" s="82">
        <v>4</v>
      </c>
      <c r="F921" s="82" t="s">
        <v>39</v>
      </c>
      <c r="G921" s="210">
        <v>36000</v>
      </c>
      <c r="H921" s="211">
        <v>1</v>
      </c>
      <c r="I921" s="196"/>
      <c r="J921" s="5" t="s">
        <v>89</v>
      </c>
    </row>
    <row r="922" spans="1:10" ht="25" customHeight="1">
      <c r="A922" s="128"/>
      <c r="B922" s="129" t="s">
        <v>1160</v>
      </c>
      <c r="C922" s="130" t="s">
        <v>1158</v>
      </c>
      <c r="D922" s="81" t="s">
        <v>625</v>
      </c>
      <c r="E922" s="82">
        <v>4</v>
      </c>
      <c r="F922" s="82" t="s">
        <v>39</v>
      </c>
      <c r="G922" s="210">
        <v>60000</v>
      </c>
      <c r="H922" s="211">
        <v>1</v>
      </c>
      <c r="I922" s="196"/>
      <c r="J922" s="5" t="s">
        <v>89</v>
      </c>
    </row>
    <row r="923" spans="1:10" ht="25" customHeight="1">
      <c r="A923" s="128"/>
      <c r="B923" s="129" t="s">
        <v>1161</v>
      </c>
      <c r="C923" s="130" t="s">
        <v>1158</v>
      </c>
      <c r="D923" s="81" t="s">
        <v>1117</v>
      </c>
      <c r="E923" s="82">
        <v>5</v>
      </c>
      <c r="F923" s="82" t="s">
        <v>39</v>
      </c>
      <c r="G923" s="210">
        <v>85000</v>
      </c>
      <c r="H923" s="211">
        <v>1</v>
      </c>
      <c r="I923" s="196"/>
      <c r="J923" s="5" t="s">
        <v>89</v>
      </c>
    </row>
    <row r="924" spans="1:10" ht="25" customHeight="1">
      <c r="A924" s="128"/>
      <c r="B924" s="129" t="s">
        <v>1162</v>
      </c>
      <c r="C924" s="130" t="s">
        <v>1158</v>
      </c>
      <c r="D924" s="81" t="s">
        <v>629</v>
      </c>
      <c r="E924" s="82">
        <v>5</v>
      </c>
      <c r="F924" s="82" t="s">
        <v>39</v>
      </c>
      <c r="G924" s="210">
        <v>110000</v>
      </c>
      <c r="H924" s="211">
        <v>1</v>
      </c>
      <c r="I924" s="196"/>
      <c r="J924" s="5" t="s">
        <v>89</v>
      </c>
    </row>
    <row r="925" spans="1:10" ht="25" customHeight="1">
      <c r="A925" s="128"/>
      <c r="B925" s="129" t="s">
        <v>1163</v>
      </c>
      <c r="C925" s="130" t="s">
        <v>1158</v>
      </c>
      <c r="D925" s="81" t="s">
        <v>631</v>
      </c>
      <c r="E925" s="132">
        <f>360/54</f>
        <v>6.666666666666667</v>
      </c>
      <c r="F925" s="82" t="s">
        <v>39</v>
      </c>
      <c r="G925" s="210">
        <v>150000</v>
      </c>
      <c r="H925" s="211">
        <v>1</v>
      </c>
      <c r="I925" s="196"/>
      <c r="J925" s="5" t="s">
        <v>89</v>
      </c>
    </row>
    <row r="926" spans="1:10" ht="25" customHeight="1">
      <c r="A926" s="128"/>
      <c r="B926" s="129" t="s">
        <v>1164</v>
      </c>
      <c r="C926" s="130" t="s">
        <v>1158</v>
      </c>
      <c r="D926" s="81" t="s">
        <v>1086</v>
      </c>
      <c r="E926" s="132">
        <f>360/54</f>
        <v>6.666666666666667</v>
      </c>
      <c r="F926" s="82" t="s">
        <v>39</v>
      </c>
      <c r="G926" s="210">
        <v>220000</v>
      </c>
      <c r="H926" s="211">
        <v>1</v>
      </c>
      <c r="I926" s="196"/>
      <c r="J926" s="5" t="s">
        <v>89</v>
      </c>
    </row>
    <row r="927" spans="1:10" ht="25" customHeight="1">
      <c r="A927" s="128"/>
      <c r="B927" s="129" t="s">
        <v>1165</v>
      </c>
      <c r="C927" s="130" t="s">
        <v>1166</v>
      </c>
      <c r="D927" s="81" t="s">
        <v>63</v>
      </c>
      <c r="E927" s="132"/>
      <c r="F927" s="82" t="s">
        <v>31</v>
      </c>
      <c r="G927" s="210">
        <v>36000</v>
      </c>
      <c r="H927" s="211">
        <v>0.5</v>
      </c>
      <c r="I927" s="196"/>
      <c r="J927" s="5" t="s">
        <v>89</v>
      </c>
    </row>
    <row r="928" spans="1:10" ht="25" customHeight="1">
      <c r="A928" s="128"/>
      <c r="B928" s="129" t="s">
        <v>1167</v>
      </c>
      <c r="C928" s="130" t="s">
        <v>1166</v>
      </c>
      <c r="D928" s="81" t="s">
        <v>478</v>
      </c>
      <c r="E928" s="82">
        <v>4</v>
      </c>
      <c r="F928" s="82" t="s">
        <v>39</v>
      </c>
      <c r="G928" s="210">
        <v>36000</v>
      </c>
      <c r="H928" s="211">
        <v>0.5</v>
      </c>
      <c r="I928" s="196"/>
      <c r="J928" s="5" t="s">
        <v>89</v>
      </c>
    </row>
    <row r="929" spans="1:10" ht="25" customHeight="1">
      <c r="A929" s="128"/>
      <c r="B929" s="129" t="s">
        <v>1168</v>
      </c>
      <c r="C929" s="130" t="s">
        <v>1166</v>
      </c>
      <c r="D929" s="81" t="s">
        <v>625</v>
      </c>
      <c r="E929" s="82">
        <v>4</v>
      </c>
      <c r="F929" s="82" t="s">
        <v>39</v>
      </c>
      <c r="G929" s="210">
        <v>60000</v>
      </c>
      <c r="H929" s="211">
        <v>0.5</v>
      </c>
      <c r="I929" s="196"/>
      <c r="J929" s="5" t="s">
        <v>89</v>
      </c>
    </row>
    <row r="930" spans="1:10" ht="25" customHeight="1">
      <c r="A930" s="128"/>
      <c r="B930" s="129" t="s">
        <v>1169</v>
      </c>
      <c r="C930" s="130" t="s">
        <v>1166</v>
      </c>
      <c r="D930" s="81" t="s">
        <v>1117</v>
      </c>
      <c r="E930" s="82">
        <v>5</v>
      </c>
      <c r="F930" s="82" t="s">
        <v>39</v>
      </c>
      <c r="G930" s="210">
        <v>85000</v>
      </c>
      <c r="H930" s="211">
        <v>0.5</v>
      </c>
      <c r="I930" s="196"/>
      <c r="J930" s="5" t="s">
        <v>89</v>
      </c>
    </row>
    <row r="931" spans="1:10" ht="25" customHeight="1">
      <c r="A931" s="128"/>
      <c r="B931" s="129" t="s">
        <v>1170</v>
      </c>
      <c r="C931" s="130" t="s">
        <v>1166</v>
      </c>
      <c r="D931" s="81" t="s">
        <v>629</v>
      </c>
      <c r="E931" s="82">
        <v>5</v>
      </c>
      <c r="F931" s="82" t="s">
        <v>39</v>
      </c>
      <c r="G931" s="210">
        <v>110000</v>
      </c>
      <c r="H931" s="211">
        <v>0.5</v>
      </c>
      <c r="I931" s="196"/>
      <c r="J931" s="5" t="s">
        <v>89</v>
      </c>
    </row>
    <row r="932" spans="1:10" ht="25" customHeight="1">
      <c r="A932" s="128"/>
      <c r="B932" s="129" t="s">
        <v>1171</v>
      </c>
      <c r="C932" s="130" t="s">
        <v>1166</v>
      </c>
      <c r="D932" s="81" t="s">
        <v>631</v>
      </c>
      <c r="E932" s="132">
        <f>360/54</f>
        <v>6.666666666666667</v>
      </c>
      <c r="F932" s="82" t="s">
        <v>39</v>
      </c>
      <c r="G932" s="210">
        <v>150000</v>
      </c>
      <c r="H932" s="211">
        <v>0.5</v>
      </c>
      <c r="I932" s="196"/>
      <c r="J932" s="5" t="s">
        <v>89</v>
      </c>
    </row>
    <row r="933" spans="1:10" ht="25" customHeight="1">
      <c r="A933" s="128"/>
      <c r="B933" s="129" t="s">
        <v>1172</v>
      </c>
      <c r="C933" s="130" t="s">
        <v>1166</v>
      </c>
      <c r="D933" s="81" t="s">
        <v>1086</v>
      </c>
      <c r="E933" s="132">
        <f>360/54</f>
        <v>6.666666666666667</v>
      </c>
      <c r="F933" s="82" t="s">
        <v>39</v>
      </c>
      <c r="G933" s="210">
        <v>220000</v>
      </c>
      <c r="H933" s="211">
        <v>0.5</v>
      </c>
      <c r="I933" s="196"/>
      <c r="J933" s="5" t="s">
        <v>89</v>
      </c>
    </row>
    <row r="934" spans="1:10" ht="25" customHeight="1">
      <c r="A934" s="63"/>
      <c r="B934" s="106"/>
      <c r="C934" s="197" t="s">
        <v>1173</v>
      </c>
      <c r="D934" s="108"/>
      <c r="E934" s="66"/>
      <c r="F934" s="66"/>
      <c r="G934" s="109"/>
      <c r="H934" s="69"/>
      <c r="I934" s="68"/>
    </row>
    <row r="935" spans="1:10" ht="25" customHeight="1">
      <c r="A935" s="128"/>
      <c r="B935" s="129" t="s">
        <v>1174</v>
      </c>
      <c r="C935" s="130" t="s">
        <v>1175</v>
      </c>
      <c r="D935" s="81" t="s">
        <v>63</v>
      </c>
      <c r="E935" s="132"/>
      <c r="F935" s="82" t="s">
        <v>39</v>
      </c>
      <c r="G935" s="214">
        <v>36000</v>
      </c>
      <c r="H935" s="211">
        <v>1</v>
      </c>
      <c r="I935" s="196"/>
    </row>
    <row r="936" spans="1:10" ht="25" customHeight="1">
      <c r="A936" s="128"/>
      <c r="B936" s="129" t="s">
        <v>1176</v>
      </c>
      <c r="C936" s="130" t="s">
        <v>1175</v>
      </c>
      <c r="D936" s="81" t="s">
        <v>478</v>
      </c>
      <c r="E936" s="132">
        <f>360/9</f>
        <v>40</v>
      </c>
      <c r="F936" s="82" t="s">
        <v>39</v>
      </c>
      <c r="G936" s="214">
        <v>60000</v>
      </c>
      <c r="H936" s="211">
        <v>1</v>
      </c>
      <c r="I936" s="196"/>
    </row>
    <row r="937" spans="1:10" ht="25" customHeight="1">
      <c r="A937" s="128"/>
      <c r="B937" s="129" t="s">
        <v>1177</v>
      </c>
      <c r="C937" s="130" t="s">
        <v>1175</v>
      </c>
      <c r="D937" s="81" t="s">
        <v>625</v>
      </c>
      <c r="E937" s="132">
        <f>360/9</f>
        <v>40</v>
      </c>
      <c r="F937" s="82" t="s">
        <v>39</v>
      </c>
      <c r="G937" s="214">
        <v>90000</v>
      </c>
      <c r="H937" s="211">
        <v>1</v>
      </c>
      <c r="I937" s="196"/>
    </row>
    <row r="938" spans="1:10" ht="25" customHeight="1">
      <c r="A938" s="128"/>
      <c r="B938" s="129" t="s">
        <v>1178</v>
      </c>
      <c r="C938" s="130" t="s">
        <v>1175</v>
      </c>
      <c r="D938" s="81" t="s">
        <v>1117</v>
      </c>
      <c r="E938" s="132">
        <f>360/72</f>
        <v>5</v>
      </c>
      <c r="F938" s="82" t="s">
        <v>39</v>
      </c>
      <c r="G938" s="214">
        <v>120000</v>
      </c>
      <c r="H938" s="211">
        <v>1</v>
      </c>
      <c r="I938" s="196"/>
    </row>
    <row r="939" spans="1:10" ht="25" customHeight="1">
      <c r="A939" s="128"/>
      <c r="B939" s="129" t="s">
        <v>1179</v>
      </c>
      <c r="C939" s="130" t="s">
        <v>1175</v>
      </c>
      <c r="D939" s="81" t="s">
        <v>629</v>
      </c>
      <c r="E939" s="132">
        <f>360/72</f>
        <v>5</v>
      </c>
      <c r="F939" s="82" t="s">
        <v>39</v>
      </c>
      <c r="G939" s="214">
        <v>150000</v>
      </c>
      <c r="H939" s="211">
        <v>1</v>
      </c>
      <c r="I939" s="196"/>
    </row>
    <row r="940" spans="1:10" ht="25" customHeight="1">
      <c r="A940" s="128"/>
      <c r="B940" s="129" t="s">
        <v>1180</v>
      </c>
      <c r="C940" s="130" t="s">
        <v>1175</v>
      </c>
      <c r="D940" s="81" t="s">
        <v>1120</v>
      </c>
      <c r="E940" s="132">
        <f>360/54</f>
        <v>6.666666666666667</v>
      </c>
      <c r="F940" s="82" t="s">
        <v>39</v>
      </c>
      <c r="G940" s="214">
        <v>180000</v>
      </c>
      <c r="H940" s="211">
        <v>1</v>
      </c>
      <c r="I940" s="196"/>
    </row>
    <row r="941" spans="1:10" ht="25" customHeight="1">
      <c r="A941" s="128"/>
      <c r="B941" s="129" t="s">
        <v>1181</v>
      </c>
      <c r="C941" s="130" t="s">
        <v>1175</v>
      </c>
      <c r="D941" s="81" t="s">
        <v>1122</v>
      </c>
      <c r="E941" s="132">
        <f>360/54</f>
        <v>6.666666666666667</v>
      </c>
      <c r="F941" s="82" t="s">
        <v>39</v>
      </c>
      <c r="G941" s="214">
        <v>225000</v>
      </c>
      <c r="H941" s="211">
        <v>1</v>
      </c>
      <c r="I941" s="196"/>
    </row>
    <row r="942" spans="1:10" ht="25" customHeight="1">
      <c r="A942" s="128"/>
      <c r="B942" s="129" t="s">
        <v>1182</v>
      </c>
      <c r="C942" s="130" t="s">
        <v>1183</v>
      </c>
      <c r="D942" s="81" t="s">
        <v>629</v>
      </c>
      <c r="E942" s="132">
        <f>360/72</f>
        <v>5</v>
      </c>
      <c r="F942" s="82" t="s">
        <v>39</v>
      </c>
      <c r="G942" s="214">
        <v>150000</v>
      </c>
      <c r="H942" s="211">
        <v>0.5</v>
      </c>
      <c r="I942" s="196"/>
    </row>
    <row r="943" spans="1:10" ht="25" customHeight="1">
      <c r="A943" s="63"/>
      <c r="B943" s="106"/>
      <c r="C943" s="197" t="s">
        <v>1184</v>
      </c>
      <c r="D943" s="108"/>
      <c r="E943" s="66"/>
      <c r="F943" s="66"/>
      <c r="G943" s="109"/>
      <c r="H943" s="69"/>
      <c r="I943" s="68"/>
    </row>
    <row r="944" spans="1:10" ht="25" customHeight="1">
      <c r="A944" s="128"/>
      <c r="B944" s="129" t="s">
        <v>1185</v>
      </c>
      <c r="C944" s="130" t="s">
        <v>1186</v>
      </c>
      <c r="D944" s="81" t="s">
        <v>63</v>
      </c>
      <c r="E944" s="132"/>
      <c r="F944" s="82" t="s">
        <v>39</v>
      </c>
      <c r="G944" s="214">
        <v>36000</v>
      </c>
      <c r="H944" s="211">
        <v>1</v>
      </c>
      <c r="I944" s="196"/>
    </row>
    <row r="945" spans="1:9" ht="25" customHeight="1">
      <c r="A945" s="128"/>
      <c r="B945" s="129" t="s">
        <v>1187</v>
      </c>
      <c r="C945" s="130" t="s">
        <v>1186</v>
      </c>
      <c r="D945" s="81" t="s">
        <v>478</v>
      </c>
      <c r="E945" s="132">
        <f>360/90</f>
        <v>4</v>
      </c>
      <c r="F945" s="82" t="s">
        <v>39</v>
      </c>
      <c r="G945" s="214">
        <v>60000</v>
      </c>
      <c r="H945" s="211">
        <v>1</v>
      </c>
      <c r="I945" s="196"/>
    </row>
    <row r="946" spans="1:9" ht="25" customHeight="1">
      <c r="A946" s="128"/>
      <c r="B946" s="129" t="s">
        <v>1188</v>
      </c>
      <c r="C946" s="130" t="s">
        <v>1186</v>
      </c>
      <c r="D946" s="81" t="s">
        <v>625</v>
      </c>
      <c r="E946" s="132">
        <f>360/90</f>
        <v>4</v>
      </c>
      <c r="F946" s="82" t="s">
        <v>39</v>
      </c>
      <c r="G946" s="214">
        <v>90000</v>
      </c>
      <c r="H946" s="211">
        <v>1</v>
      </c>
      <c r="I946" s="196"/>
    </row>
    <row r="947" spans="1:9" ht="25" customHeight="1">
      <c r="A947" s="128"/>
      <c r="B947" s="129" t="s">
        <v>1189</v>
      </c>
      <c r="C947" s="130" t="s">
        <v>1186</v>
      </c>
      <c r="D947" s="81" t="s">
        <v>1117</v>
      </c>
      <c r="E947" s="132">
        <f>360/72</f>
        <v>5</v>
      </c>
      <c r="F947" s="82" t="s">
        <v>39</v>
      </c>
      <c r="G947" s="214">
        <v>120000</v>
      </c>
      <c r="H947" s="211">
        <v>1</v>
      </c>
      <c r="I947" s="196"/>
    </row>
    <row r="948" spans="1:9" ht="25" customHeight="1">
      <c r="A948" s="128"/>
      <c r="B948" s="129" t="s">
        <v>1190</v>
      </c>
      <c r="C948" s="130" t="s">
        <v>1186</v>
      </c>
      <c r="D948" s="81" t="s">
        <v>629</v>
      </c>
      <c r="E948" s="132">
        <f>360/72</f>
        <v>5</v>
      </c>
      <c r="F948" s="82" t="s">
        <v>39</v>
      </c>
      <c r="G948" s="214">
        <v>150000</v>
      </c>
      <c r="H948" s="211">
        <v>1</v>
      </c>
      <c r="I948" s="196"/>
    </row>
    <row r="949" spans="1:9" ht="25" customHeight="1">
      <c r="A949" s="128"/>
      <c r="B949" s="129" t="s">
        <v>1191</v>
      </c>
      <c r="C949" s="130" t="s">
        <v>1186</v>
      </c>
      <c r="D949" s="81" t="s">
        <v>1120</v>
      </c>
      <c r="E949" s="132">
        <f>360/54</f>
        <v>6.666666666666667</v>
      </c>
      <c r="F949" s="82" t="s">
        <v>39</v>
      </c>
      <c r="G949" s="214">
        <v>180000</v>
      </c>
      <c r="H949" s="211">
        <v>1</v>
      </c>
      <c r="I949" s="196"/>
    </row>
    <row r="950" spans="1:9" ht="25" customHeight="1">
      <c r="A950" s="128"/>
      <c r="B950" s="129" t="s">
        <v>1192</v>
      </c>
      <c r="C950" s="130" t="s">
        <v>1186</v>
      </c>
      <c r="D950" s="81" t="s">
        <v>1122</v>
      </c>
      <c r="E950" s="132">
        <f>360/54</f>
        <v>6.666666666666667</v>
      </c>
      <c r="F950" s="82" t="s">
        <v>39</v>
      </c>
      <c r="G950" s="214">
        <v>225000</v>
      </c>
      <c r="H950" s="211">
        <v>1</v>
      </c>
      <c r="I950" s="196"/>
    </row>
    <row r="951" spans="1:9" ht="25" customHeight="1">
      <c r="A951" s="128"/>
      <c r="B951" s="129" t="s">
        <v>1193</v>
      </c>
      <c r="C951" s="130" t="s">
        <v>1194</v>
      </c>
      <c r="D951" s="81" t="s">
        <v>63</v>
      </c>
      <c r="E951" s="132"/>
      <c r="F951" s="82" t="s">
        <v>39</v>
      </c>
      <c r="G951" s="214">
        <v>36000</v>
      </c>
      <c r="H951" s="211">
        <v>0.5</v>
      </c>
      <c r="I951" s="196"/>
    </row>
    <row r="952" spans="1:9" ht="25" customHeight="1">
      <c r="A952" s="128"/>
      <c r="B952" s="129" t="s">
        <v>1195</v>
      </c>
      <c r="C952" s="130" t="s">
        <v>1194</v>
      </c>
      <c r="D952" s="81" t="s">
        <v>478</v>
      </c>
      <c r="E952" s="132">
        <f>360/90</f>
        <v>4</v>
      </c>
      <c r="F952" s="82" t="s">
        <v>39</v>
      </c>
      <c r="G952" s="214">
        <v>60000</v>
      </c>
      <c r="H952" s="211">
        <v>0.5</v>
      </c>
      <c r="I952" s="196"/>
    </row>
    <row r="953" spans="1:9" ht="25" customHeight="1">
      <c r="A953" s="128"/>
      <c r="B953" s="129" t="s">
        <v>1196</v>
      </c>
      <c r="C953" s="130" t="s">
        <v>1194</v>
      </c>
      <c r="D953" s="81" t="s">
        <v>625</v>
      </c>
      <c r="E953" s="132">
        <f>360/90</f>
        <v>4</v>
      </c>
      <c r="F953" s="82" t="s">
        <v>39</v>
      </c>
      <c r="G953" s="214">
        <v>90000</v>
      </c>
      <c r="H953" s="211">
        <v>0.5</v>
      </c>
      <c r="I953" s="196"/>
    </row>
    <row r="954" spans="1:9" ht="25" customHeight="1">
      <c r="A954" s="128"/>
      <c r="B954" s="129" t="s">
        <v>1197</v>
      </c>
      <c r="C954" s="130" t="s">
        <v>1194</v>
      </c>
      <c r="D954" s="81" t="s">
        <v>1117</v>
      </c>
      <c r="E954" s="132">
        <f>360/72</f>
        <v>5</v>
      </c>
      <c r="F954" s="82" t="s">
        <v>39</v>
      </c>
      <c r="G954" s="214">
        <v>120000</v>
      </c>
      <c r="H954" s="211">
        <v>0.5</v>
      </c>
      <c r="I954" s="196"/>
    </row>
    <row r="955" spans="1:9" ht="25" customHeight="1">
      <c r="A955" s="128"/>
      <c r="B955" s="129" t="s">
        <v>1198</v>
      </c>
      <c r="C955" s="130" t="s">
        <v>1194</v>
      </c>
      <c r="D955" s="81" t="s">
        <v>629</v>
      </c>
      <c r="E955" s="132">
        <f>360/72</f>
        <v>5</v>
      </c>
      <c r="F955" s="82" t="s">
        <v>39</v>
      </c>
      <c r="G955" s="214">
        <v>150000</v>
      </c>
      <c r="H955" s="211">
        <v>0.5</v>
      </c>
      <c r="I955" s="196"/>
    </row>
    <row r="956" spans="1:9" ht="25" customHeight="1">
      <c r="A956" s="128"/>
      <c r="B956" s="129" t="s">
        <v>1199</v>
      </c>
      <c r="C956" s="130" t="s">
        <v>1194</v>
      </c>
      <c r="D956" s="81" t="s">
        <v>1120</v>
      </c>
      <c r="E956" s="132">
        <f>360/54</f>
        <v>6.666666666666667</v>
      </c>
      <c r="F956" s="82" t="s">
        <v>39</v>
      </c>
      <c r="G956" s="214">
        <v>180000</v>
      </c>
      <c r="H956" s="211">
        <v>0.5</v>
      </c>
      <c r="I956" s="196"/>
    </row>
    <row r="957" spans="1:9" ht="25" customHeight="1">
      <c r="A957" s="128"/>
      <c r="B957" s="129" t="s">
        <v>1200</v>
      </c>
      <c r="C957" s="130" t="s">
        <v>1194</v>
      </c>
      <c r="D957" s="81" t="s">
        <v>1122</v>
      </c>
      <c r="E957" s="132">
        <f>360/54</f>
        <v>6.666666666666667</v>
      </c>
      <c r="F957" s="82" t="s">
        <v>39</v>
      </c>
      <c r="G957" s="214">
        <v>225000</v>
      </c>
      <c r="H957" s="211">
        <v>0.5</v>
      </c>
      <c r="I957" s="196"/>
    </row>
    <row r="958" spans="1:9" ht="25" customHeight="1">
      <c r="A958" s="63"/>
      <c r="B958" s="106"/>
      <c r="C958" s="197" t="s">
        <v>1201</v>
      </c>
      <c r="D958" s="108"/>
      <c r="E958" s="66"/>
      <c r="F958" s="66"/>
      <c r="G958" s="109"/>
      <c r="H958" s="69"/>
      <c r="I958" s="68"/>
    </row>
    <row r="959" spans="1:9" ht="25" customHeight="1">
      <c r="A959" s="215"/>
      <c r="B959" s="216" t="s">
        <v>1202</v>
      </c>
      <c r="C959" s="217" t="s">
        <v>1203</v>
      </c>
      <c r="D959" s="218"/>
      <c r="E959" s="219"/>
      <c r="F959" s="74" t="s">
        <v>31</v>
      </c>
      <c r="G959" s="220">
        <v>10000</v>
      </c>
      <c r="H959" s="221">
        <v>1</v>
      </c>
      <c r="I959" s="222"/>
    </row>
    <row r="960" spans="1:9" ht="25" customHeight="1">
      <c r="A960" s="70"/>
      <c r="B960" s="71" t="s">
        <v>1204</v>
      </c>
      <c r="C960" s="123" t="s">
        <v>48</v>
      </c>
      <c r="D960" s="223"/>
      <c r="E960" s="74"/>
      <c r="F960" s="74" t="s">
        <v>31</v>
      </c>
      <c r="G960" s="224">
        <v>10000</v>
      </c>
      <c r="H960" s="225">
        <v>1</v>
      </c>
      <c r="I960" s="226"/>
    </row>
    <row r="961" spans="1:9" ht="25" customHeight="1">
      <c r="A961" s="70"/>
      <c r="B961" s="71" t="s">
        <v>1205</v>
      </c>
      <c r="C961" s="123" t="s">
        <v>1206</v>
      </c>
      <c r="D961" s="223"/>
      <c r="E961" s="74"/>
      <c r="F961" s="74" t="s">
        <v>31</v>
      </c>
      <c r="G961" s="224">
        <v>5000</v>
      </c>
      <c r="H961" s="225">
        <v>1</v>
      </c>
      <c r="I961" s="226"/>
    </row>
    <row r="962" spans="1:9" ht="25" customHeight="1">
      <c r="A962" s="78"/>
      <c r="B962" s="79" t="s">
        <v>1207</v>
      </c>
      <c r="C962" s="124" t="s">
        <v>1208</v>
      </c>
      <c r="D962" s="227"/>
      <c r="E962" s="82"/>
      <c r="F962" s="82" t="s">
        <v>31</v>
      </c>
      <c r="G962" s="224">
        <v>5000</v>
      </c>
      <c r="H962" s="211">
        <v>1</v>
      </c>
      <c r="I962" s="196"/>
    </row>
    <row r="963" spans="1:9" ht="25" customHeight="1">
      <c r="A963" s="78"/>
      <c r="B963" s="79" t="s">
        <v>1209</v>
      </c>
      <c r="C963" s="124" t="s">
        <v>1210</v>
      </c>
      <c r="D963" s="227"/>
      <c r="E963" s="82"/>
      <c r="F963" s="82" t="s">
        <v>31</v>
      </c>
      <c r="G963" s="224">
        <v>5000</v>
      </c>
      <c r="H963" s="211">
        <v>1</v>
      </c>
      <c r="I963" s="196"/>
    </row>
    <row r="964" spans="1:9" ht="25" customHeight="1">
      <c r="A964" s="78"/>
      <c r="B964" s="79" t="s">
        <v>1211</v>
      </c>
      <c r="C964" s="124" t="s">
        <v>1212</v>
      </c>
      <c r="D964" s="227"/>
      <c r="E964" s="82"/>
      <c r="F964" s="82" t="s">
        <v>31</v>
      </c>
      <c r="G964" s="224">
        <v>5000</v>
      </c>
      <c r="H964" s="211">
        <v>1</v>
      </c>
      <c r="I964" s="196"/>
    </row>
    <row r="965" spans="1:9" ht="25" customHeight="1">
      <c r="A965" s="78"/>
      <c r="B965" s="79" t="s">
        <v>1213</v>
      </c>
      <c r="C965" s="124" t="s">
        <v>1214</v>
      </c>
      <c r="D965" s="227"/>
      <c r="E965" s="82"/>
      <c r="F965" s="82" t="s">
        <v>31</v>
      </c>
      <c r="G965" s="224">
        <v>5000</v>
      </c>
      <c r="H965" s="211">
        <v>1</v>
      </c>
      <c r="I965" s="196"/>
    </row>
    <row r="966" spans="1:9" ht="25" customHeight="1">
      <c r="A966" s="78"/>
      <c r="B966" s="79" t="s">
        <v>1215</v>
      </c>
      <c r="C966" s="124" t="s">
        <v>1216</v>
      </c>
      <c r="D966" s="227"/>
      <c r="E966" s="82"/>
      <c r="F966" s="82" t="s">
        <v>31</v>
      </c>
      <c r="G966" s="224">
        <v>5000</v>
      </c>
      <c r="H966" s="211">
        <v>1</v>
      </c>
      <c r="I966" s="196"/>
    </row>
    <row r="967" spans="1:9" ht="25" customHeight="1">
      <c r="A967" s="128"/>
      <c r="B967" s="129" t="s">
        <v>1217</v>
      </c>
      <c r="C967" s="130" t="s">
        <v>1218</v>
      </c>
      <c r="D967" s="213"/>
      <c r="E967" s="132"/>
      <c r="F967" s="82" t="s">
        <v>31</v>
      </c>
      <c r="G967" s="224">
        <v>5000</v>
      </c>
      <c r="H967" s="211">
        <v>1</v>
      </c>
      <c r="I967" s="196"/>
    </row>
    <row r="968" spans="1:9" ht="25" customHeight="1">
      <c r="A968" s="85"/>
      <c r="B968" s="86" t="s">
        <v>1219</v>
      </c>
      <c r="C968" s="125" t="s">
        <v>1220</v>
      </c>
      <c r="D968" s="228"/>
      <c r="E968" s="89"/>
      <c r="F968" s="89" t="s">
        <v>31</v>
      </c>
      <c r="G968" s="224">
        <v>5000</v>
      </c>
      <c r="H968" s="211">
        <v>1</v>
      </c>
      <c r="I968" s="196"/>
    </row>
    <row r="969" spans="1:9" ht="25" customHeight="1">
      <c r="A969" s="85"/>
      <c r="B969" s="86" t="s">
        <v>1221</v>
      </c>
      <c r="C969" s="125" t="s">
        <v>1222</v>
      </c>
      <c r="D969" s="228"/>
      <c r="E969" s="89"/>
      <c r="F969" s="89" t="s">
        <v>31</v>
      </c>
      <c r="G969" s="224">
        <v>5000</v>
      </c>
      <c r="H969" s="211">
        <v>1</v>
      </c>
      <c r="I969" s="196"/>
    </row>
    <row r="970" spans="1:9" ht="25" customHeight="1">
      <c r="A970" s="85"/>
      <c r="B970" s="86" t="s">
        <v>1223</v>
      </c>
      <c r="C970" s="125" t="s">
        <v>1224</v>
      </c>
      <c r="D970" s="228"/>
      <c r="E970" s="89"/>
      <c r="F970" s="89" t="s">
        <v>31</v>
      </c>
      <c r="G970" s="224">
        <v>5000</v>
      </c>
      <c r="H970" s="211">
        <v>1</v>
      </c>
      <c r="I970" s="196"/>
    </row>
    <row r="971" spans="1:9" ht="25" customHeight="1">
      <c r="A971" s="85"/>
      <c r="B971" s="86" t="s">
        <v>1225</v>
      </c>
      <c r="C971" s="125" t="s">
        <v>1226</v>
      </c>
      <c r="D971" s="228"/>
      <c r="E971" s="89"/>
      <c r="F971" s="89" t="s">
        <v>31</v>
      </c>
      <c r="G971" s="224">
        <v>5000</v>
      </c>
      <c r="H971" s="211">
        <v>1</v>
      </c>
      <c r="I971" s="196"/>
    </row>
    <row r="972" spans="1:9" ht="25" customHeight="1">
      <c r="A972" s="85"/>
      <c r="B972" s="86" t="s">
        <v>1227</v>
      </c>
      <c r="C972" s="125" t="s">
        <v>1228</v>
      </c>
      <c r="D972" s="228"/>
      <c r="E972" s="89"/>
      <c r="F972" s="89" t="s">
        <v>31</v>
      </c>
      <c r="G972" s="224">
        <v>5000</v>
      </c>
      <c r="H972" s="211">
        <v>1</v>
      </c>
      <c r="I972" s="196"/>
    </row>
    <row r="973" spans="1:9" ht="25" customHeight="1">
      <c r="A973" s="85"/>
      <c r="B973" s="86" t="s">
        <v>1229</v>
      </c>
      <c r="C973" s="125" t="s">
        <v>1230</v>
      </c>
      <c r="D973" s="228"/>
      <c r="E973" s="89"/>
      <c r="F973" s="89" t="s">
        <v>31</v>
      </c>
      <c r="G973" s="224">
        <v>5000</v>
      </c>
      <c r="H973" s="211">
        <v>1</v>
      </c>
      <c r="I973" s="196"/>
    </row>
    <row r="974" spans="1:9" ht="25" customHeight="1">
      <c r="A974" s="85"/>
      <c r="B974" s="86" t="s">
        <v>1231</v>
      </c>
      <c r="C974" s="125" t="s">
        <v>1232</v>
      </c>
      <c r="D974" s="228"/>
      <c r="E974" s="89"/>
      <c r="F974" s="89" t="s">
        <v>31</v>
      </c>
      <c r="G974" s="224">
        <v>5000</v>
      </c>
      <c r="H974" s="211">
        <v>1</v>
      </c>
      <c r="I974" s="196"/>
    </row>
    <row r="975" spans="1:9" ht="25" customHeight="1">
      <c r="A975" s="85"/>
      <c r="B975" s="86" t="s">
        <v>1233</v>
      </c>
      <c r="C975" s="125" t="s">
        <v>1234</v>
      </c>
      <c r="D975" s="228"/>
      <c r="E975" s="89"/>
      <c r="F975" s="89" t="s">
        <v>31</v>
      </c>
      <c r="G975" s="224">
        <v>5000</v>
      </c>
      <c r="H975" s="211">
        <v>1</v>
      </c>
      <c r="I975" s="196"/>
    </row>
    <row r="976" spans="1:9" ht="25" customHeight="1">
      <c r="A976" s="85"/>
      <c r="B976" s="86" t="s">
        <v>1235</v>
      </c>
      <c r="C976" s="125" t="s">
        <v>1236</v>
      </c>
      <c r="D976" s="228"/>
      <c r="E976" s="89"/>
      <c r="F976" s="89" t="s">
        <v>31</v>
      </c>
      <c r="G976" s="224">
        <v>5000</v>
      </c>
      <c r="H976" s="211">
        <v>1</v>
      </c>
      <c r="I976" s="196"/>
    </row>
    <row r="977" spans="1:9" ht="25" customHeight="1">
      <c r="A977" s="85"/>
      <c r="B977" s="86" t="s">
        <v>1237</v>
      </c>
      <c r="C977" s="125" t="s">
        <v>1238</v>
      </c>
      <c r="D977" s="228"/>
      <c r="E977" s="89"/>
      <c r="F977" s="89" t="s">
        <v>31</v>
      </c>
      <c r="G977" s="224">
        <v>5000</v>
      </c>
      <c r="H977" s="211">
        <v>1</v>
      </c>
      <c r="I977" s="196"/>
    </row>
    <row r="978" spans="1:9" ht="25" customHeight="1">
      <c r="A978" s="85"/>
      <c r="B978" s="86" t="s">
        <v>1239</v>
      </c>
      <c r="C978" s="125" t="s">
        <v>1240</v>
      </c>
      <c r="D978" s="228"/>
      <c r="E978" s="89"/>
      <c r="F978" s="89" t="s">
        <v>31</v>
      </c>
      <c r="G978" s="224">
        <v>5000</v>
      </c>
      <c r="H978" s="211">
        <v>1</v>
      </c>
      <c r="I978" s="196"/>
    </row>
    <row r="979" spans="1:9" ht="25" customHeight="1">
      <c r="A979" s="85"/>
      <c r="B979" s="86" t="s">
        <v>1241</v>
      </c>
      <c r="C979" s="125" t="s">
        <v>1242</v>
      </c>
      <c r="D979" s="228"/>
      <c r="E979" s="89"/>
      <c r="F979" s="89" t="s">
        <v>31</v>
      </c>
      <c r="G979" s="224">
        <v>5000</v>
      </c>
      <c r="H979" s="211">
        <v>1</v>
      </c>
      <c r="I979" s="196"/>
    </row>
    <row r="980" spans="1:9" ht="25" customHeight="1">
      <c r="A980" s="85"/>
      <c r="B980" s="86" t="s">
        <v>1243</v>
      </c>
      <c r="C980" s="125" t="s">
        <v>1244</v>
      </c>
      <c r="D980" s="228"/>
      <c r="E980" s="89"/>
      <c r="F980" s="89" t="s">
        <v>31</v>
      </c>
      <c r="G980" s="224">
        <v>5000</v>
      </c>
      <c r="H980" s="211">
        <v>1</v>
      </c>
      <c r="I980" s="196"/>
    </row>
    <row r="981" spans="1:9" ht="25" customHeight="1">
      <c r="A981" s="85"/>
      <c r="B981" s="86" t="s">
        <v>1245</v>
      </c>
      <c r="C981" s="125" t="s">
        <v>1246</v>
      </c>
      <c r="D981" s="228"/>
      <c r="E981" s="89"/>
      <c r="F981" s="89" t="s">
        <v>31</v>
      </c>
      <c r="G981" s="224">
        <v>5000</v>
      </c>
      <c r="H981" s="211">
        <v>1</v>
      </c>
      <c r="I981" s="196"/>
    </row>
    <row r="982" spans="1:9" ht="25" customHeight="1">
      <c r="A982" s="85"/>
      <c r="B982" s="86" t="s">
        <v>1247</v>
      </c>
      <c r="C982" s="125" t="s">
        <v>1248</v>
      </c>
      <c r="D982" s="228"/>
      <c r="E982" s="89"/>
      <c r="F982" s="89" t="s">
        <v>31</v>
      </c>
      <c r="G982" s="224">
        <v>5000</v>
      </c>
      <c r="H982" s="211">
        <v>1</v>
      </c>
      <c r="I982" s="196"/>
    </row>
    <row r="983" spans="1:9" ht="25" customHeight="1">
      <c r="A983" s="85"/>
      <c r="B983" s="86" t="s">
        <v>1249</v>
      </c>
      <c r="C983" s="125" t="s">
        <v>1250</v>
      </c>
      <c r="D983" s="228"/>
      <c r="E983" s="89"/>
      <c r="F983" s="89" t="s">
        <v>31</v>
      </c>
      <c r="G983" s="224">
        <v>5000</v>
      </c>
      <c r="H983" s="211">
        <v>1</v>
      </c>
      <c r="I983" s="196"/>
    </row>
    <row r="984" spans="1:9" ht="25" customHeight="1">
      <c r="A984" s="85"/>
      <c r="B984" s="86" t="s">
        <v>1251</v>
      </c>
      <c r="C984" s="125" t="s">
        <v>1252</v>
      </c>
      <c r="D984" s="228"/>
      <c r="E984" s="89"/>
      <c r="F984" s="89" t="s">
        <v>31</v>
      </c>
      <c r="G984" s="229">
        <v>20000</v>
      </c>
      <c r="H984" s="211">
        <v>1</v>
      </c>
      <c r="I984" s="196"/>
    </row>
    <row r="985" spans="1:9" ht="25" customHeight="1">
      <c r="A985" s="85"/>
      <c r="B985" s="86" t="s">
        <v>1253</v>
      </c>
      <c r="C985" s="125" t="s">
        <v>1254</v>
      </c>
      <c r="D985" s="228"/>
      <c r="E985" s="89"/>
      <c r="F985" s="89" t="s">
        <v>31</v>
      </c>
      <c r="G985" s="229">
        <v>20000</v>
      </c>
      <c r="H985" s="211">
        <v>1</v>
      </c>
      <c r="I985" s="196"/>
    </row>
    <row r="986" spans="1:9" ht="25" customHeight="1">
      <c r="A986" s="85"/>
      <c r="B986" s="86" t="s">
        <v>1255</v>
      </c>
      <c r="C986" s="125" t="s">
        <v>1256</v>
      </c>
      <c r="D986" s="228"/>
      <c r="E986" s="89"/>
      <c r="F986" s="89" t="s">
        <v>31</v>
      </c>
      <c r="G986" s="229">
        <v>20000</v>
      </c>
      <c r="H986" s="211">
        <v>1</v>
      </c>
      <c r="I986" s="196"/>
    </row>
    <row r="987" spans="1:9" ht="25" customHeight="1">
      <c r="A987" s="85"/>
      <c r="B987" s="86" t="s">
        <v>1257</v>
      </c>
      <c r="C987" s="125" t="s">
        <v>1258</v>
      </c>
      <c r="D987" s="228"/>
      <c r="E987" s="89"/>
      <c r="F987" s="89" t="s">
        <v>31</v>
      </c>
      <c r="G987" s="229">
        <v>20000</v>
      </c>
      <c r="H987" s="211">
        <v>1</v>
      </c>
      <c r="I987" s="196"/>
    </row>
    <row r="988" spans="1:9" s="48" customFormat="1" ht="25" customHeight="1">
      <c r="A988" s="230"/>
      <c r="B988" s="230"/>
      <c r="C988" s="255" t="s">
        <v>1259</v>
      </c>
      <c r="D988" s="230"/>
      <c r="E988" s="231"/>
      <c r="F988" s="230"/>
      <c r="G988" s="232"/>
      <c r="H988" s="233"/>
      <c r="I988" s="232"/>
    </row>
    <row r="989" spans="1:9" ht="25" customHeight="1">
      <c r="A989" s="63"/>
      <c r="B989" s="106"/>
      <c r="C989" s="197" t="s">
        <v>1260</v>
      </c>
      <c r="D989" s="108"/>
      <c r="E989" s="66"/>
      <c r="F989" s="66"/>
      <c r="G989" s="109"/>
      <c r="H989" s="69"/>
      <c r="I989" s="68"/>
    </row>
    <row r="990" spans="1:9" ht="25" customHeight="1">
      <c r="A990" s="78"/>
      <c r="B990" s="79" t="s">
        <v>1261</v>
      </c>
      <c r="C990" s="124" t="s">
        <v>1260</v>
      </c>
      <c r="D990" s="81" t="s">
        <v>263</v>
      </c>
      <c r="E990" s="82"/>
      <c r="F990" s="82" t="s">
        <v>39</v>
      </c>
      <c r="G990" s="214">
        <v>30000</v>
      </c>
      <c r="H990" s="110">
        <v>1</v>
      </c>
      <c r="I990" s="84"/>
    </row>
    <row r="991" spans="1:9" ht="25" customHeight="1">
      <c r="A991" s="78"/>
      <c r="B991" s="79" t="s">
        <v>1262</v>
      </c>
      <c r="C991" s="124" t="s">
        <v>1260</v>
      </c>
      <c r="D991" s="81" t="s">
        <v>1263</v>
      </c>
      <c r="E991" s="82"/>
      <c r="F991" s="82" t="s">
        <v>39</v>
      </c>
      <c r="G991" s="214">
        <v>50000</v>
      </c>
      <c r="H991" s="110">
        <v>1</v>
      </c>
      <c r="I991" s="84"/>
    </row>
    <row r="992" spans="1:9" ht="25" customHeight="1">
      <c r="A992" s="78"/>
      <c r="B992" s="79" t="s">
        <v>1264</v>
      </c>
      <c r="C992" s="124" t="s">
        <v>1260</v>
      </c>
      <c r="D992" s="81" t="s">
        <v>1265</v>
      </c>
      <c r="E992" s="82"/>
      <c r="F992" s="82" t="s">
        <v>39</v>
      </c>
      <c r="G992" s="214">
        <v>60000</v>
      </c>
      <c r="H992" s="110">
        <v>1</v>
      </c>
      <c r="I992" s="84"/>
    </row>
    <row r="993" spans="1:10" ht="25" customHeight="1">
      <c r="A993" s="78"/>
      <c r="B993" s="79" t="s">
        <v>1266</v>
      </c>
      <c r="C993" s="124" t="s">
        <v>1260</v>
      </c>
      <c r="D993" s="81" t="s">
        <v>1267</v>
      </c>
      <c r="E993" s="82"/>
      <c r="F993" s="82" t="s">
        <v>39</v>
      </c>
      <c r="G993" s="214">
        <v>10000</v>
      </c>
      <c r="H993" s="110">
        <v>1</v>
      </c>
      <c r="I993" s="84"/>
    </row>
    <row r="994" spans="1:10" ht="25" customHeight="1">
      <c r="A994" s="63"/>
      <c r="B994" s="106"/>
      <c r="C994" s="197" t="s">
        <v>1268</v>
      </c>
      <c r="D994" s="108"/>
      <c r="E994" s="66"/>
      <c r="F994" s="66"/>
      <c r="G994" s="109"/>
      <c r="H994" s="69"/>
      <c r="I994" s="68"/>
    </row>
    <row r="995" spans="1:10" ht="25" customHeight="1">
      <c r="A995" s="78"/>
      <c r="B995" s="79" t="s">
        <v>1269</v>
      </c>
      <c r="C995" s="124" t="s">
        <v>1268</v>
      </c>
      <c r="D995" s="81" t="s">
        <v>263</v>
      </c>
      <c r="E995" s="82"/>
      <c r="F995" s="82" t="s">
        <v>39</v>
      </c>
      <c r="G995" s="214">
        <v>30000</v>
      </c>
      <c r="H995" s="110">
        <v>1</v>
      </c>
      <c r="I995" s="84"/>
    </row>
    <row r="996" spans="1:10" ht="25" customHeight="1">
      <c r="A996" s="78"/>
      <c r="B996" s="79" t="s">
        <v>1270</v>
      </c>
      <c r="C996" s="124" t="s">
        <v>1268</v>
      </c>
      <c r="D996" s="81" t="s">
        <v>480</v>
      </c>
      <c r="E996" s="82"/>
      <c r="F996" s="82" t="s">
        <v>39</v>
      </c>
      <c r="G996" s="214">
        <v>50000</v>
      </c>
      <c r="H996" s="110">
        <v>1</v>
      </c>
      <c r="I996" s="84"/>
    </row>
    <row r="997" spans="1:10" ht="25" customHeight="1">
      <c r="A997" s="78"/>
      <c r="B997" s="79" t="s">
        <v>1271</v>
      </c>
      <c r="C997" s="124" t="s">
        <v>1268</v>
      </c>
      <c r="D997" s="81" t="s">
        <v>998</v>
      </c>
      <c r="E997" s="82"/>
      <c r="F997" s="82" t="s">
        <v>39</v>
      </c>
      <c r="G997" s="214">
        <v>60000</v>
      </c>
      <c r="H997" s="110">
        <v>1</v>
      </c>
      <c r="I997" s="84"/>
    </row>
    <row r="998" spans="1:10" ht="25" customHeight="1">
      <c r="A998" s="78"/>
      <c r="B998" s="79" t="s">
        <v>1272</v>
      </c>
      <c r="C998" s="124" t="s">
        <v>1268</v>
      </c>
      <c r="D998" s="81" t="s">
        <v>998</v>
      </c>
      <c r="E998" s="82"/>
      <c r="F998" s="82" t="s">
        <v>39</v>
      </c>
      <c r="G998" s="214">
        <v>90000</v>
      </c>
      <c r="H998" s="110">
        <v>1</v>
      </c>
      <c r="I998" s="84"/>
    </row>
    <row r="999" spans="1:10" ht="25" customHeight="1">
      <c r="A999" s="63"/>
      <c r="B999" s="106"/>
      <c r="C999" s="197" t="s">
        <v>1273</v>
      </c>
      <c r="D999" s="108"/>
      <c r="E999" s="66"/>
      <c r="F999" s="66"/>
      <c r="G999" s="109"/>
      <c r="H999" s="69"/>
      <c r="I999" s="68"/>
    </row>
    <row r="1000" spans="1:10" ht="25" customHeight="1">
      <c r="A1000" s="128"/>
      <c r="B1000" s="129" t="s">
        <v>1274</v>
      </c>
      <c r="C1000" s="130" t="s">
        <v>1275</v>
      </c>
      <c r="D1000" s="213"/>
      <c r="E1000" s="132"/>
      <c r="F1000" s="82" t="s">
        <v>31</v>
      </c>
      <c r="G1000" s="209">
        <v>40000</v>
      </c>
      <c r="H1000" s="211">
        <v>1</v>
      </c>
      <c r="I1000" s="196"/>
      <c r="J1000" s="5" t="s">
        <v>700</v>
      </c>
    </row>
    <row r="1001" spans="1:10" ht="25" customHeight="1">
      <c r="A1001" s="128"/>
      <c r="B1001" s="129" t="s">
        <v>1276</v>
      </c>
      <c r="C1001" s="130" t="s">
        <v>1277</v>
      </c>
      <c r="D1001" s="213"/>
      <c r="E1001" s="132"/>
      <c r="F1001" s="82" t="s">
        <v>31</v>
      </c>
      <c r="G1001" s="209">
        <v>40000</v>
      </c>
      <c r="H1001" s="211">
        <v>0.5</v>
      </c>
      <c r="I1001" s="196"/>
      <c r="J1001" s="5" t="s">
        <v>700</v>
      </c>
    </row>
    <row r="1002" spans="1:10" ht="25" customHeight="1">
      <c r="A1002" s="128"/>
      <c r="B1002" s="129" t="s">
        <v>1278</v>
      </c>
      <c r="C1002" s="130" t="s">
        <v>1279</v>
      </c>
      <c r="D1002" s="213"/>
      <c r="E1002" s="132"/>
      <c r="F1002" s="82" t="s">
        <v>31</v>
      </c>
      <c r="G1002" s="209">
        <v>40000</v>
      </c>
      <c r="H1002" s="211">
        <v>1</v>
      </c>
      <c r="I1002" s="196"/>
      <c r="J1002" s="5" t="s">
        <v>700</v>
      </c>
    </row>
    <row r="1003" spans="1:10" ht="25" customHeight="1">
      <c r="A1003" s="128"/>
      <c r="B1003" s="129" t="s">
        <v>1280</v>
      </c>
      <c r="C1003" s="130" t="s">
        <v>1279</v>
      </c>
      <c r="D1003" s="81" t="s">
        <v>1022</v>
      </c>
      <c r="E1003" s="132"/>
      <c r="F1003" s="82" t="s">
        <v>31</v>
      </c>
      <c r="G1003" s="209">
        <v>40000</v>
      </c>
      <c r="H1003" s="211">
        <v>1</v>
      </c>
      <c r="I1003" s="196"/>
      <c r="J1003" s="5" t="s">
        <v>969</v>
      </c>
    </row>
    <row r="1004" spans="1:10" ht="25" customHeight="1">
      <c r="A1004" s="128"/>
      <c r="B1004" s="129" t="s">
        <v>1281</v>
      </c>
      <c r="C1004" s="130" t="s">
        <v>1279</v>
      </c>
      <c r="D1004" s="81" t="s">
        <v>1282</v>
      </c>
      <c r="E1004" s="132"/>
      <c r="F1004" s="82" t="s">
        <v>31</v>
      </c>
      <c r="G1004" s="209">
        <v>40000</v>
      </c>
      <c r="H1004" s="211">
        <v>1</v>
      </c>
      <c r="I1004" s="196"/>
      <c r="J1004" s="5" t="s">
        <v>969</v>
      </c>
    </row>
    <row r="1005" spans="1:10" ht="25" customHeight="1">
      <c r="A1005" s="128"/>
      <c r="B1005" s="129" t="s">
        <v>1283</v>
      </c>
      <c r="C1005" s="130" t="s">
        <v>1284</v>
      </c>
      <c r="D1005" s="131" t="s">
        <v>1285</v>
      </c>
      <c r="E1005" s="132"/>
      <c r="F1005" s="82" t="s">
        <v>1286</v>
      </c>
      <c r="G1005" s="209">
        <v>40000</v>
      </c>
      <c r="H1005" s="211">
        <v>1</v>
      </c>
      <c r="I1005" s="196"/>
      <c r="J1005" s="5" t="s">
        <v>700</v>
      </c>
    </row>
    <row r="1006" spans="1:10" ht="25" customHeight="1">
      <c r="A1006" s="128"/>
      <c r="B1006" s="129" t="s">
        <v>1287</v>
      </c>
      <c r="C1006" s="130" t="s">
        <v>1288</v>
      </c>
      <c r="D1006" s="81"/>
      <c r="E1006" s="132"/>
      <c r="F1006" s="82" t="s">
        <v>31</v>
      </c>
      <c r="G1006" s="209">
        <v>40000</v>
      </c>
      <c r="H1006" s="211">
        <v>1</v>
      </c>
      <c r="I1006" s="196"/>
      <c r="J1006" s="5" t="s">
        <v>700</v>
      </c>
    </row>
    <row r="1007" spans="1:10" ht="25" customHeight="1">
      <c r="A1007" s="128"/>
      <c r="B1007" s="129" t="s">
        <v>1289</v>
      </c>
      <c r="C1007" s="130" t="s">
        <v>1288</v>
      </c>
      <c r="D1007" s="81" t="s">
        <v>66</v>
      </c>
      <c r="E1007" s="132"/>
      <c r="F1007" s="82" t="s">
        <v>31</v>
      </c>
      <c r="G1007" s="209">
        <v>40000</v>
      </c>
      <c r="H1007" s="211">
        <v>1</v>
      </c>
      <c r="I1007" s="196"/>
      <c r="J1007" s="5" t="s">
        <v>969</v>
      </c>
    </row>
    <row r="1008" spans="1:10" ht="25" customHeight="1">
      <c r="A1008" s="128"/>
      <c r="B1008" s="129" t="s">
        <v>1290</v>
      </c>
      <c r="C1008" s="130" t="s">
        <v>1288</v>
      </c>
      <c r="D1008" s="81" t="s">
        <v>68</v>
      </c>
      <c r="E1008" s="132"/>
      <c r="F1008" s="82" t="s">
        <v>31</v>
      </c>
      <c r="G1008" s="209">
        <v>40000</v>
      </c>
      <c r="H1008" s="211">
        <v>1</v>
      </c>
      <c r="I1008" s="196"/>
      <c r="J1008" s="5" t="s">
        <v>969</v>
      </c>
    </row>
    <row r="1009" spans="1:10" ht="25" customHeight="1">
      <c r="A1009" s="128"/>
      <c r="B1009" s="129" t="s">
        <v>1291</v>
      </c>
      <c r="C1009" s="130" t="s">
        <v>1292</v>
      </c>
      <c r="D1009" s="81"/>
      <c r="E1009" s="132"/>
      <c r="F1009" s="82" t="s">
        <v>31</v>
      </c>
      <c r="G1009" s="209">
        <v>40000</v>
      </c>
      <c r="H1009" s="211">
        <v>1</v>
      </c>
      <c r="I1009" s="196"/>
      <c r="J1009" s="5" t="s">
        <v>700</v>
      </c>
    </row>
    <row r="1010" spans="1:10" ht="25" customHeight="1">
      <c r="A1010" s="128"/>
      <c r="B1010" s="129" t="s">
        <v>1293</v>
      </c>
      <c r="C1010" s="130" t="s">
        <v>1294</v>
      </c>
      <c r="D1010" s="81"/>
      <c r="E1010" s="132"/>
      <c r="F1010" s="82" t="s">
        <v>31</v>
      </c>
      <c r="G1010" s="209">
        <v>40000</v>
      </c>
      <c r="H1010" s="211">
        <v>0.5</v>
      </c>
      <c r="I1010" s="196"/>
      <c r="J1010" s="5" t="s">
        <v>700</v>
      </c>
    </row>
    <row r="1011" spans="1:10" ht="25" customHeight="1">
      <c r="A1011" s="128"/>
      <c r="B1011" s="129" t="s">
        <v>1295</v>
      </c>
      <c r="C1011" s="130" t="s">
        <v>1296</v>
      </c>
      <c r="D1011" s="81"/>
      <c r="E1011" s="132"/>
      <c r="F1011" s="82" t="s">
        <v>31</v>
      </c>
      <c r="G1011" s="209">
        <v>40000</v>
      </c>
      <c r="H1011" s="211">
        <v>1</v>
      </c>
      <c r="I1011" s="196"/>
      <c r="J1011" s="5" t="s">
        <v>700</v>
      </c>
    </row>
    <row r="1012" spans="1:10" ht="25" customHeight="1">
      <c r="A1012" s="128"/>
      <c r="B1012" s="129" t="s">
        <v>1297</v>
      </c>
      <c r="C1012" s="130" t="s">
        <v>1296</v>
      </c>
      <c r="D1012" s="81" t="s">
        <v>968</v>
      </c>
      <c r="E1012" s="132"/>
      <c r="F1012" s="82" t="s">
        <v>31</v>
      </c>
      <c r="G1012" s="209">
        <v>40000</v>
      </c>
      <c r="H1012" s="211">
        <v>1</v>
      </c>
      <c r="I1012" s="196"/>
      <c r="J1012" s="5" t="s">
        <v>969</v>
      </c>
    </row>
    <row r="1013" spans="1:10" ht="25" customHeight="1">
      <c r="A1013" s="128"/>
      <c r="B1013" s="129" t="s">
        <v>1298</v>
      </c>
      <c r="C1013" s="130" t="s">
        <v>1299</v>
      </c>
      <c r="D1013" s="213"/>
      <c r="E1013" s="132"/>
      <c r="F1013" s="82" t="s">
        <v>31</v>
      </c>
      <c r="G1013" s="209">
        <v>40000</v>
      </c>
      <c r="H1013" s="211">
        <v>1</v>
      </c>
      <c r="I1013" s="196"/>
      <c r="J1013" s="5" t="s">
        <v>700</v>
      </c>
    </row>
    <row r="1014" spans="1:10" ht="25" customHeight="1">
      <c r="A1014" s="128"/>
      <c r="B1014" s="129" t="s">
        <v>1300</v>
      </c>
      <c r="C1014" s="130" t="s">
        <v>1301</v>
      </c>
      <c r="D1014" s="81" t="s">
        <v>1302</v>
      </c>
      <c r="E1014" s="132"/>
      <c r="F1014" s="82" t="s">
        <v>31</v>
      </c>
      <c r="G1014" s="209">
        <v>40000</v>
      </c>
      <c r="H1014" s="211">
        <v>1</v>
      </c>
      <c r="I1014" s="196"/>
      <c r="J1014" s="5" t="s">
        <v>969</v>
      </c>
    </row>
    <row r="1015" spans="1:10" ht="25" customHeight="1">
      <c r="A1015" s="128"/>
      <c r="B1015" s="129" t="s">
        <v>1303</v>
      </c>
      <c r="C1015" s="130" t="s">
        <v>1304</v>
      </c>
      <c r="D1015" s="81" t="s">
        <v>1305</v>
      </c>
      <c r="E1015" s="132"/>
      <c r="F1015" s="82" t="s">
        <v>31</v>
      </c>
      <c r="G1015" s="209">
        <v>40000</v>
      </c>
      <c r="H1015" s="211">
        <v>1</v>
      </c>
      <c r="I1015" s="196"/>
      <c r="J1015" s="5" t="s">
        <v>969</v>
      </c>
    </row>
    <row r="1016" spans="1:10" ht="25" customHeight="1">
      <c r="A1016" s="128"/>
      <c r="B1016" s="129" t="s">
        <v>1306</v>
      </c>
      <c r="C1016" s="130" t="s">
        <v>1307</v>
      </c>
      <c r="D1016" s="81" t="s">
        <v>984</v>
      </c>
      <c r="E1016" s="132"/>
      <c r="F1016" s="82" t="s">
        <v>31</v>
      </c>
      <c r="G1016" s="209">
        <v>40000</v>
      </c>
      <c r="H1016" s="211">
        <v>1</v>
      </c>
      <c r="I1016" s="196"/>
      <c r="J1016" s="5" t="s">
        <v>969</v>
      </c>
    </row>
    <row r="1017" spans="1:10" ht="25" customHeight="1">
      <c r="A1017" s="128"/>
      <c r="B1017" s="129" t="s">
        <v>1308</v>
      </c>
      <c r="C1017" s="130" t="s">
        <v>1307</v>
      </c>
      <c r="D1017" s="81" t="s">
        <v>968</v>
      </c>
      <c r="E1017" s="132"/>
      <c r="F1017" s="82" t="s">
        <v>31</v>
      </c>
      <c r="G1017" s="209">
        <v>40000</v>
      </c>
      <c r="H1017" s="211">
        <v>1</v>
      </c>
      <c r="I1017" s="196"/>
      <c r="J1017" s="5" t="s">
        <v>969</v>
      </c>
    </row>
    <row r="1018" spans="1:10" ht="25" customHeight="1">
      <c r="A1018" s="128"/>
      <c r="B1018" s="129" t="s">
        <v>1309</v>
      </c>
      <c r="C1018" s="130" t="s">
        <v>1310</v>
      </c>
      <c r="D1018" s="81" t="s">
        <v>968</v>
      </c>
      <c r="E1018" s="132"/>
      <c r="F1018" s="82" t="s">
        <v>31</v>
      </c>
      <c r="G1018" s="209">
        <v>40000</v>
      </c>
      <c r="H1018" s="211">
        <v>0.5</v>
      </c>
      <c r="I1018" s="196"/>
      <c r="J1018" s="5" t="s">
        <v>969</v>
      </c>
    </row>
    <row r="1019" spans="1:10" ht="25" customHeight="1">
      <c r="A1019" s="128"/>
      <c r="B1019" s="129" t="s">
        <v>1311</v>
      </c>
      <c r="C1019" s="130" t="s">
        <v>1307</v>
      </c>
      <c r="D1019" s="81" t="s">
        <v>63</v>
      </c>
      <c r="E1019" s="132"/>
      <c r="F1019" s="82" t="s">
        <v>31</v>
      </c>
      <c r="G1019" s="209">
        <v>40000</v>
      </c>
      <c r="H1019" s="211">
        <v>1</v>
      </c>
      <c r="I1019" s="196"/>
      <c r="J1019" s="5" t="s">
        <v>700</v>
      </c>
    </row>
    <row r="1020" spans="1:10" ht="25" customHeight="1">
      <c r="A1020" s="128"/>
      <c r="B1020" s="129" t="s">
        <v>1312</v>
      </c>
      <c r="C1020" s="130" t="s">
        <v>1313</v>
      </c>
      <c r="D1020" s="81" t="s">
        <v>63</v>
      </c>
      <c r="E1020" s="132"/>
      <c r="F1020" s="82" t="s">
        <v>31</v>
      </c>
      <c r="G1020" s="209">
        <v>40000</v>
      </c>
      <c r="H1020" s="211">
        <v>1</v>
      </c>
      <c r="I1020" s="196"/>
      <c r="J1020" s="5" t="s">
        <v>700</v>
      </c>
    </row>
    <row r="1021" spans="1:10" ht="25" customHeight="1">
      <c r="A1021" s="128"/>
      <c r="B1021" s="129" t="s">
        <v>1314</v>
      </c>
      <c r="C1021" s="130" t="s">
        <v>1313</v>
      </c>
      <c r="D1021" s="81" t="s">
        <v>968</v>
      </c>
      <c r="E1021" s="132"/>
      <c r="F1021" s="82" t="s">
        <v>31</v>
      </c>
      <c r="G1021" s="209">
        <v>40000</v>
      </c>
      <c r="H1021" s="211">
        <v>1</v>
      </c>
      <c r="I1021" s="196"/>
      <c r="J1021" s="5" t="s">
        <v>969</v>
      </c>
    </row>
    <row r="1022" spans="1:10" ht="25" customHeight="1">
      <c r="A1022" s="128"/>
      <c r="B1022" s="129" t="s">
        <v>1315</v>
      </c>
      <c r="C1022" s="130" t="s">
        <v>1316</v>
      </c>
      <c r="D1022" s="131"/>
      <c r="E1022" s="132"/>
      <c r="F1022" s="82" t="s">
        <v>31</v>
      </c>
      <c r="G1022" s="209">
        <v>40000</v>
      </c>
      <c r="H1022" s="211">
        <v>1</v>
      </c>
      <c r="I1022" s="196"/>
      <c r="J1022" s="5" t="s">
        <v>700</v>
      </c>
    </row>
    <row r="1023" spans="1:10" ht="25" customHeight="1">
      <c r="A1023" s="128"/>
      <c r="B1023" s="129" t="s">
        <v>1317</v>
      </c>
      <c r="C1023" s="130" t="s">
        <v>1316</v>
      </c>
      <c r="D1023" s="81" t="s">
        <v>1318</v>
      </c>
      <c r="E1023" s="132"/>
      <c r="F1023" s="82" t="s">
        <v>31</v>
      </c>
      <c r="G1023" s="209">
        <v>40000</v>
      </c>
      <c r="H1023" s="211">
        <v>1</v>
      </c>
      <c r="I1023" s="196"/>
      <c r="J1023" s="5" t="s">
        <v>969</v>
      </c>
    </row>
    <row r="1024" spans="1:10" ht="25" customHeight="1">
      <c r="A1024" s="128"/>
      <c r="B1024" s="129" t="s">
        <v>1319</v>
      </c>
      <c r="C1024" s="130" t="s">
        <v>1316</v>
      </c>
      <c r="D1024" s="81" t="s">
        <v>1320</v>
      </c>
      <c r="E1024" s="132"/>
      <c r="F1024" s="82" t="s">
        <v>31</v>
      </c>
      <c r="G1024" s="209">
        <v>40000</v>
      </c>
      <c r="H1024" s="211">
        <v>1</v>
      </c>
      <c r="I1024" s="196"/>
      <c r="J1024" s="5" t="s">
        <v>969</v>
      </c>
    </row>
    <row r="1025" spans="1:10" ht="25" customHeight="1">
      <c r="A1025" s="128"/>
      <c r="B1025" s="129" t="s">
        <v>1321</v>
      </c>
      <c r="C1025" s="130" t="s">
        <v>1322</v>
      </c>
      <c r="D1025" s="81" t="s">
        <v>1318</v>
      </c>
      <c r="E1025" s="132"/>
      <c r="F1025" s="82" t="s">
        <v>31</v>
      </c>
      <c r="G1025" s="209">
        <v>40000</v>
      </c>
      <c r="H1025" s="211">
        <v>1</v>
      </c>
      <c r="I1025" s="196"/>
      <c r="J1025" s="5" t="s">
        <v>969</v>
      </c>
    </row>
    <row r="1026" spans="1:10" ht="25" customHeight="1">
      <c r="A1026" s="128"/>
      <c r="B1026" s="129" t="s">
        <v>1323</v>
      </c>
      <c r="C1026" s="130" t="s">
        <v>1324</v>
      </c>
      <c r="D1026" s="81"/>
      <c r="E1026" s="132"/>
      <c r="F1026" s="82" t="s">
        <v>31</v>
      </c>
      <c r="G1026" s="209">
        <v>40000</v>
      </c>
      <c r="H1026" s="211">
        <v>1</v>
      </c>
      <c r="I1026" s="196"/>
    </row>
    <row r="1027" spans="1:10" ht="25" customHeight="1">
      <c r="A1027" s="128"/>
      <c r="B1027" s="129" t="s">
        <v>1325</v>
      </c>
      <c r="C1027" s="130" t="s">
        <v>1326</v>
      </c>
      <c r="D1027" s="81" t="s">
        <v>68</v>
      </c>
      <c r="E1027" s="132">
        <v>1</v>
      </c>
      <c r="F1027" s="82" t="s">
        <v>39</v>
      </c>
      <c r="G1027" s="209">
        <v>120000</v>
      </c>
      <c r="H1027" s="211">
        <v>1</v>
      </c>
      <c r="I1027" s="196"/>
    </row>
    <row r="1028" spans="1:10" ht="25" customHeight="1">
      <c r="A1028" s="128"/>
      <c r="B1028" s="129" t="s">
        <v>1327</v>
      </c>
      <c r="C1028" s="130" t="s">
        <v>1328</v>
      </c>
      <c r="D1028" s="81" t="s">
        <v>478</v>
      </c>
      <c r="E1028" s="132"/>
      <c r="F1028" s="82" t="s">
        <v>31</v>
      </c>
      <c r="G1028" s="209">
        <v>40000</v>
      </c>
      <c r="H1028" s="211">
        <v>1</v>
      </c>
      <c r="I1028" s="196"/>
      <c r="J1028" s="5" t="s">
        <v>969</v>
      </c>
    </row>
    <row r="1029" spans="1:10" ht="25" customHeight="1">
      <c r="A1029" s="128"/>
      <c r="B1029" s="129" t="s">
        <v>1329</v>
      </c>
      <c r="C1029" s="130" t="s">
        <v>1328</v>
      </c>
      <c r="D1029" s="81" t="s">
        <v>40</v>
      </c>
      <c r="E1029" s="132"/>
      <c r="F1029" s="82" t="s">
        <v>31</v>
      </c>
      <c r="G1029" s="209">
        <v>40000</v>
      </c>
      <c r="H1029" s="211">
        <v>1</v>
      </c>
      <c r="I1029" s="196"/>
      <c r="J1029" s="5" t="s">
        <v>969</v>
      </c>
    </row>
    <row r="1030" spans="1:10" ht="25" customHeight="1">
      <c r="A1030" s="128"/>
      <c r="B1030" s="129" t="s">
        <v>1330</v>
      </c>
      <c r="C1030" s="130" t="s">
        <v>1331</v>
      </c>
      <c r="D1030" s="81" t="s">
        <v>40</v>
      </c>
      <c r="E1030" s="132"/>
      <c r="F1030" s="82" t="s">
        <v>39</v>
      </c>
      <c r="G1030" s="208"/>
      <c r="H1030" s="211">
        <v>0.3</v>
      </c>
      <c r="I1030" s="196"/>
    </row>
    <row r="1031" spans="1:10" ht="25" customHeight="1">
      <c r="A1031" s="128"/>
      <c r="B1031" s="129" t="s">
        <v>1332</v>
      </c>
      <c r="C1031" s="130" t="s">
        <v>1328</v>
      </c>
      <c r="D1031" s="81" t="s">
        <v>68</v>
      </c>
      <c r="E1031" s="132"/>
      <c r="F1031" s="82" t="s">
        <v>31</v>
      </c>
      <c r="G1031" s="209">
        <v>40000</v>
      </c>
      <c r="H1031" s="211">
        <v>1</v>
      </c>
      <c r="I1031" s="196"/>
      <c r="J1031" s="5" t="s">
        <v>969</v>
      </c>
    </row>
    <row r="1032" spans="1:10" ht="25" customHeight="1">
      <c r="A1032" s="128"/>
      <c r="B1032" s="129" t="s">
        <v>1333</v>
      </c>
      <c r="C1032" s="130" t="s">
        <v>1334</v>
      </c>
      <c r="D1032" s="81"/>
      <c r="E1032" s="132"/>
      <c r="F1032" s="82" t="s">
        <v>31</v>
      </c>
      <c r="G1032" s="209">
        <v>40000</v>
      </c>
      <c r="H1032" s="211">
        <v>1</v>
      </c>
      <c r="I1032" s="196"/>
      <c r="J1032" s="5" t="s">
        <v>969</v>
      </c>
    </row>
    <row r="1033" spans="1:10" ht="25" customHeight="1">
      <c r="A1033" s="128"/>
      <c r="B1033" s="129" t="s">
        <v>1335</v>
      </c>
      <c r="C1033" s="130" t="s">
        <v>1336</v>
      </c>
      <c r="D1033" s="81"/>
      <c r="E1033" s="132"/>
      <c r="F1033" s="82" t="s">
        <v>31</v>
      </c>
      <c r="G1033" s="209">
        <v>40000</v>
      </c>
      <c r="H1033" s="211">
        <v>1</v>
      </c>
      <c r="I1033" s="196"/>
    </row>
    <row r="1034" spans="1:10" ht="25" customHeight="1">
      <c r="A1034" s="128"/>
      <c r="B1034" s="129" t="s">
        <v>1337</v>
      </c>
      <c r="C1034" s="130" t="s">
        <v>1336</v>
      </c>
      <c r="D1034" s="81" t="s">
        <v>968</v>
      </c>
      <c r="E1034" s="132"/>
      <c r="F1034" s="82" t="s">
        <v>31</v>
      </c>
      <c r="G1034" s="209">
        <v>40000</v>
      </c>
      <c r="H1034" s="211">
        <v>1</v>
      </c>
      <c r="I1034" s="196"/>
      <c r="J1034" s="5" t="s">
        <v>969</v>
      </c>
    </row>
    <row r="1035" spans="1:10" ht="25" customHeight="1">
      <c r="A1035" s="128"/>
      <c r="B1035" s="129" t="s">
        <v>1338</v>
      </c>
      <c r="C1035" s="130" t="s">
        <v>1339</v>
      </c>
      <c r="D1035" s="81" t="s">
        <v>1340</v>
      </c>
      <c r="E1035" s="132"/>
      <c r="F1035" s="82" t="s">
        <v>31</v>
      </c>
      <c r="G1035" s="209">
        <v>40000</v>
      </c>
      <c r="H1035" s="211">
        <v>1</v>
      </c>
      <c r="I1035" s="196"/>
      <c r="J1035" s="5" t="s">
        <v>969</v>
      </c>
    </row>
    <row r="1036" spans="1:10" ht="25" customHeight="1">
      <c r="A1036" s="128"/>
      <c r="B1036" s="129" t="s">
        <v>1341</v>
      </c>
      <c r="C1036" s="130" t="s">
        <v>1339</v>
      </c>
      <c r="D1036" s="81" t="s">
        <v>1342</v>
      </c>
      <c r="E1036" s="132"/>
      <c r="F1036" s="82" t="s">
        <v>31</v>
      </c>
      <c r="G1036" s="209">
        <v>40000</v>
      </c>
      <c r="H1036" s="211">
        <v>1</v>
      </c>
      <c r="I1036" s="196"/>
      <c r="J1036" s="5" t="s">
        <v>969</v>
      </c>
    </row>
    <row r="1037" spans="1:10" ht="25" customHeight="1">
      <c r="A1037" s="128"/>
      <c r="B1037" s="129" t="s">
        <v>1343</v>
      </c>
      <c r="C1037" s="130" t="s">
        <v>1186</v>
      </c>
      <c r="D1037" s="81" t="s">
        <v>68</v>
      </c>
      <c r="E1037" s="132">
        <f>360/72</f>
        <v>5</v>
      </c>
      <c r="F1037" s="82" t="s">
        <v>39</v>
      </c>
      <c r="G1037" s="209">
        <v>120000</v>
      </c>
      <c r="H1037" s="211">
        <v>1</v>
      </c>
      <c r="I1037" s="196"/>
      <c r="J1037" s="5" t="s">
        <v>1344</v>
      </c>
    </row>
    <row r="1038" spans="1:10" ht="25" customHeight="1">
      <c r="A1038" s="128"/>
      <c r="B1038" s="129" t="s">
        <v>1345</v>
      </c>
      <c r="C1038" s="130" t="s">
        <v>1346</v>
      </c>
      <c r="D1038" s="81" t="s">
        <v>1347</v>
      </c>
      <c r="E1038" s="132"/>
      <c r="F1038" s="82" t="s">
        <v>31</v>
      </c>
      <c r="G1038" s="209">
        <v>40000</v>
      </c>
      <c r="H1038" s="211">
        <v>1</v>
      </c>
      <c r="I1038" s="196"/>
      <c r="J1038" s="5" t="s">
        <v>969</v>
      </c>
    </row>
    <row r="1039" spans="1:10" ht="25" customHeight="1">
      <c r="A1039" s="128"/>
      <c r="B1039" s="129" t="s">
        <v>1348</v>
      </c>
      <c r="C1039" s="130" t="s">
        <v>1349</v>
      </c>
      <c r="D1039" s="81" t="s">
        <v>68</v>
      </c>
      <c r="E1039" s="132"/>
      <c r="F1039" s="82" t="s">
        <v>31</v>
      </c>
      <c r="G1039" s="209">
        <v>40000</v>
      </c>
      <c r="H1039" s="211">
        <v>1</v>
      </c>
      <c r="I1039" s="196"/>
      <c r="J1039" s="5" t="s">
        <v>969</v>
      </c>
    </row>
    <row r="1040" spans="1:10" ht="25" customHeight="1">
      <c r="A1040" s="128"/>
      <c r="B1040" s="129" t="s">
        <v>1350</v>
      </c>
      <c r="C1040" s="130" t="s">
        <v>1351</v>
      </c>
      <c r="D1040" s="81" t="s">
        <v>1340</v>
      </c>
      <c r="E1040" s="132"/>
      <c r="F1040" s="82" t="s">
        <v>31</v>
      </c>
      <c r="G1040" s="209">
        <v>40000</v>
      </c>
      <c r="H1040" s="211">
        <v>1</v>
      </c>
      <c r="I1040" s="196"/>
      <c r="J1040" s="5" t="s">
        <v>969</v>
      </c>
    </row>
    <row r="1041" spans="1:10" ht="25" customHeight="1">
      <c r="A1041" s="128"/>
      <c r="B1041" s="129" t="s">
        <v>1352</v>
      </c>
      <c r="C1041" s="130" t="s">
        <v>1353</v>
      </c>
      <c r="D1041" s="81"/>
      <c r="E1041" s="132"/>
      <c r="F1041" s="82" t="s">
        <v>31</v>
      </c>
      <c r="G1041" s="209">
        <v>40000</v>
      </c>
      <c r="H1041" s="211">
        <v>1</v>
      </c>
      <c r="I1041" s="196"/>
      <c r="J1041" s="5" t="s">
        <v>969</v>
      </c>
    </row>
    <row r="1042" spans="1:10" ht="25" customHeight="1">
      <c r="A1042" s="128"/>
      <c r="B1042" s="129" t="s">
        <v>1354</v>
      </c>
      <c r="C1042" s="130" t="s">
        <v>1353</v>
      </c>
      <c r="D1042" s="81" t="s">
        <v>1355</v>
      </c>
      <c r="E1042" s="132"/>
      <c r="F1042" s="82" t="s">
        <v>31</v>
      </c>
      <c r="G1042" s="209">
        <v>40000</v>
      </c>
      <c r="H1042" s="211">
        <v>1</v>
      </c>
      <c r="I1042" s="196"/>
      <c r="J1042" s="5" t="s">
        <v>969</v>
      </c>
    </row>
    <row r="1043" spans="1:10" s="55" customFormat="1" ht="25" customHeight="1">
      <c r="A1043" s="234"/>
      <c r="B1043" s="235"/>
      <c r="C1043" s="236" t="s">
        <v>1356</v>
      </c>
      <c r="D1043" s="237"/>
      <c r="E1043" s="238"/>
      <c r="F1043" s="239"/>
      <c r="G1043" s="209"/>
      <c r="H1043" s="240"/>
      <c r="I1043" s="241"/>
    </row>
    <row r="1044" spans="1:10" ht="25" customHeight="1">
      <c r="A1044" s="128"/>
      <c r="B1044" s="129" t="s">
        <v>1357</v>
      </c>
      <c r="C1044" s="130"/>
      <c r="D1044" s="81"/>
      <c r="E1044" s="132"/>
      <c r="F1044" s="82"/>
      <c r="G1044" s="209"/>
      <c r="H1044" s="211"/>
      <c r="I1044" s="196"/>
    </row>
    <row r="1045" spans="1:10" ht="25" customHeight="1">
      <c r="A1045" s="128"/>
      <c r="B1045" s="129"/>
      <c r="C1045" s="130"/>
      <c r="D1045" s="81"/>
      <c r="E1045" s="132"/>
      <c r="F1045" s="82"/>
      <c r="G1045" s="209"/>
      <c r="H1045" s="211"/>
      <c r="I1045" s="196"/>
    </row>
    <row r="1046" spans="1:10" ht="25" customHeight="1">
      <c r="A1046" s="128"/>
      <c r="B1046" s="129"/>
      <c r="C1046" s="130"/>
      <c r="D1046" s="81"/>
      <c r="E1046" s="132"/>
      <c r="F1046" s="82"/>
      <c r="G1046" s="209"/>
      <c r="H1046" s="211"/>
      <c r="I1046" s="196"/>
    </row>
    <row r="1047" spans="1:10" ht="25" customHeight="1">
      <c r="A1047" s="128"/>
      <c r="B1047" s="129"/>
      <c r="C1047" s="130"/>
      <c r="D1047" s="81"/>
      <c r="E1047" s="132"/>
      <c r="F1047" s="82"/>
      <c r="G1047" s="209"/>
      <c r="H1047" s="211"/>
      <c r="I1047" s="196"/>
    </row>
    <row r="1048" spans="1:10" ht="25" customHeight="1">
      <c r="A1048" s="128"/>
      <c r="B1048" s="129"/>
      <c r="C1048" s="130"/>
      <c r="D1048" s="81"/>
      <c r="E1048" s="132"/>
      <c r="F1048" s="82"/>
      <c r="G1048" s="209"/>
      <c r="H1048" s="211"/>
      <c r="I1048" s="196"/>
    </row>
    <row r="1049" spans="1:10" ht="25" customHeight="1">
      <c r="A1049" s="128"/>
      <c r="B1049" s="129" t="s">
        <v>1358</v>
      </c>
      <c r="C1049" s="130" t="s">
        <v>1359</v>
      </c>
      <c r="D1049" s="81" t="s">
        <v>1360</v>
      </c>
      <c r="E1049" s="132"/>
      <c r="F1049" s="82" t="s">
        <v>31</v>
      </c>
      <c r="G1049" s="209">
        <v>40000</v>
      </c>
      <c r="H1049" s="211">
        <v>1</v>
      </c>
      <c r="I1049" s="196"/>
      <c r="J1049" s="5" t="s">
        <v>969</v>
      </c>
    </row>
    <row r="1050" spans="1:10" ht="25" customHeight="1">
      <c r="A1050" s="128"/>
      <c r="B1050" s="129" t="s">
        <v>1361</v>
      </c>
      <c r="C1050" s="130" t="s">
        <v>1362</v>
      </c>
      <c r="D1050" s="81" t="s">
        <v>1363</v>
      </c>
      <c r="E1050" s="132"/>
      <c r="F1050" s="82" t="s">
        <v>31</v>
      </c>
      <c r="G1050" s="209">
        <v>40000</v>
      </c>
      <c r="H1050" s="211">
        <v>1</v>
      </c>
      <c r="I1050" s="196"/>
      <c r="J1050" s="5" t="s">
        <v>969</v>
      </c>
    </row>
    <row r="1051" spans="1:10" ht="25" customHeight="1">
      <c r="A1051" s="128"/>
      <c r="B1051" s="129" t="s">
        <v>1364</v>
      </c>
      <c r="C1051" s="130" t="s">
        <v>1365</v>
      </c>
      <c r="D1051" s="81"/>
      <c r="E1051" s="132"/>
      <c r="F1051" s="82" t="s">
        <v>31</v>
      </c>
      <c r="G1051" s="209">
        <v>40000</v>
      </c>
      <c r="H1051" s="211">
        <v>1</v>
      </c>
      <c r="I1051" s="196"/>
    </row>
    <row r="1052" spans="1:10" ht="25" customHeight="1">
      <c r="A1052" s="128"/>
      <c r="B1052" s="129" t="s">
        <v>1366</v>
      </c>
      <c r="C1052" s="130" t="s">
        <v>1367</v>
      </c>
      <c r="D1052" s="81" t="s">
        <v>1318</v>
      </c>
      <c r="E1052" s="132"/>
      <c r="F1052" s="82" t="s">
        <v>31</v>
      </c>
      <c r="G1052" s="209">
        <v>40000</v>
      </c>
      <c r="H1052" s="211">
        <v>1</v>
      </c>
      <c r="I1052" s="196"/>
      <c r="J1052" s="5" t="s">
        <v>969</v>
      </c>
    </row>
    <row r="1053" spans="1:10" ht="25" customHeight="1">
      <c r="A1053" s="128"/>
      <c r="B1053" s="129" t="s">
        <v>1368</v>
      </c>
      <c r="C1053" s="130" t="s">
        <v>1369</v>
      </c>
      <c r="D1053" s="81" t="s">
        <v>968</v>
      </c>
      <c r="E1053" s="132"/>
      <c r="F1053" s="82" t="s">
        <v>31</v>
      </c>
      <c r="G1053" s="209"/>
      <c r="H1053" s="211">
        <v>1</v>
      </c>
      <c r="I1053" s="196"/>
      <c r="J1053" s="5" t="s">
        <v>969</v>
      </c>
    </row>
    <row r="1054" spans="1:10" ht="25" customHeight="1">
      <c r="A1054" s="128"/>
      <c r="B1054" s="129" t="s">
        <v>1370</v>
      </c>
      <c r="C1054" s="130" t="s">
        <v>1371</v>
      </c>
      <c r="D1054" s="213"/>
      <c r="E1054" s="132"/>
      <c r="F1054" s="82" t="s">
        <v>31</v>
      </c>
      <c r="G1054" s="242">
        <v>3000</v>
      </c>
      <c r="H1054" s="211">
        <v>1</v>
      </c>
      <c r="I1054" s="196"/>
    </row>
    <row r="1055" spans="1:10" ht="25" customHeight="1">
      <c r="A1055" s="128"/>
      <c r="B1055" s="129" t="s">
        <v>1372</v>
      </c>
      <c r="C1055" s="130" t="s">
        <v>1373</v>
      </c>
      <c r="D1055" s="213"/>
      <c r="E1055" s="132"/>
      <c r="F1055" s="82" t="s">
        <v>31</v>
      </c>
      <c r="G1055" s="242">
        <v>10000</v>
      </c>
      <c r="H1055" s="211">
        <v>1</v>
      </c>
      <c r="I1055" s="196"/>
    </row>
    <row r="1056" spans="1:10" ht="25" customHeight="1">
      <c r="A1056" s="63"/>
      <c r="B1056" s="106"/>
      <c r="C1056" s="197" t="s">
        <v>1374</v>
      </c>
      <c r="D1056" s="108"/>
      <c r="E1056" s="66"/>
      <c r="F1056" s="66"/>
      <c r="G1056" s="109"/>
      <c r="H1056" s="69"/>
      <c r="I1056" s="68"/>
    </row>
    <row r="1057" spans="1:10" ht="25" customHeight="1">
      <c r="A1057" s="16"/>
      <c r="B1057" s="179" t="s">
        <v>1375</v>
      </c>
      <c r="C1057" s="180" t="s">
        <v>1292</v>
      </c>
      <c r="D1057" s="19" t="s">
        <v>1376</v>
      </c>
      <c r="E1057" s="20"/>
      <c r="F1057" s="20" t="s">
        <v>1377</v>
      </c>
      <c r="G1057" s="209">
        <v>40000</v>
      </c>
      <c r="H1057" s="211">
        <v>1</v>
      </c>
      <c r="I1057" s="196"/>
      <c r="J1057" s="5" t="s">
        <v>969</v>
      </c>
    </row>
    <row r="1058" spans="1:10" ht="25" customHeight="1">
      <c r="A1058" s="16"/>
      <c r="B1058" s="179" t="s">
        <v>1378</v>
      </c>
      <c r="C1058" s="180" t="s">
        <v>1324</v>
      </c>
      <c r="D1058" s="19" t="s">
        <v>1379</v>
      </c>
      <c r="E1058" s="20"/>
      <c r="F1058" s="20" t="s">
        <v>1377</v>
      </c>
      <c r="G1058" s="209">
        <v>40000</v>
      </c>
      <c r="H1058" s="211">
        <v>1</v>
      </c>
      <c r="I1058" s="196"/>
      <c r="J1058" s="5" t="s">
        <v>969</v>
      </c>
    </row>
    <row r="1059" spans="1:10" ht="25" customHeight="1">
      <c r="A1059" s="63"/>
      <c r="B1059" s="106"/>
      <c r="C1059" s="197" t="s">
        <v>1380</v>
      </c>
      <c r="D1059" s="108"/>
      <c r="E1059" s="66"/>
      <c r="F1059" s="66"/>
      <c r="G1059" s="109"/>
      <c r="H1059" s="69"/>
      <c r="I1059" s="68"/>
    </row>
    <row r="1060" spans="1:10" ht="25" customHeight="1">
      <c r="A1060" s="16"/>
      <c r="B1060" s="179" t="s">
        <v>1381</v>
      </c>
      <c r="C1060" s="180" t="s">
        <v>1284</v>
      </c>
      <c r="D1060" s="19" t="s">
        <v>1382</v>
      </c>
      <c r="E1060" s="20"/>
      <c r="F1060" s="20" t="s">
        <v>1286</v>
      </c>
      <c r="G1060" s="209">
        <v>40000</v>
      </c>
      <c r="H1060" s="211">
        <v>1</v>
      </c>
      <c r="I1060" s="196"/>
      <c r="J1060" s="5" t="s">
        <v>969</v>
      </c>
    </row>
    <row r="1061" spans="1:10" ht="25" customHeight="1">
      <c r="A1061" s="16"/>
      <c r="B1061" s="179" t="s">
        <v>1383</v>
      </c>
      <c r="C1061" s="180" t="s">
        <v>1284</v>
      </c>
      <c r="D1061" s="19" t="s">
        <v>1384</v>
      </c>
      <c r="E1061" s="20"/>
      <c r="F1061" s="20" t="s">
        <v>1286</v>
      </c>
      <c r="G1061" s="209">
        <v>40000</v>
      </c>
      <c r="H1061" s="211">
        <v>1</v>
      </c>
      <c r="I1061" s="196"/>
      <c r="J1061" s="5" t="s">
        <v>969</v>
      </c>
    </row>
    <row r="1062" spans="1:10" ht="25" customHeight="1">
      <c r="A1062" s="16"/>
      <c r="B1062" s="179" t="s">
        <v>1385</v>
      </c>
      <c r="C1062" s="180" t="s">
        <v>1284</v>
      </c>
      <c r="D1062" s="19" t="s">
        <v>1386</v>
      </c>
      <c r="E1062" s="20"/>
      <c r="F1062" s="20" t="s">
        <v>1286</v>
      </c>
      <c r="G1062" s="209">
        <v>40000</v>
      </c>
      <c r="H1062" s="211">
        <v>1</v>
      </c>
      <c r="I1062" s="196"/>
      <c r="J1062" s="5" t="s">
        <v>969</v>
      </c>
    </row>
    <row r="1063" spans="1:10" ht="25" customHeight="1">
      <c r="A1063" s="16"/>
      <c r="B1063" s="179" t="s">
        <v>1387</v>
      </c>
      <c r="C1063" s="180" t="s">
        <v>1388</v>
      </c>
      <c r="D1063" s="243"/>
      <c r="E1063" s="20"/>
      <c r="F1063" s="20" t="s">
        <v>31</v>
      </c>
      <c r="G1063" s="209">
        <v>40000</v>
      </c>
      <c r="H1063" s="211">
        <v>0.5</v>
      </c>
      <c r="I1063" s="196"/>
      <c r="J1063" s="5" t="s">
        <v>969</v>
      </c>
    </row>
    <row r="1064" spans="1:10" ht="25" customHeight="1">
      <c r="A1064" s="16"/>
      <c r="B1064" s="179" t="s">
        <v>1389</v>
      </c>
      <c r="C1064" s="180" t="s">
        <v>1390</v>
      </c>
      <c r="D1064" s="19" t="s">
        <v>1391</v>
      </c>
      <c r="E1064" s="20"/>
      <c r="F1064" s="20" t="s">
        <v>1286</v>
      </c>
      <c r="G1064" s="209">
        <v>40000</v>
      </c>
      <c r="H1064" s="211">
        <v>1</v>
      </c>
      <c r="I1064" s="196"/>
      <c r="J1064" s="5" t="s">
        <v>969</v>
      </c>
    </row>
    <row r="1065" spans="1:10" ht="25" customHeight="1">
      <c r="A1065" s="16"/>
      <c r="B1065" s="179" t="s">
        <v>1392</v>
      </c>
      <c r="C1065" s="180" t="s">
        <v>1390</v>
      </c>
      <c r="D1065" s="19" t="s">
        <v>1382</v>
      </c>
      <c r="E1065" s="20"/>
      <c r="F1065" s="20" t="s">
        <v>1286</v>
      </c>
      <c r="G1065" s="209">
        <v>40000</v>
      </c>
      <c r="H1065" s="211">
        <v>1</v>
      </c>
      <c r="I1065" s="196"/>
      <c r="J1065" s="5" t="s">
        <v>969</v>
      </c>
    </row>
    <row r="1066" spans="1:10" ht="25" customHeight="1">
      <c r="A1066" s="16"/>
      <c r="B1066" s="179" t="s">
        <v>1393</v>
      </c>
      <c r="C1066" s="180" t="s">
        <v>1390</v>
      </c>
      <c r="D1066" s="19" t="s">
        <v>1386</v>
      </c>
      <c r="E1066" s="20"/>
      <c r="F1066" s="20" t="s">
        <v>1286</v>
      </c>
      <c r="G1066" s="209">
        <v>40000</v>
      </c>
      <c r="H1066" s="211">
        <v>1</v>
      </c>
      <c r="I1066" s="196"/>
      <c r="J1066" s="5" t="s">
        <v>969</v>
      </c>
    </row>
    <row r="1067" spans="1:10" ht="25" customHeight="1">
      <c r="A1067" s="16"/>
      <c r="B1067" s="179" t="s">
        <v>1394</v>
      </c>
      <c r="C1067" s="180" t="s">
        <v>1395</v>
      </c>
      <c r="D1067" s="19" t="s">
        <v>1382</v>
      </c>
      <c r="E1067" s="20"/>
      <c r="F1067" s="20" t="s">
        <v>1286</v>
      </c>
      <c r="G1067" s="209">
        <v>40000</v>
      </c>
      <c r="H1067" s="211">
        <v>1</v>
      </c>
      <c r="I1067" s="196"/>
      <c r="J1067" s="5" t="s">
        <v>969</v>
      </c>
    </row>
    <row r="1068" spans="1:10" ht="25" customHeight="1">
      <c r="A1068" s="16"/>
      <c r="B1068" s="179" t="s">
        <v>1396</v>
      </c>
      <c r="C1068" s="180" t="s">
        <v>1397</v>
      </c>
      <c r="D1068" s="19" t="s">
        <v>1382</v>
      </c>
      <c r="E1068" s="20"/>
      <c r="F1068" s="20" t="s">
        <v>1286</v>
      </c>
      <c r="G1068" s="209">
        <v>40000</v>
      </c>
      <c r="H1068" s="211">
        <v>1</v>
      </c>
      <c r="I1068" s="196"/>
      <c r="J1068" s="5" t="s">
        <v>969</v>
      </c>
    </row>
    <row r="1069" spans="1:10" ht="25" customHeight="1">
      <c r="A1069" s="16"/>
      <c r="B1069" s="179" t="s">
        <v>1398</v>
      </c>
      <c r="C1069" s="180" t="s">
        <v>1399</v>
      </c>
      <c r="D1069" s="19" t="s">
        <v>1386</v>
      </c>
      <c r="E1069" s="20"/>
      <c r="F1069" s="20" t="s">
        <v>1286</v>
      </c>
      <c r="G1069" s="209">
        <v>40000</v>
      </c>
      <c r="H1069" s="211">
        <v>1</v>
      </c>
      <c r="I1069" s="196"/>
      <c r="J1069" s="5" t="s">
        <v>969</v>
      </c>
    </row>
    <row r="1070" spans="1:10" ht="25" customHeight="1">
      <c r="A1070" s="16"/>
      <c r="B1070" s="179" t="s">
        <v>1400</v>
      </c>
      <c r="C1070" s="180" t="s">
        <v>1401</v>
      </c>
      <c r="D1070" s="19" t="s">
        <v>1391</v>
      </c>
      <c r="E1070" s="20"/>
      <c r="F1070" s="20" t="s">
        <v>1286</v>
      </c>
      <c r="G1070" s="209">
        <v>40000</v>
      </c>
      <c r="H1070" s="211">
        <v>1</v>
      </c>
      <c r="I1070" s="196"/>
      <c r="J1070" s="5" t="s">
        <v>969</v>
      </c>
    </row>
    <row r="1071" spans="1:10" ht="25" customHeight="1">
      <c r="A1071" s="16"/>
      <c r="B1071" s="179" t="s">
        <v>1402</v>
      </c>
      <c r="C1071" s="180" t="s">
        <v>1403</v>
      </c>
      <c r="D1071" s="19" t="s">
        <v>1391</v>
      </c>
      <c r="E1071" s="20"/>
      <c r="F1071" s="20" t="s">
        <v>1286</v>
      </c>
      <c r="G1071" s="209">
        <v>40000</v>
      </c>
      <c r="H1071" s="211">
        <v>1</v>
      </c>
      <c r="I1071" s="196"/>
      <c r="J1071" s="5" t="s">
        <v>969</v>
      </c>
    </row>
    <row r="1072" spans="1:10" ht="25" customHeight="1">
      <c r="A1072" s="16"/>
      <c r="B1072" s="179" t="s">
        <v>1404</v>
      </c>
      <c r="C1072" s="180" t="s">
        <v>1405</v>
      </c>
      <c r="D1072" s="19" t="s">
        <v>1391</v>
      </c>
      <c r="E1072" s="20"/>
      <c r="F1072" s="20" t="s">
        <v>1286</v>
      </c>
      <c r="G1072" s="209">
        <v>40000</v>
      </c>
      <c r="H1072" s="211">
        <v>1</v>
      </c>
      <c r="I1072" s="196"/>
      <c r="J1072" s="5" t="s">
        <v>969</v>
      </c>
    </row>
    <row r="1073" spans="1:10" ht="25" customHeight="1">
      <c r="A1073" s="16"/>
      <c r="B1073" s="179" t="s">
        <v>1406</v>
      </c>
      <c r="C1073" s="180" t="s">
        <v>1407</v>
      </c>
      <c r="D1073" s="19" t="s">
        <v>1386</v>
      </c>
      <c r="E1073" s="20"/>
      <c r="F1073" s="20" t="s">
        <v>1286</v>
      </c>
      <c r="G1073" s="209">
        <v>40000</v>
      </c>
      <c r="H1073" s="211">
        <v>1</v>
      </c>
      <c r="I1073" s="196"/>
      <c r="J1073" s="5" t="s">
        <v>969</v>
      </c>
    </row>
    <row r="1074" spans="1:10" s="55" customFormat="1" ht="25" customHeight="1">
      <c r="A1074" s="244"/>
      <c r="B1074" s="245"/>
      <c r="C1074" s="246" t="s">
        <v>1359</v>
      </c>
      <c r="D1074" s="247" t="s">
        <v>1408</v>
      </c>
      <c r="E1074" s="248"/>
      <c r="F1074" s="248"/>
      <c r="G1074" s="249"/>
      <c r="H1074" s="250"/>
      <c r="I1074" s="251"/>
    </row>
    <row r="1075" spans="1:10">
      <c r="A1075" s="70"/>
      <c r="B1075" s="71"/>
      <c r="C1075" s="123" t="s">
        <v>1359</v>
      </c>
      <c r="D1075" s="73" t="s">
        <v>63</v>
      </c>
      <c r="E1075" s="74"/>
      <c r="F1075" s="74" t="s">
        <v>31</v>
      </c>
      <c r="G1075" s="75">
        <v>100000</v>
      </c>
      <c r="H1075" s="76">
        <v>1</v>
      </c>
      <c r="I1075" s="252"/>
    </row>
    <row r="1076" spans="1:10">
      <c r="A1076" s="78"/>
      <c r="B1076" s="79" t="s">
        <v>1409</v>
      </c>
      <c r="C1076" s="123" t="s">
        <v>1359</v>
      </c>
      <c r="D1076" s="81" t="s">
        <v>66</v>
      </c>
      <c r="E1076" s="66">
        <v>50</v>
      </c>
      <c r="F1076" s="82" t="s">
        <v>39</v>
      </c>
      <c r="G1076" s="83">
        <v>220000</v>
      </c>
      <c r="H1076" s="76">
        <v>1</v>
      </c>
      <c r="I1076" s="252"/>
    </row>
    <row r="1077" spans="1:10">
      <c r="A1077" s="78"/>
      <c r="B1077" s="79" t="s">
        <v>1410</v>
      </c>
      <c r="C1077" s="123" t="s">
        <v>1359</v>
      </c>
      <c r="D1077" s="81" t="s">
        <v>68</v>
      </c>
      <c r="E1077" s="66">
        <v>50</v>
      </c>
      <c r="F1077" s="82" t="s">
        <v>39</v>
      </c>
      <c r="G1077" s="83">
        <v>370000</v>
      </c>
      <c r="H1077" s="76">
        <v>1</v>
      </c>
      <c r="I1077" s="252"/>
    </row>
    <row r="1078" spans="1:10">
      <c r="A1078" s="78"/>
      <c r="B1078" s="79" t="s">
        <v>1411</v>
      </c>
      <c r="C1078" s="123" t="s">
        <v>1359</v>
      </c>
      <c r="D1078" s="81" t="s">
        <v>70</v>
      </c>
      <c r="E1078" s="66">
        <v>50</v>
      </c>
      <c r="F1078" s="82" t="s">
        <v>39</v>
      </c>
      <c r="G1078" s="83">
        <v>520000</v>
      </c>
      <c r="H1078" s="76">
        <v>1</v>
      </c>
      <c r="I1078" s="252"/>
    </row>
    <row r="1079" spans="1:10">
      <c r="A1079" s="78"/>
      <c r="B1079" s="79" t="s">
        <v>1412</v>
      </c>
      <c r="C1079" s="123" t="s">
        <v>1359</v>
      </c>
      <c r="D1079" s="81" t="s">
        <v>72</v>
      </c>
      <c r="E1079" s="66">
        <v>50</v>
      </c>
      <c r="F1079" s="82" t="s">
        <v>39</v>
      </c>
      <c r="G1079" s="83">
        <v>600000</v>
      </c>
      <c r="H1079" s="76">
        <v>1</v>
      </c>
      <c r="I1079" s="252"/>
    </row>
    <row r="1080" spans="1:10">
      <c r="A1080" s="85"/>
      <c r="B1080" s="86" t="s">
        <v>1413</v>
      </c>
      <c r="C1080" s="123" t="s">
        <v>1359</v>
      </c>
      <c r="D1080" s="88" t="s">
        <v>323</v>
      </c>
      <c r="E1080" s="66">
        <v>50</v>
      </c>
      <c r="F1080" s="89" t="s">
        <v>39</v>
      </c>
      <c r="G1080" s="90">
        <v>750000</v>
      </c>
      <c r="H1080" s="76">
        <v>1</v>
      </c>
      <c r="I1080" s="252"/>
    </row>
    <row r="1081" spans="1:10">
      <c r="A1081" s="70"/>
      <c r="B1081" s="71" t="s">
        <v>1414</v>
      </c>
      <c r="C1081" s="123" t="s">
        <v>1359</v>
      </c>
      <c r="D1081" s="73" t="s">
        <v>63</v>
      </c>
      <c r="E1081" s="66">
        <v>50</v>
      </c>
      <c r="F1081" s="74" t="s">
        <v>31</v>
      </c>
      <c r="G1081" s="75">
        <v>100000</v>
      </c>
      <c r="H1081" s="76">
        <v>0.5</v>
      </c>
      <c r="I1081" s="252"/>
    </row>
    <row r="1082" spans="1:10">
      <c r="A1082" s="78"/>
      <c r="B1082" s="79" t="s">
        <v>1415</v>
      </c>
      <c r="C1082" s="123" t="s">
        <v>1359</v>
      </c>
      <c r="D1082" s="81" t="s">
        <v>66</v>
      </c>
      <c r="E1082" s="66">
        <v>50</v>
      </c>
      <c r="F1082" s="82" t="s">
        <v>39</v>
      </c>
      <c r="G1082" s="83">
        <v>220000</v>
      </c>
      <c r="H1082" s="76">
        <v>0.5</v>
      </c>
      <c r="I1082" s="252"/>
    </row>
    <row r="1083" spans="1:10">
      <c r="A1083" s="78"/>
      <c r="B1083" s="79" t="s">
        <v>1416</v>
      </c>
      <c r="C1083" s="123" t="s">
        <v>1359</v>
      </c>
      <c r="D1083" s="81" t="s">
        <v>68</v>
      </c>
      <c r="E1083" s="66">
        <v>50</v>
      </c>
      <c r="F1083" s="82" t="s">
        <v>39</v>
      </c>
      <c r="G1083" s="83">
        <v>370000</v>
      </c>
      <c r="H1083" s="76">
        <v>0.5</v>
      </c>
      <c r="I1083" s="252"/>
    </row>
    <row r="1084" spans="1:10">
      <c r="A1084" s="78"/>
      <c r="B1084" s="79" t="s">
        <v>1417</v>
      </c>
      <c r="C1084" s="123" t="s">
        <v>1359</v>
      </c>
      <c r="D1084" s="81" t="s">
        <v>70</v>
      </c>
      <c r="E1084" s="66">
        <v>50</v>
      </c>
      <c r="F1084" s="82" t="s">
        <v>39</v>
      </c>
      <c r="G1084" s="83">
        <v>520000</v>
      </c>
      <c r="H1084" s="76">
        <v>0.5</v>
      </c>
      <c r="I1084" s="252"/>
    </row>
    <row r="1085" spans="1:10">
      <c r="A1085" s="78"/>
      <c r="B1085" s="79" t="s">
        <v>1418</v>
      </c>
      <c r="C1085" s="123" t="s">
        <v>1359</v>
      </c>
      <c r="D1085" s="81" t="s">
        <v>72</v>
      </c>
      <c r="E1085" s="66">
        <v>50</v>
      </c>
      <c r="F1085" s="82" t="s">
        <v>39</v>
      </c>
      <c r="G1085" s="83">
        <v>600000</v>
      </c>
      <c r="H1085" s="76">
        <v>0.5</v>
      </c>
      <c r="I1085" s="252"/>
    </row>
    <row r="1086" spans="1:10">
      <c r="A1086" s="85"/>
      <c r="B1086" s="86" t="s">
        <v>1419</v>
      </c>
      <c r="C1086" s="123" t="s">
        <v>1359</v>
      </c>
      <c r="D1086" s="88" t="s">
        <v>323</v>
      </c>
      <c r="E1086" s="66">
        <v>50</v>
      </c>
      <c r="F1086" s="89" t="s">
        <v>39</v>
      </c>
      <c r="G1086" s="90">
        <v>750000</v>
      </c>
      <c r="H1086" s="76">
        <v>0.5</v>
      </c>
      <c r="I1086" s="252"/>
    </row>
    <row r="1087" spans="1:10">
      <c r="C1087" s="40"/>
      <c r="D1087" s="41"/>
      <c r="E1087" s="42"/>
      <c r="F1087" s="42"/>
      <c r="G1087" s="43"/>
      <c r="H1087" s="44"/>
      <c r="I1087" s="252"/>
    </row>
    <row r="1088" spans="1:10">
      <c r="C1088" s="40"/>
      <c r="D1088" s="41"/>
      <c r="E1088" s="42"/>
      <c r="F1088" s="42"/>
      <c r="G1088" s="43"/>
      <c r="H1088" s="44"/>
      <c r="I1088" s="252"/>
    </row>
    <row r="1089" spans="3:9">
      <c r="C1089" s="40"/>
      <c r="D1089" s="41"/>
      <c r="E1089" s="42"/>
      <c r="F1089" s="42"/>
      <c r="G1089" s="43"/>
      <c r="H1089" s="44"/>
      <c r="I1089" s="252"/>
    </row>
    <row r="1090" spans="3:9">
      <c r="C1090" s="40"/>
      <c r="D1090" s="41"/>
      <c r="E1090" s="42"/>
      <c r="F1090" s="42"/>
      <c r="G1090" s="43"/>
      <c r="H1090" s="44"/>
      <c r="I1090" s="252"/>
    </row>
    <row r="1091" spans="3:9">
      <c r="C1091" s="40"/>
      <c r="D1091" s="41"/>
      <c r="E1091" s="42"/>
      <c r="F1091" s="42"/>
      <c r="G1091" s="43"/>
      <c r="H1091" s="44"/>
      <c r="I1091" s="252"/>
    </row>
    <row r="1092" spans="3:9">
      <c r="C1092" s="40"/>
      <c r="D1092" s="41"/>
      <c r="E1092" s="42"/>
      <c r="F1092" s="42"/>
      <c r="G1092" s="43"/>
      <c r="H1092" s="44"/>
      <c r="I1092" s="252"/>
    </row>
    <row r="1093" spans="3:9">
      <c r="C1093" s="40"/>
      <c r="D1093" s="41"/>
      <c r="E1093" s="42"/>
      <c r="F1093" s="42"/>
      <c r="G1093" s="43"/>
      <c r="H1093" s="44"/>
      <c r="I1093" s="252"/>
    </row>
    <row r="1094" spans="3:9">
      <c r="C1094" s="40"/>
      <c r="D1094" s="41"/>
      <c r="E1094" s="42"/>
      <c r="F1094" s="42"/>
      <c r="G1094" s="43"/>
      <c r="H1094" s="44"/>
      <c r="I1094" s="252"/>
    </row>
    <row r="1095" spans="3:9">
      <c r="C1095" s="40"/>
      <c r="D1095" s="41"/>
      <c r="E1095" s="42"/>
      <c r="F1095" s="42"/>
      <c r="G1095" s="43"/>
      <c r="H1095" s="44"/>
      <c r="I1095" s="252"/>
    </row>
    <row r="1096" spans="3:9">
      <c r="C1096" s="40"/>
      <c r="D1096" s="41"/>
      <c r="E1096" s="42"/>
      <c r="F1096" s="42"/>
      <c r="G1096" s="43"/>
      <c r="H1096" s="44"/>
      <c r="I1096" s="252"/>
    </row>
    <row r="1097" spans="3:9">
      <c r="C1097" s="40"/>
      <c r="D1097" s="41"/>
      <c r="E1097" s="42"/>
      <c r="F1097" s="42"/>
      <c r="G1097" s="43"/>
      <c r="H1097" s="44"/>
      <c r="I1097" s="252"/>
    </row>
    <row r="1098" spans="3:9">
      <c r="C1098" s="40"/>
      <c r="D1098" s="41"/>
      <c r="E1098" s="42"/>
      <c r="F1098" s="42"/>
      <c r="G1098" s="43"/>
      <c r="H1098" s="44"/>
      <c r="I1098" s="252"/>
    </row>
    <row r="1099" spans="3:9">
      <c r="C1099" s="40"/>
      <c r="D1099" s="41"/>
      <c r="E1099" s="42"/>
      <c r="F1099" s="42"/>
      <c r="G1099" s="43"/>
      <c r="H1099" s="44"/>
      <c r="I1099" s="252"/>
    </row>
    <row r="1100" spans="3:9">
      <c r="C1100" s="40"/>
      <c r="D1100" s="41"/>
      <c r="E1100" s="42"/>
      <c r="F1100" s="42"/>
      <c r="G1100" s="43"/>
      <c r="H1100" s="44"/>
      <c r="I1100" s="252"/>
    </row>
    <row r="1101" spans="3:9">
      <c r="C1101" s="40"/>
      <c r="D1101" s="41"/>
      <c r="E1101" s="42"/>
      <c r="F1101" s="42"/>
      <c r="G1101" s="43"/>
      <c r="H1101" s="44"/>
      <c r="I1101" s="252"/>
    </row>
    <row r="1102" spans="3:9">
      <c r="C1102" s="40"/>
      <c r="D1102" s="41"/>
      <c r="E1102" s="42"/>
      <c r="F1102" s="42"/>
      <c r="G1102" s="43"/>
      <c r="H1102" s="44"/>
      <c r="I1102" s="252"/>
    </row>
    <row r="1103" spans="3:9">
      <c r="C1103" s="40"/>
      <c r="D1103" s="41"/>
      <c r="E1103" s="42"/>
      <c r="F1103" s="42"/>
      <c r="G1103" s="43"/>
      <c r="H1103" s="44"/>
      <c r="I1103" s="252"/>
    </row>
    <row r="1104" spans="3:9">
      <c r="C1104" s="40"/>
      <c r="D1104" s="41"/>
      <c r="E1104" s="42"/>
      <c r="F1104" s="42"/>
      <c r="G1104" s="43"/>
      <c r="H1104" s="44"/>
      <c r="I1104" s="252"/>
    </row>
    <row r="1105" spans="3:9">
      <c r="C1105" s="40"/>
      <c r="D1105" s="41"/>
      <c r="E1105" s="42"/>
      <c r="F1105" s="42"/>
      <c r="G1105" s="43"/>
      <c r="H1105" s="44"/>
      <c r="I1105" s="252"/>
    </row>
    <row r="1106" spans="3:9">
      <c r="C1106" s="40"/>
      <c r="D1106" s="41"/>
      <c r="E1106" s="42"/>
      <c r="F1106" s="42"/>
      <c r="G1106" s="43"/>
      <c r="H1106" s="44"/>
      <c r="I1106" s="252"/>
    </row>
    <row r="1107" spans="3:9">
      <c r="C1107" s="40"/>
      <c r="D1107" s="41"/>
      <c r="E1107" s="42"/>
      <c r="F1107" s="42"/>
      <c r="G1107" s="43"/>
      <c r="H1107" s="44"/>
      <c r="I1107" s="252"/>
    </row>
    <row r="1108" spans="3:9">
      <c r="C1108" s="40"/>
      <c r="D1108" s="41"/>
      <c r="E1108" s="42"/>
      <c r="F1108" s="42"/>
      <c r="G1108" s="43"/>
      <c r="H1108" s="44"/>
      <c r="I1108" s="252"/>
    </row>
    <row r="1109" spans="3:9">
      <c r="C1109" s="40"/>
      <c r="D1109" s="41"/>
      <c r="E1109" s="42"/>
      <c r="F1109" s="42"/>
      <c r="G1109" s="43"/>
      <c r="H1109" s="44"/>
      <c r="I1109" s="252"/>
    </row>
    <row r="1110" spans="3:9">
      <c r="C1110" s="40"/>
      <c r="D1110" s="41"/>
      <c r="E1110" s="42"/>
      <c r="F1110" s="42"/>
      <c r="G1110" s="43"/>
      <c r="H1110" s="44"/>
      <c r="I1110" s="252"/>
    </row>
    <row r="1111" spans="3:9">
      <c r="C1111" s="40"/>
      <c r="D1111" s="41"/>
      <c r="E1111" s="42"/>
      <c r="F1111" s="42"/>
      <c r="G1111" s="43"/>
      <c r="H1111" s="44"/>
      <c r="I1111" s="252"/>
    </row>
    <row r="1112" spans="3:9">
      <c r="C1112" s="40"/>
      <c r="D1112" s="41"/>
      <c r="E1112" s="42"/>
      <c r="F1112" s="42"/>
      <c r="G1112" s="43"/>
      <c r="H1112" s="44"/>
      <c r="I1112" s="252"/>
    </row>
    <row r="1113" spans="3:9">
      <c r="C1113" s="40"/>
      <c r="D1113" s="41"/>
      <c r="E1113" s="42"/>
      <c r="F1113" s="42"/>
      <c r="G1113" s="43"/>
      <c r="H1113" s="44"/>
      <c r="I1113" s="252"/>
    </row>
    <row r="1114" spans="3:9">
      <c r="C1114" s="40"/>
      <c r="D1114" s="41"/>
      <c r="E1114" s="42"/>
      <c r="F1114" s="42"/>
      <c r="G1114" s="43"/>
      <c r="H1114" s="44"/>
      <c r="I1114" s="252"/>
    </row>
    <row r="1115" spans="3:9">
      <c r="C1115" s="40"/>
      <c r="D1115" s="41"/>
      <c r="E1115" s="42"/>
      <c r="F1115" s="42"/>
      <c r="G1115" s="43"/>
      <c r="H1115" s="44"/>
      <c r="I1115" s="252"/>
    </row>
    <row r="1116" spans="3:9">
      <c r="C1116" s="40"/>
      <c r="D1116" s="41"/>
      <c r="E1116" s="42"/>
      <c r="F1116" s="42"/>
      <c r="G1116" s="43"/>
      <c r="H1116" s="44"/>
      <c r="I1116" s="252"/>
    </row>
    <row r="1117" spans="3:9">
      <c r="C1117" s="40"/>
      <c r="D1117" s="41"/>
      <c r="E1117" s="42"/>
      <c r="F1117" s="42"/>
      <c r="G1117" s="43"/>
      <c r="H1117" s="44"/>
      <c r="I1117" s="252"/>
    </row>
    <row r="1118" spans="3:9">
      <c r="C1118" s="40"/>
      <c r="D1118" s="41"/>
      <c r="E1118" s="42"/>
      <c r="F1118" s="42"/>
      <c r="G1118" s="43"/>
      <c r="H1118" s="44"/>
      <c r="I1118" s="252"/>
    </row>
    <row r="1119" spans="3:9">
      <c r="C1119" s="40"/>
      <c r="D1119" s="41"/>
      <c r="E1119" s="42"/>
      <c r="F1119" s="42"/>
      <c r="G1119" s="43"/>
      <c r="H1119" s="44"/>
      <c r="I1119" s="252"/>
    </row>
    <row r="1120" spans="3:9">
      <c r="C1120" s="40"/>
      <c r="D1120" s="41"/>
      <c r="E1120" s="42"/>
      <c r="F1120" s="42"/>
      <c r="G1120" s="43"/>
      <c r="H1120" s="44"/>
      <c r="I1120" s="252"/>
    </row>
    <row r="1121" spans="3:9">
      <c r="C1121" s="40"/>
      <c r="D1121" s="41"/>
      <c r="E1121" s="42"/>
      <c r="F1121" s="42"/>
      <c r="G1121" s="43"/>
      <c r="H1121" s="44"/>
      <c r="I1121" s="252"/>
    </row>
    <row r="1122" spans="3:9">
      <c r="C1122" s="40"/>
      <c r="D1122" s="41"/>
      <c r="E1122" s="42"/>
      <c r="F1122" s="42"/>
      <c r="G1122" s="43"/>
      <c r="H1122" s="44"/>
      <c r="I1122" s="252"/>
    </row>
    <row r="1123" spans="3:9">
      <c r="C1123" s="40"/>
      <c r="D1123" s="41"/>
      <c r="E1123" s="42"/>
      <c r="F1123" s="42"/>
      <c r="G1123" s="43"/>
      <c r="H1123" s="44"/>
      <c r="I1123" s="252"/>
    </row>
    <row r="1124" spans="3:9">
      <c r="C1124" s="40"/>
      <c r="D1124" s="41"/>
      <c r="E1124" s="42"/>
      <c r="F1124" s="42"/>
      <c r="G1124" s="43"/>
      <c r="H1124" s="44"/>
      <c r="I1124" s="252"/>
    </row>
    <row r="1125" spans="3:9">
      <c r="C1125" s="40"/>
      <c r="D1125" s="41"/>
      <c r="E1125" s="42"/>
      <c r="F1125" s="42"/>
      <c r="G1125" s="43"/>
      <c r="H1125" s="44"/>
      <c r="I1125" s="252"/>
    </row>
    <row r="1126" spans="3:9">
      <c r="C1126" s="40"/>
      <c r="D1126" s="41"/>
      <c r="E1126" s="42"/>
      <c r="F1126" s="42"/>
      <c r="G1126" s="43"/>
      <c r="H1126" s="44"/>
      <c r="I1126" s="252"/>
    </row>
    <row r="1127" spans="3:9">
      <c r="C1127" s="40"/>
      <c r="D1127" s="41"/>
      <c r="E1127" s="42"/>
      <c r="F1127" s="42"/>
      <c r="G1127" s="43"/>
      <c r="H1127" s="44"/>
      <c r="I1127" s="252"/>
    </row>
    <row r="1128" spans="3:9">
      <c r="C1128" s="40"/>
      <c r="D1128" s="41"/>
      <c r="E1128" s="42"/>
      <c r="F1128" s="42"/>
      <c r="G1128" s="43"/>
      <c r="H1128" s="44"/>
      <c r="I1128" s="252"/>
    </row>
    <row r="1129" spans="3:9">
      <c r="C1129" s="40"/>
      <c r="D1129" s="41"/>
      <c r="E1129" s="42"/>
      <c r="F1129" s="42"/>
      <c r="G1129" s="43"/>
      <c r="H1129" s="44"/>
      <c r="I1129" s="252"/>
    </row>
    <row r="1130" spans="3:9">
      <c r="C1130" s="40"/>
      <c r="D1130" s="41"/>
      <c r="E1130" s="42"/>
      <c r="F1130" s="42"/>
      <c r="G1130" s="43"/>
      <c r="H1130" s="44"/>
      <c r="I1130" s="252"/>
    </row>
    <row r="1131" spans="3:9">
      <c r="C1131" s="40"/>
      <c r="D1131" s="41"/>
      <c r="E1131" s="42"/>
      <c r="F1131" s="42"/>
      <c r="G1131" s="43"/>
      <c r="H1131" s="44"/>
      <c r="I1131" s="252"/>
    </row>
    <row r="1132" spans="3:9">
      <c r="D1132" s="45"/>
      <c r="G1132" s="46"/>
    </row>
    <row r="1133" spans="3:9">
      <c r="D1133" s="45"/>
      <c r="G1133" s="46"/>
    </row>
    <row r="1134" spans="3:9">
      <c r="D1134" s="45"/>
      <c r="G1134" s="46"/>
    </row>
    <row r="1135" spans="3:9">
      <c r="D1135" s="45"/>
      <c r="G1135" s="46"/>
    </row>
    <row r="1136" spans="3:9">
      <c r="D1136" s="45"/>
      <c r="G1136" s="46"/>
    </row>
    <row r="1137" spans="1:9">
      <c r="D1137" s="45"/>
      <c r="G1137" s="46"/>
    </row>
    <row r="1138" spans="1:9">
      <c r="D1138" s="45"/>
      <c r="G1138" s="46"/>
    </row>
    <row r="1139" spans="1:9">
      <c r="D1139" s="45"/>
      <c r="G1139" s="46"/>
    </row>
    <row r="1140" spans="1:9">
      <c r="D1140" s="45"/>
      <c r="G1140" s="46"/>
    </row>
    <row r="1141" spans="1:9">
      <c r="D1141" s="45"/>
      <c r="G1141" s="46"/>
    </row>
    <row r="1142" spans="1:9">
      <c r="D1142" s="45"/>
      <c r="G1142" s="46"/>
    </row>
    <row r="1143" spans="1:9">
      <c r="D1143" s="45"/>
      <c r="G1143" s="46"/>
    </row>
    <row r="1144" spans="1:9">
      <c r="D1144" s="45"/>
      <c r="G1144" s="46"/>
    </row>
    <row r="1145" spans="1:9" s="2" customFormat="1">
      <c r="A1145" s="3"/>
      <c r="B1145" s="56"/>
      <c r="C1145" s="5"/>
      <c r="D1145" s="45"/>
      <c r="E1145" s="6"/>
      <c r="F1145" s="6"/>
      <c r="G1145" s="46"/>
      <c r="I1145" s="57"/>
    </row>
    <row r="1146" spans="1:9" s="2" customFormat="1">
      <c r="A1146" s="3"/>
      <c r="B1146" s="56"/>
      <c r="C1146" s="5"/>
      <c r="D1146" s="45"/>
      <c r="E1146" s="6"/>
      <c r="F1146" s="6"/>
      <c r="G1146" s="46"/>
      <c r="I1146" s="57"/>
    </row>
    <row r="1147" spans="1:9" s="2" customFormat="1">
      <c r="A1147" s="3"/>
      <c r="B1147" s="56"/>
      <c r="C1147" s="5"/>
      <c r="D1147" s="45"/>
      <c r="E1147" s="6"/>
      <c r="F1147" s="6"/>
      <c r="G1147" s="46"/>
      <c r="I1147" s="57"/>
    </row>
    <row r="1148" spans="1:9" s="2" customFormat="1">
      <c r="A1148" s="3"/>
      <c r="B1148" s="56"/>
      <c r="C1148" s="5"/>
      <c r="D1148" s="45"/>
      <c r="E1148" s="6"/>
      <c r="F1148" s="6"/>
      <c r="G1148" s="46"/>
      <c r="I1148" s="57"/>
    </row>
    <row r="1149" spans="1:9" s="2" customFormat="1">
      <c r="A1149" s="3"/>
      <c r="B1149" s="56"/>
      <c r="C1149" s="5"/>
      <c r="D1149" s="45"/>
      <c r="E1149" s="6"/>
      <c r="F1149" s="6"/>
      <c r="G1149" s="46"/>
      <c r="I1149" s="57"/>
    </row>
    <row r="1150" spans="1:9" s="2" customFormat="1">
      <c r="A1150" s="3"/>
      <c r="B1150" s="56"/>
      <c r="C1150" s="5"/>
      <c r="D1150" s="45"/>
      <c r="E1150" s="6"/>
      <c r="F1150" s="6"/>
      <c r="G1150" s="46"/>
      <c r="I1150" s="57"/>
    </row>
    <row r="1151" spans="1:9" s="2" customFormat="1">
      <c r="A1151" s="3"/>
      <c r="B1151" s="56"/>
      <c r="C1151" s="5"/>
      <c r="D1151" s="45"/>
      <c r="E1151" s="6"/>
      <c r="F1151" s="6"/>
      <c r="G1151" s="46"/>
      <c r="I1151" s="57"/>
    </row>
    <row r="1152" spans="1:9" s="2" customFormat="1">
      <c r="A1152" s="3"/>
      <c r="B1152" s="56"/>
      <c r="C1152" s="5"/>
      <c r="D1152" s="45"/>
      <c r="E1152" s="6"/>
      <c r="F1152" s="6"/>
      <c r="G1152" s="46"/>
      <c r="I1152" s="57"/>
    </row>
    <row r="1153" spans="1:9" s="2" customFormat="1">
      <c r="A1153" s="3"/>
      <c r="B1153" s="56"/>
      <c r="C1153" s="5"/>
      <c r="D1153" s="45"/>
      <c r="E1153" s="6"/>
      <c r="F1153" s="6"/>
      <c r="G1153" s="46"/>
      <c r="I1153" s="57"/>
    </row>
    <row r="1154" spans="1:9" s="2" customFormat="1">
      <c r="A1154" s="3"/>
      <c r="B1154" s="56"/>
      <c r="C1154" s="5"/>
      <c r="D1154" s="45"/>
      <c r="E1154" s="6"/>
      <c r="F1154" s="6"/>
      <c r="G1154" s="46"/>
      <c r="I1154" s="57"/>
    </row>
    <row r="1155" spans="1:9" s="2" customFormat="1">
      <c r="A1155" s="3"/>
      <c r="B1155" s="56"/>
      <c r="C1155" s="5"/>
      <c r="D1155" s="45"/>
      <c r="E1155" s="6"/>
      <c r="F1155" s="6"/>
      <c r="G1155" s="46"/>
      <c r="I1155" s="57"/>
    </row>
    <row r="1156" spans="1:9" s="2" customFormat="1">
      <c r="A1156" s="3"/>
      <c r="B1156" s="56"/>
      <c r="C1156" s="5"/>
      <c r="D1156" s="45"/>
      <c r="E1156" s="6"/>
      <c r="F1156" s="6"/>
      <c r="G1156" s="46"/>
      <c r="I1156" s="57"/>
    </row>
    <row r="1157" spans="1:9" s="2" customFormat="1">
      <c r="A1157" s="3"/>
      <c r="B1157" s="56"/>
      <c r="C1157" s="5"/>
      <c r="D1157" s="45"/>
      <c r="E1157" s="6"/>
      <c r="F1157" s="6"/>
      <c r="G1157" s="46"/>
      <c r="I1157" s="57"/>
    </row>
    <row r="1158" spans="1:9" s="2" customFormat="1">
      <c r="A1158" s="3"/>
      <c r="B1158" s="56"/>
      <c r="C1158" s="5"/>
      <c r="D1158" s="45"/>
      <c r="E1158" s="6"/>
      <c r="F1158" s="6"/>
      <c r="G1158" s="46"/>
      <c r="I1158" s="57"/>
    </row>
    <row r="1159" spans="1:9" s="2" customFormat="1">
      <c r="A1159" s="3"/>
      <c r="B1159" s="56"/>
      <c r="C1159" s="5"/>
      <c r="D1159" s="45"/>
      <c r="E1159" s="6"/>
      <c r="F1159" s="6"/>
      <c r="G1159" s="46"/>
      <c r="I1159" s="57"/>
    </row>
    <row r="1160" spans="1:9" s="2" customFormat="1">
      <c r="A1160" s="3"/>
      <c r="B1160" s="56"/>
      <c r="C1160" s="5"/>
      <c r="D1160" s="45"/>
      <c r="E1160" s="6"/>
      <c r="F1160" s="6"/>
      <c r="G1160" s="46"/>
      <c r="I1160" s="57"/>
    </row>
    <row r="1161" spans="1:9" s="2" customFormat="1">
      <c r="A1161" s="3"/>
      <c r="B1161" s="56"/>
      <c r="C1161" s="5"/>
      <c r="D1161" s="45"/>
      <c r="E1161" s="6"/>
      <c r="F1161" s="6"/>
      <c r="G1161" s="46"/>
      <c r="I1161" s="57"/>
    </row>
  </sheetData>
  <autoFilter ref="C1:C1161" xr:uid="{00000000-0009-0000-0000-000002000000}"/>
  <mergeCells count="1">
    <mergeCell ref="A1:H1"/>
  </mergeCells>
  <pageMargins left="0.7" right="0.17" top="0.28000000000000003" bottom="0.32" header="0.3" footer="0.3"/>
  <pageSetup paperSize="9"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499984740745262"/>
  </sheetPr>
  <dimension ref="A1:K537"/>
  <sheetViews>
    <sheetView showGridLines="0" workbookViewId="0">
      <pane ySplit="2" topLeftCell="A418" activePane="bottomLeft" state="frozen"/>
      <selection pane="bottomLeft" activeCell="J423" sqref="J423"/>
    </sheetView>
  </sheetViews>
  <sheetFormatPr defaultColWidth="9.08984375" defaultRowHeight="14"/>
  <cols>
    <col min="1" max="1" width="5.08984375" style="3" customWidth="1"/>
    <col min="2" max="2" width="13.90625" style="4" customWidth="1"/>
    <col min="3" max="3" width="51.6328125" style="5" customWidth="1"/>
    <col min="4" max="4" width="24.90625" style="5" customWidth="1"/>
    <col min="5" max="5" width="8.453125" style="6" customWidth="1"/>
    <col min="6" max="7" width="13.453125" style="7" customWidth="1"/>
    <col min="8" max="8" width="10" style="2" customWidth="1"/>
    <col min="9" max="9" width="14.90625" style="5" customWidth="1"/>
    <col min="10" max="11" width="9.08984375" style="5"/>
    <col min="12" max="12" width="12.54296875" style="5" customWidth="1"/>
    <col min="13" max="16384" width="9.08984375" style="5"/>
  </cols>
  <sheetData>
    <row r="1" spans="1:8" ht="23.25" customHeight="1">
      <c r="A1" s="688" t="s">
        <v>1420</v>
      </c>
      <c r="B1" s="688"/>
      <c r="C1" s="688"/>
      <c r="D1" s="688"/>
      <c r="E1" s="688"/>
      <c r="F1" s="688"/>
      <c r="G1" s="688"/>
      <c r="H1" s="688"/>
    </row>
    <row r="2" spans="1:8" s="1" customFormat="1" ht="33.75" customHeight="1">
      <c r="A2" s="8" t="s">
        <v>1421</v>
      </c>
      <c r="B2" s="8" t="s">
        <v>52</v>
      </c>
      <c r="C2" s="9" t="s">
        <v>1422</v>
      </c>
      <c r="D2" s="9" t="s">
        <v>54</v>
      </c>
      <c r="E2" s="8" t="s">
        <v>56</v>
      </c>
      <c r="F2" s="10" t="s">
        <v>1423</v>
      </c>
      <c r="G2" s="10" t="s">
        <v>1424</v>
      </c>
      <c r="H2" s="11" t="s">
        <v>1425</v>
      </c>
    </row>
    <row r="3" spans="1:8" customFormat="1" ht="39">
      <c r="A3" s="12">
        <v>1</v>
      </c>
      <c r="B3" s="256" t="s">
        <v>1426</v>
      </c>
      <c r="C3" s="257" t="s">
        <v>1427</v>
      </c>
      <c r="D3" s="12"/>
      <c r="E3" s="12"/>
      <c r="F3" s="14"/>
      <c r="G3" s="14"/>
      <c r="H3" s="15"/>
    </row>
    <row r="4" spans="1:8" customFormat="1" ht="27">
      <c r="A4" s="16"/>
      <c r="B4" s="17"/>
      <c r="C4" s="18" t="s">
        <v>1428</v>
      </c>
      <c r="D4" s="19"/>
      <c r="E4" s="20"/>
      <c r="F4" s="21"/>
      <c r="G4" s="21"/>
      <c r="H4" s="22"/>
    </row>
    <row r="5" spans="1:8" customFormat="1" ht="27">
      <c r="A5" s="16"/>
      <c r="B5" s="17" t="s">
        <v>1429</v>
      </c>
      <c r="C5" s="18" t="s">
        <v>1430</v>
      </c>
      <c r="D5" s="19"/>
      <c r="E5" s="20" t="s">
        <v>31</v>
      </c>
      <c r="F5" s="21">
        <f>4000000*1.1</f>
        <v>4400000</v>
      </c>
      <c r="G5" s="21">
        <v>25</v>
      </c>
      <c r="H5" s="22">
        <v>0.8</v>
      </c>
    </row>
    <row r="6" spans="1:8" customFormat="1" ht="27">
      <c r="A6" s="16"/>
      <c r="B6" s="17" t="s">
        <v>1431</v>
      </c>
      <c r="C6" s="18" t="s">
        <v>1432</v>
      </c>
      <c r="D6" s="19"/>
      <c r="E6" s="20" t="s">
        <v>31</v>
      </c>
      <c r="F6" s="21">
        <f>3956000*1.1</f>
        <v>4351600</v>
      </c>
      <c r="G6" s="21">
        <v>25</v>
      </c>
      <c r="H6" s="22">
        <v>0.8</v>
      </c>
    </row>
    <row r="7" spans="1:8" customFormat="1" ht="27">
      <c r="A7" s="16"/>
      <c r="B7" s="17" t="s">
        <v>1433</v>
      </c>
      <c r="C7" s="18" t="s">
        <v>1434</v>
      </c>
      <c r="D7" s="19"/>
      <c r="E7" s="20" t="s">
        <v>31</v>
      </c>
      <c r="F7" s="21">
        <f>3912000*1.1</f>
        <v>4303200</v>
      </c>
      <c r="G7" s="21">
        <v>25</v>
      </c>
      <c r="H7" s="22">
        <v>0.8</v>
      </c>
    </row>
    <row r="8" spans="1:8" customFormat="1" ht="27">
      <c r="A8" s="16"/>
      <c r="B8" s="17" t="s">
        <v>1435</v>
      </c>
      <c r="C8" s="18" t="s">
        <v>1436</v>
      </c>
      <c r="D8" s="19"/>
      <c r="E8" s="20" t="s">
        <v>31</v>
      </c>
      <c r="F8" s="21"/>
      <c r="G8" s="21">
        <v>25</v>
      </c>
      <c r="H8" s="22">
        <v>0.8</v>
      </c>
    </row>
    <row r="9" spans="1:8" customFormat="1" ht="27">
      <c r="A9" s="16"/>
      <c r="B9" s="17" t="s">
        <v>1437</v>
      </c>
      <c r="C9" s="18" t="s">
        <v>1438</v>
      </c>
      <c r="D9" s="19"/>
      <c r="E9" s="20" t="s">
        <v>31</v>
      </c>
      <c r="F9" s="21">
        <f>3824000*1.1</f>
        <v>4206400</v>
      </c>
      <c r="G9" s="21">
        <v>25</v>
      </c>
      <c r="H9" s="22">
        <v>0.8</v>
      </c>
    </row>
    <row r="10" spans="1:8" customFormat="1" ht="27">
      <c r="A10" s="16"/>
      <c r="B10" s="17" t="s">
        <v>1439</v>
      </c>
      <c r="C10" s="18" t="s">
        <v>1440</v>
      </c>
      <c r="D10" s="19"/>
      <c r="E10" s="20" t="s">
        <v>31</v>
      </c>
      <c r="F10" s="21">
        <f>3780000*1.1</f>
        <v>4158000.0000000005</v>
      </c>
      <c r="G10" s="21">
        <v>25</v>
      </c>
      <c r="H10" s="22">
        <v>0.8</v>
      </c>
    </row>
    <row r="11" spans="1:8" customFormat="1" ht="27">
      <c r="A11" s="16"/>
      <c r="B11" s="17" t="s">
        <v>1441</v>
      </c>
      <c r="C11" s="18" t="s">
        <v>1442</v>
      </c>
      <c r="D11" s="19"/>
      <c r="E11" s="20" t="s">
        <v>31</v>
      </c>
      <c r="F11" s="21">
        <f>3736000*1.1</f>
        <v>4109600.0000000005</v>
      </c>
      <c r="G11" s="21">
        <v>25</v>
      </c>
      <c r="H11" s="22">
        <v>0.8</v>
      </c>
    </row>
    <row r="12" spans="1:8" customFormat="1" ht="27">
      <c r="A12" s="16"/>
      <c r="B12" s="17" t="s">
        <v>1443</v>
      </c>
      <c r="C12" s="18" t="s">
        <v>1444</v>
      </c>
      <c r="D12" s="19"/>
      <c r="E12" s="20" t="s">
        <v>31</v>
      </c>
      <c r="F12" s="21">
        <f>3692000*1.1</f>
        <v>4061200.0000000005</v>
      </c>
      <c r="G12" s="21">
        <v>25</v>
      </c>
      <c r="H12" s="22">
        <v>0.8</v>
      </c>
    </row>
    <row r="13" spans="1:8" customFormat="1" ht="27">
      <c r="A13" s="16"/>
      <c r="B13" s="17" t="s">
        <v>1445</v>
      </c>
      <c r="C13" s="18" t="s">
        <v>1446</v>
      </c>
      <c r="D13" s="19"/>
      <c r="E13" s="20" t="s">
        <v>31</v>
      </c>
      <c r="F13" s="21">
        <f>3648000*1.1</f>
        <v>4012800.0000000005</v>
      </c>
      <c r="G13" s="21">
        <v>25</v>
      </c>
      <c r="H13" s="22">
        <v>0.8</v>
      </c>
    </row>
    <row r="14" spans="1:8" customFormat="1" ht="27">
      <c r="A14" s="16"/>
      <c r="B14" s="17" t="s">
        <v>1447</v>
      </c>
      <c r="C14" s="18" t="s">
        <v>1448</v>
      </c>
      <c r="D14" s="19"/>
      <c r="E14" s="20" t="s">
        <v>31</v>
      </c>
      <c r="F14" s="21">
        <f>3604000*1.1</f>
        <v>3964400.0000000005</v>
      </c>
      <c r="G14" s="21">
        <v>25</v>
      </c>
      <c r="H14" s="22">
        <v>0.8</v>
      </c>
    </row>
    <row r="15" spans="1:8" customFormat="1" ht="27">
      <c r="A15" s="16"/>
      <c r="B15" s="17" t="s">
        <v>1449</v>
      </c>
      <c r="C15" s="18" t="s">
        <v>1450</v>
      </c>
      <c r="D15" s="19"/>
      <c r="E15" s="20" t="s">
        <v>31</v>
      </c>
      <c r="F15" s="21">
        <f>3560000*1.1</f>
        <v>3916000.0000000005</v>
      </c>
      <c r="G15" s="21">
        <v>25</v>
      </c>
      <c r="H15" s="22">
        <v>0.8</v>
      </c>
    </row>
    <row r="16" spans="1:8" customFormat="1" ht="27">
      <c r="A16" s="16"/>
      <c r="B16" s="17" t="s">
        <v>1451</v>
      </c>
      <c r="C16" s="18" t="s">
        <v>1452</v>
      </c>
      <c r="D16" s="19"/>
      <c r="E16" s="20" t="s">
        <v>31</v>
      </c>
      <c r="F16" s="21">
        <f>3516000*1.1</f>
        <v>3867600.0000000005</v>
      </c>
      <c r="G16" s="21">
        <v>25</v>
      </c>
      <c r="H16" s="22">
        <v>0.8</v>
      </c>
    </row>
    <row r="17" spans="1:8" customFormat="1" ht="27">
      <c r="A17" s="16"/>
      <c r="B17" s="17" t="s">
        <v>1453</v>
      </c>
      <c r="C17" s="18" t="s">
        <v>1454</v>
      </c>
      <c r="D17" s="19"/>
      <c r="E17" s="20" t="s">
        <v>31</v>
      </c>
      <c r="F17" s="21">
        <f>3472000*1.1</f>
        <v>3819200.0000000005</v>
      </c>
      <c r="G17" s="21">
        <v>25</v>
      </c>
      <c r="H17" s="22">
        <v>0.8</v>
      </c>
    </row>
    <row r="18" spans="1:8" customFormat="1" ht="27">
      <c r="A18" s="16"/>
      <c r="B18" s="17" t="s">
        <v>1455</v>
      </c>
      <c r="C18" s="18" t="s">
        <v>1456</v>
      </c>
      <c r="D18" s="19"/>
      <c r="E18" s="20" t="s">
        <v>31</v>
      </c>
      <c r="F18" s="21">
        <f>3428000*1.1</f>
        <v>3770800.0000000005</v>
      </c>
      <c r="G18" s="21">
        <v>25</v>
      </c>
      <c r="H18" s="22">
        <v>0.8</v>
      </c>
    </row>
    <row r="19" spans="1:8" customFormat="1" ht="27">
      <c r="A19" s="16"/>
      <c r="B19" s="17" t="s">
        <v>1457</v>
      </c>
      <c r="C19" s="18" t="s">
        <v>1458</v>
      </c>
      <c r="D19" s="19"/>
      <c r="E19" s="20" t="s">
        <v>31</v>
      </c>
      <c r="F19" s="21">
        <f>3384000*1.1</f>
        <v>3722400.0000000005</v>
      </c>
      <c r="G19" s="21">
        <v>25</v>
      </c>
      <c r="H19" s="22">
        <v>0.8</v>
      </c>
    </row>
    <row r="20" spans="1:8" customFormat="1" ht="14.5">
      <c r="A20" s="16"/>
      <c r="B20" s="17"/>
      <c r="C20" s="18" t="s">
        <v>1459</v>
      </c>
      <c r="D20" s="19"/>
      <c r="E20" s="20"/>
      <c r="F20" s="21"/>
      <c r="G20" s="21"/>
      <c r="H20" s="22"/>
    </row>
    <row r="21" spans="1:8" customFormat="1" ht="39">
      <c r="A21" s="12">
        <v>2</v>
      </c>
      <c r="B21" s="256" t="s">
        <v>1460</v>
      </c>
      <c r="C21" s="257" t="s">
        <v>1461</v>
      </c>
      <c r="D21" s="12"/>
      <c r="E21" s="12"/>
      <c r="F21" s="14"/>
      <c r="G21" s="14"/>
      <c r="H21" s="15"/>
    </row>
    <row r="22" spans="1:8" customFormat="1" ht="27">
      <c r="A22" s="16"/>
      <c r="B22" s="17"/>
      <c r="C22" s="18" t="s">
        <v>1462</v>
      </c>
      <c r="D22" s="19"/>
      <c r="E22" s="20"/>
      <c r="F22" s="21"/>
      <c r="G22" s="21"/>
      <c r="H22" s="22"/>
    </row>
    <row r="23" spans="1:8" customFormat="1" ht="27">
      <c r="A23" s="16"/>
      <c r="B23" s="17" t="s">
        <v>1463</v>
      </c>
      <c r="C23" s="18" t="s">
        <v>1464</v>
      </c>
      <c r="D23" s="19"/>
      <c r="E23" s="20" t="s">
        <v>31</v>
      </c>
      <c r="F23" s="21">
        <f>4506000*1.1</f>
        <v>4956600</v>
      </c>
      <c r="G23" s="21">
        <v>25</v>
      </c>
      <c r="H23" s="22">
        <v>0.8</v>
      </c>
    </row>
    <row r="24" spans="1:8" customFormat="1" ht="27">
      <c r="A24" s="16"/>
      <c r="B24" s="17" t="s">
        <v>1465</v>
      </c>
      <c r="C24" s="18" t="s">
        <v>1466</v>
      </c>
      <c r="D24" s="19"/>
      <c r="E24" s="20" t="s">
        <v>31</v>
      </c>
      <c r="F24" s="21">
        <f>4456000*1.1</f>
        <v>4901600</v>
      </c>
      <c r="G24" s="21">
        <v>25</v>
      </c>
      <c r="H24" s="22">
        <v>0.8</v>
      </c>
    </row>
    <row r="25" spans="1:8" customFormat="1" ht="27">
      <c r="A25" s="16"/>
      <c r="B25" s="17" t="s">
        <v>1467</v>
      </c>
      <c r="C25" s="18" t="s">
        <v>1468</v>
      </c>
      <c r="D25" s="19"/>
      <c r="E25" s="20" t="s">
        <v>31</v>
      </c>
      <c r="F25" s="21">
        <f>4406000*1.1</f>
        <v>4846600</v>
      </c>
      <c r="G25" s="21">
        <v>25</v>
      </c>
      <c r="H25" s="22">
        <v>0.8</v>
      </c>
    </row>
    <row r="26" spans="1:8" customFormat="1" ht="27">
      <c r="A26" s="16"/>
      <c r="B26" s="17" t="s">
        <v>1469</v>
      </c>
      <c r="C26" s="18" t="s">
        <v>1470</v>
      </c>
      <c r="D26" s="19"/>
      <c r="E26" s="20" t="s">
        <v>31</v>
      </c>
      <c r="F26" s="21">
        <f>4356000*1.1</f>
        <v>4791600</v>
      </c>
      <c r="G26" s="21">
        <v>25</v>
      </c>
      <c r="H26" s="22">
        <v>0.8</v>
      </c>
    </row>
    <row r="27" spans="1:8" customFormat="1" ht="27">
      <c r="A27" s="16"/>
      <c r="B27" s="17" t="s">
        <v>1471</v>
      </c>
      <c r="C27" s="18" t="s">
        <v>1472</v>
      </c>
      <c r="D27" s="19"/>
      <c r="E27" s="20" t="s">
        <v>31</v>
      </c>
      <c r="F27" s="21">
        <f>4306000*1.1</f>
        <v>4736600</v>
      </c>
      <c r="G27" s="21">
        <v>25</v>
      </c>
      <c r="H27" s="22">
        <v>0.8</v>
      </c>
    </row>
    <row r="28" spans="1:8" customFormat="1" ht="27">
      <c r="A28" s="16"/>
      <c r="B28" s="17" t="s">
        <v>1473</v>
      </c>
      <c r="C28" s="18" t="s">
        <v>1474</v>
      </c>
      <c r="D28" s="19"/>
      <c r="E28" s="20" t="s">
        <v>31</v>
      </c>
      <c r="F28" s="21">
        <f>4256000*1.1</f>
        <v>4681600</v>
      </c>
      <c r="G28" s="21">
        <v>25</v>
      </c>
      <c r="H28" s="22">
        <v>0.8</v>
      </c>
    </row>
    <row r="29" spans="1:8" customFormat="1" ht="27">
      <c r="A29" s="16"/>
      <c r="B29" s="17" t="s">
        <v>1475</v>
      </c>
      <c r="C29" s="18" t="s">
        <v>1476</v>
      </c>
      <c r="D29" s="19"/>
      <c r="E29" s="20" t="s">
        <v>31</v>
      </c>
      <c r="F29" s="21">
        <f>4206000*1.1</f>
        <v>4626600</v>
      </c>
      <c r="G29" s="21">
        <v>25</v>
      </c>
      <c r="H29" s="22">
        <v>0.8</v>
      </c>
    </row>
    <row r="30" spans="1:8" customFormat="1" ht="27">
      <c r="A30" s="16"/>
      <c r="B30" s="17" t="s">
        <v>1477</v>
      </c>
      <c r="C30" s="18" t="s">
        <v>1478</v>
      </c>
      <c r="D30" s="19"/>
      <c r="E30" s="20" t="s">
        <v>31</v>
      </c>
      <c r="F30" s="21">
        <f>4156000*1.1</f>
        <v>4571600</v>
      </c>
      <c r="G30" s="21">
        <v>25</v>
      </c>
      <c r="H30" s="22">
        <v>0.8</v>
      </c>
    </row>
    <row r="31" spans="1:8" customFormat="1" ht="27">
      <c r="A31" s="16"/>
      <c r="B31" s="17" t="s">
        <v>1479</v>
      </c>
      <c r="C31" s="18" t="s">
        <v>1480</v>
      </c>
      <c r="D31" s="19"/>
      <c r="E31" s="20" t="s">
        <v>31</v>
      </c>
      <c r="F31" s="21">
        <f>4106000*1.1</f>
        <v>4516600</v>
      </c>
      <c r="G31" s="21">
        <v>25</v>
      </c>
      <c r="H31" s="22">
        <v>0.8</v>
      </c>
    </row>
    <row r="32" spans="1:8" customFormat="1" ht="27">
      <c r="A32" s="16"/>
      <c r="B32" s="17" t="s">
        <v>1481</v>
      </c>
      <c r="C32" s="18" t="s">
        <v>1482</v>
      </c>
      <c r="D32" s="19"/>
      <c r="E32" s="20" t="s">
        <v>31</v>
      </c>
      <c r="F32" s="21">
        <f>4056000*1.1</f>
        <v>4461600</v>
      </c>
      <c r="G32" s="21">
        <v>25</v>
      </c>
      <c r="H32" s="22">
        <v>0.8</v>
      </c>
    </row>
    <row r="33" spans="1:8" customFormat="1" ht="27">
      <c r="A33" s="16"/>
      <c r="B33" s="17" t="s">
        <v>1483</v>
      </c>
      <c r="C33" s="18" t="s">
        <v>1484</v>
      </c>
      <c r="D33" s="19"/>
      <c r="E33" s="20" t="s">
        <v>31</v>
      </c>
      <c r="F33" s="21">
        <f>4006000*1.1</f>
        <v>4406600</v>
      </c>
      <c r="G33" s="21">
        <v>25</v>
      </c>
      <c r="H33" s="22">
        <v>0.8</v>
      </c>
    </row>
    <row r="34" spans="1:8" customFormat="1" ht="27">
      <c r="A34" s="16"/>
      <c r="B34" s="17" t="s">
        <v>1485</v>
      </c>
      <c r="C34" s="18" t="s">
        <v>1486</v>
      </c>
      <c r="D34" s="19"/>
      <c r="E34" s="20" t="s">
        <v>31</v>
      </c>
      <c r="F34" s="21">
        <f>3956000*1.1</f>
        <v>4351600</v>
      </c>
      <c r="G34" s="21">
        <v>25</v>
      </c>
      <c r="H34" s="22">
        <v>0.8</v>
      </c>
    </row>
    <row r="35" spans="1:8" customFormat="1" ht="27">
      <c r="A35" s="16"/>
      <c r="B35" s="17" t="s">
        <v>1487</v>
      </c>
      <c r="C35" s="18" t="s">
        <v>1488</v>
      </c>
      <c r="D35" s="19"/>
      <c r="E35" s="20" t="s">
        <v>31</v>
      </c>
      <c r="F35" s="21">
        <f>3906000*1.1</f>
        <v>4296600</v>
      </c>
      <c r="G35" s="21">
        <v>25</v>
      </c>
      <c r="H35" s="22">
        <v>0.8</v>
      </c>
    </row>
    <row r="36" spans="1:8" customFormat="1" ht="27">
      <c r="A36" s="16"/>
      <c r="B36" s="17" t="s">
        <v>1489</v>
      </c>
      <c r="C36" s="18" t="s">
        <v>1490</v>
      </c>
      <c r="D36" s="19"/>
      <c r="E36" s="20" t="s">
        <v>31</v>
      </c>
      <c r="F36" s="21">
        <f>3856000*1.1</f>
        <v>4241600</v>
      </c>
      <c r="G36" s="21">
        <v>25</v>
      </c>
      <c r="H36" s="22">
        <v>0.8</v>
      </c>
    </row>
    <row r="37" spans="1:8" customFormat="1" ht="27">
      <c r="A37" s="16"/>
      <c r="B37" s="17" t="s">
        <v>1491</v>
      </c>
      <c r="C37" s="18" t="s">
        <v>1492</v>
      </c>
      <c r="D37" s="19"/>
      <c r="E37" s="20" t="s">
        <v>31</v>
      </c>
      <c r="F37" s="21">
        <f>3806000*1.1</f>
        <v>4186600.0000000005</v>
      </c>
      <c r="G37" s="21">
        <v>25</v>
      </c>
      <c r="H37" s="22">
        <v>0.8</v>
      </c>
    </row>
    <row r="38" spans="1:8" customFormat="1" ht="14.5">
      <c r="A38" s="16"/>
      <c r="B38" s="17"/>
      <c r="C38" s="18" t="s">
        <v>1493</v>
      </c>
      <c r="D38" s="19"/>
      <c r="E38" s="20"/>
      <c r="F38" s="21"/>
      <c r="G38" s="21"/>
      <c r="H38" s="22"/>
    </row>
    <row r="39" spans="1:8" customFormat="1" ht="26">
      <c r="A39" s="12">
        <v>3</v>
      </c>
      <c r="B39" s="256" t="s">
        <v>1494</v>
      </c>
      <c r="C39" s="257" t="s">
        <v>1495</v>
      </c>
      <c r="D39" s="12"/>
      <c r="E39" s="12"/>
      <c r="F39" s="14"/>
      <c r="G39" s="14"/>
      <c r="H39" s="15"/>
    </row>
    <row r="40" spans="1:8" customFormat="1" ht="27">
      <c r="A40" s="23"/>
      <c r="B40" s="24"/>
      <c r="C40" s="18" t="s">
        <v>1496</v>
      </c>
      <c r="D40" s="19"/>
      <c r="E40" s="25"/>
      <c r="F40" s="26"/>
      <c r="G40" s="26"/>
      <c r="H40" s="27"/>
    </row>
    <row r="41" spans="1:8" customFormat="1" ht="27">
      <c r="A41" s="23"/>
      <c r="B41" s="24" t="s">
        <v>1497</v>
      </c>
      <c r="C41" s="18" t="s">
        <v>1498</v>
      </c>
      <c r="D41" s="19"/>
      <c r="E41" s="25" t="s">
        <v>31</v>
      </c>
      <c r="F41" s="26">
        <f>2627000*1.1</f>
        <v>2889700.0000000005</v>
      </c>
      <c r="G41" s="26">
        <v>25</v>
      </c>
      <c r="H41" s="27">
        <v>0.8</v>
      </c>
    </row>
    <row r="42" spans="1:8" customFormat="1" ht="27">
      <c r="A42" s="16"/>
      <c r="B42" s="24" t="s">
        <v>1499</v>
      </c>
      <c r="C42" s="18" t="s">
        <v>1500</v>
      </c>
      <c r="D42" s="19"/>
      <c r="E42" s="25" t="s">
        <v>31</v>
      </c>
      <c r="F42" s="21">
        <f>2586000*1.1</f>
        <v>2844600</v>
      </c>
      <c r="G42" s="26">
        <v>25</v>
      </c>
      <c r="H42" s="27">
        <v>0.8</v>
      </c>
    </row>
    <row r="43" spans="1:8" customFormat="1" ht="27">
      <c r="A43" s="16"/>
      <c r="B43" s="24" t="s">
        <v>1501</v>
      </c>
      <c r="C43" s="18" t="s">
        <v>1502</v>
      </c>
      <c r="D43" s="19"/>
      <c r="E43" s="25" t="s">
        <v>31</v>
      </c>
      <c r="F43" s="21">
        <f>2545000*1.1</f>
        <v>2799500</v>
      </c>
      <c r="G43" s="26">
        <v>25</v>
      </c>
      <c r="H43" s="27">
        <v>0.8</v>
      </c>
    </row>
    <row r="44" spans="1:8" customFormat="1" ht="27">
      <c r="A44" s="16"/>
      <c r="B44" s="24" t="s">
        <v>1503</v>
      </c>
      <c r="C44" s="18" t="s">
        <v>1504</v>
      </c>
      <c r="D44" s="19"/>
      <c r="E44" s="25" t="s">
        <v>31</v>
      </c>
      <c r="F44" s="21">
        <f>2504000*1.1</f>
        <v>2754400</v>
      </c>
      <c r="G44" s="26">
        <v>25</v>
      </c>
      <c r="H44" s="27">
        <v>0.8</v>
      </c>
    </row>
    <row r="45" spans="1:8" customFormat="1" ht="27">
      <c r="A45" s="16"/>
      <c r="B45" s="24" t="s">
        <v>1505</v>
      </c>
      <c r="C45" s="18" t="s">
        <v>1506</v>
      </c>
      <c r="D45" s="19"/>
      <c r="E45" s="25" t="s">
        <v>31</v>
      </c>
      <c r="F45" s="21">
        <f>2463000*1.1</f>
        <v>2709300</v>
      </c>
      <c r="G45" s="26">
        <v>25</v>
      </c>
      <c r="H45" s="27">
        <v>0.8</v>
      </c>
    </row>
    <row r="46" spans="1:8" customFormat="1" ht="27">
      <c r="A46" s="16"/>
      <c r="B46" s="24" t="s">
        <v>1507</v>
      </c>
      <c r="C46" s="18" t="s">
        <v>1508</v>
      </c>
      <c r="D46" s="19"/>
      <c r="E46" s="25" t="s">
        <v>31</v>
      </c>
      <c r="F46" s="21">
        <f>2422000*1.1</f>
        <v>2664200</v>
      </c>
      <c r="G46" s="26">
        <v>25</v>
      </c>
      <c r="H46" s="27">
        <v>0.8</v>
      </c>
    </row>
    <row r="47" spans="1:8" customFormat="1" ht="27">
      <c r="A47" s="16"/>
      <c r="B47" s="24" t="s">
        <v>1509</v>
      </c>
      <c r="C47" s="18" t="s">
        <v>1510</v>
      </c>
      <c r="D47" s="19"/>
      <c r="E47" s="25" t="s">
        <v>31</v>
      </c>
      <c r="F47" s="21">
        <f>2381000*1.1</f>
        <v>2619100</v>
      </c>
      <c r="G47" s="26">
        <v>25</v>
      </c>
      <c r="H47" s="27">
        <v>0.8</v>
      </c>
    </row>
    <row r="48" spans="1:8" customFormat="1" ht="27">
      <c r="A48" s="16"/>
      <c r="B48" s="24" t="s">
        <v>1511</v>
      </c>
      <c r="C48" s="18" t="s">
        <v>1512</v>
      </c>
      <c r="D48" s="19"/>
      <c r="E48" s="25" t="s">
        <v>31</v>
      </c>
      <c r="F48" s="21">
        <f>2340000*1.1</f>
        <v>2574000</v>
      </c>
      <c r="G48" s="26">
        <v>25</v>
      </c>
      <c r="H48" s="27">
        <v>0.8</v>
      </c>
    </row>
    <row r="49" spans="1:8" customFormat="1" ht="27">
      <c r="A49" s="16"/>
      <c r="B49" s="24" t="s">
        <v>1513</v>
      </c>
      <c r="C49" s="18" t="s">
        <v>1514</v>
      </c>
      <c r="D49" s="19"/>
      <c r="E49" s="25" t="s">
        <v>31</v>
      </c>
      <c r="F49" s="21">
        <f>2299000*1.1</f>
        <v>2528900</v>
      </c>
      <c r="G49" s="26">
        <v>25</v>
      </c>
      <c r="H49" s="27">
        <v>0.8</v>
      </c>
    </row>
    <row r="50" spans="1:8" customFormat="1" ht="27">
      <c r="A50" s="16"/>
      <c r="B50" s="24" t="s">
        <v>1515</v>
      </c>
      <c r="C50" s="18" t="s">
        <v>1516</v>
      </c>
      <c r="D50" s="19"/>
      <c r="E50" s="25" t="s">
        <v>31</v>
      </c>
      <c r="F50" s="21">
        <f>2258000*1.1</f>
        <v>2483800</v>
      </c>
      <c r="G50" s="26">
        <v>25</v>
      </c>
      <c r="H50" s="27">
        <v>0.8</v>
      </c>
    </row>
    <row r="51" spans="1:8" customFormat="1" ht="27">
      <c r="A51" s="16"/>
      <c r="B51" s="24" t="s">
        <v>1517</v>
      </c>
      <c r="C51" s="18" t="s">
        <v>1518</v>
      </c>
      <c r="D51" s="19"/>
      <c r="E51" s="25" t="s">
        <v>31</v>
      </c>
      <c r="F51" s="21">
        <f>2217000*1.1</f>
        <v>2438700</v>
      </c>
      <c r="G51" s="26">
        <v>25</v>
      </c>
      <c r="H51" s="27">
        <v>0.8</v>
      </c>
    </row>
    <row r="52" spans="1:8" customFormat="1" ht="26">
      <c r="A52" s="12"/>
      <c r="B52" s="256" t="s">
        <v>1494</v>
      </c>
      <c r="C52" s="257" t="s">
        <v>1519</v>
      </c>
      <c r="D52" s="12"/>
      <c r="E52" s="12"/>
      <c r="F52" s="14"/>
      <c r="G52" s="14"/>
      <c r="H52" s="15"/>
    </row>
    <row r="53" spans="1:8" customFormat="1" ht="27">
      <c r="A53" s="16"/>
      <c r="B53" s="24"/>
      <c r="C53" s="18" t="s">
        <v>1520</v>
      </c>
      <c r="D53" s="19"/>
      <c r="E53" s="25"/>
      <c r="F53" s="26"/>
      <c r="G53" s="26"/>
      <c r="H53" s="27"/>
    </row>
    <row r="54" spans="1:8" customFormat="1" ht="27">
      <c r="A54" s="16"/>
      <c r="B54" s="24" t="s">
        <v>1521</v>
      </c>
      <c r="C54" s="18" t="s">
        <v>1522</v>
      </c>
      <c r="D54" s="19"/>
      <c r="E54" s="25" t="s">
        <v>31</v>
      </c>
      <c r="F54" s="26">
        <f>2484000*1.1</f>
        <v>2732400</v>
      </c>
      <c r="G54" s="26">
        <v>25</v>
      </c>
      <c r="H54" s="27">
        <v>0.8</v>
      </c>
    </row>
    <row r="55" spans="1:8" customFormat="1" ht="27">
      <c r="A55" s="16"/>
      <c r="B55" s="24" t="s">
        <v>1523</v>
      </c>
      <c r="C55" s="18" t="s">
        <v>1524</v>
      </c>
      <c r="D55" s="19"/>
      <c r="E55" s="25" t="s">
        <v>31</v>
      </c>
      <c r="F55" s="21">
        <f>2445000*1.1</f>
        <v>2689500</v>
      </c>
      <c r="G55" s="26">
        <v>25</v>
      </c>
      <c r="H55" s="27">
        <v>0.8</v>
      </c>
    </row>
    <row r="56" spans="1:8" customFormat="1" ht="27">
      <c r="A56" s="16"/>
      <c r="B56" s="24" t="s">
        <v>1525</v>
      </c>
      <c r="C56" s="18" t="s">
        <v>1526</v>
      </c>
      <c r="D56" s="19"/>
      <c r="E56" s="25" t="s">
        <v>31</v>
      </c>
      <c r="F56" s="21">
        <f>2406000*1.1</f>
        <v>2646600</v>
      </c>
      <c r="G56" s="26">
        <v>25</v>
      </c>
      <c r="H56" s="27">
        <v>0.8</v>
      </c>
    </row>
    <row r="57" spans="1:8" customFormat="1" ht="27">
      <c r="A57" s="16"/>
      <c r="B57" s="24" t="s">
        <v>1527</v>
      </c>
      <c r="C57" s="18" t="s">
        <v>1528</v>
      </c>
      <c r="D57" s="19"/>
      <c r="E57" s="25" t="s">
        <v>31</v>
      </c>
      <c r="F57" s="21">
        <f>2367000*1.1</f>
        <v>2603700</v>
      </c>
      <c r="G57" s="26">
        <v>25</v>
      </c>
      <c r="H57" s="27">
        <v>0.8</v>
      </c>
    </row>
    <row r="58" spans="1:8" customFormat="1" ht="27">
      <c r="A58" s="16"/>
      <c r="B58" s="24" t="s">
        <v>1529</v>
      </c>
      <c r="C58" s="18" t="s">
        <v>1530</v>
      </c>
      <c r="D58" s="19"/>
      <c r="E58" s="25" t="s">
        <v>31</v>
      </c>
      <c r="F58" s="21">
        <f>2328000*1.1</f>
        <v>2560800</v>
      </c>
      <c r="G58" s="26">
        <v>25</v>
      </c>
      <c r="H58" s="27">
        <v>0.8</v>
      </c>
    </row>
    <row r="59" spans="1:8" customFormat="1" ht="27">
      <c r="A59" s="16"/>
      <c r="B59" s="24" t="s">
        <v>1531</v>
      </c>
      <c r="C59" s="18" t="s">
        <v>1532</v>
      </c>
      <c r="D59" s="19"/>
      <c r="E59" s="25" t="s">
        <v>31</v>
      </c>
      <c r="F59" s="21">
        <f>2289000*1.1</f>
        <v>2517900</v>
      </c>
      <c r="G59" s="26">
        <v>25</v>
      </c>
      <c r="H59" s="27">
        <v>0.8</v>
      </c>
    </row>
    <row r="60" spans="1:8" customFormat="1" ht="27">
      <c r="A60" s="16"/>
      <c r="B60" s="24" t="s">
        <v>1533</v>
      </c>
      <c r="C60" s="18" t="s">
        <v>1534</v>
      </c>
      <c r="D60" s="19"/>
      <c r="E60" s="25" t="s">
        <v>31</v>
      </c>
      <c r="F60" s="21">
        <f>2250000*1.1</f>
        <v>2475000</v>
      </c>
      <c r="G60" s="26">
        <v>25</v>
      </c>
      <c r="H60" s="27">
        <v>0.8</v>
      </c>
    </row>
    <row r="61" spans="1:8" customFormat="1" ht="27">
      <c r="A61" s="16"/>
      <c r="B61" s="24" t="s">
        <v>1535</v>
      </c>
      <c r="C61" s="18" t="s">
        <v>1536</v>
      </c>
      <c r="D61" s="19"/>
      <c r="E61" s="25" t="s">
        <v>31</v>
      </c>
      <c r="F61" s="21">
        <f>2211000*1.1</f>
        <v>2432100</v>
      </c>
      <c r="G61" s="26">
        <v>25</v>
      </c>
      <c r="H61" s="27">
        <v>0.8</v>
      </c>
    </row>
    <row r="62" spans="1:8" customFormat="1" ht="27">
      <c r="A62" s="16"/>
      <c r="B62" s="24" t="s">
        <v>1537</v>
      </c>
      <c r="C62" s="18" t="s">
        <v>1538</v>
      </c>
      <c r="D62" s="19"/>
      <c r="E62" s="25" t="s">
        <v>31</v>
      </c>
      <c r="F62" s="21">
        <f>2172000*1.1</f>
        <v>2389200</v>
      </c>
      <c r="G62" s="26">
        <v>25</v>
      </c>
      <c r="H62" s="27">
        <v>0.8</v>
      </c>
    </row>
    <row r="63" spans="1:8" customFormat="1" ht="27">
      <c r="A63" s="16"/>
      <c r="B63" s="24" t="s">
        <v>1539</v>
      </c>
      <c r="C63" s="18" t="s">
        <v>1540</v>
      </c>
      <c r="D63" s="19"/>
      <c r="E63" s="25" t="s">
        <v>31</v>
      </c>
      <c r="F63" s="21">
        <f>2133000*1.1</f>
        <v>2346300</v>
      </c>
      <c r="G63" s="26">
        <v>25</v>
      </c>
      <c r="H63" s="27">
        <v>0.8</v>
      </c>
    </row>
    <row r="64" spans="1:8" customFormat="1" ht="27">
      <c r="A64" s="16"/>
      <c r="B64" s="24" t="s">
        <v>1541</v>
      </c>
      <c r="C64" s="18" t="s">
        <v>1542</v>
      </c>
      <c r="D64" s="19"/>
      <c r="E64" s="25" t="s">
        <v>31</v>
      </c>
      <c r="F64" s="21">
        <f>2094000*1.1</f>
        <v>2303400</v>
      </c>
      <c r="G64" s="26">
        <v>25</v>
      </c>
      <c r="H64" s="27">
        <v>0.8</v>
      </c>
    </row>
    <row r="65" spans="1:8" customFormat="1" ht="26">
      <c r="A65" s="12"/>
      <c r="B65" s="256" t="s">
        <v>1494</v>
      </c>
      <c r="C65" s="257" t="s">
        <v>1543</v>
      </c>
      <c r="D65" s="12"/>
      <c r="E65" s="12"/>
      <c r="F65" s="14"/>
      <c r="G65" s="14"/>
      <c r="H65" s="15"/>
    </row>
    <row r="66" spans="1:8" customFormat="1" ht="27">
      <c r="A66" s="16"/>
      <c r="B66" s="17"/>
      <c r="C66" s="18" t="s">
        <v>1544</v>
      </c>
      <c r="D66" s="19"/>
      <c r="E66" s="20"/>
      <c r="F66" s="21"/>
      <c r="G66" s="21"/>
      <c r="H66" s="22"/>
    </row>
    <row r="67" spans="1:8" customFormat="1" ht="27">
      <c r="A67" s="16"/>
      <c r="B67" s="24" t="s">
        <v>1545</v>
      </c>
      <c r="C67" s="18" t="s">
        <v>1546</v>
      </c>
      <c r="D67" s="19"/>
      <c r="E67" s="20" t="s">
        <v>31</v>
      </c>
      <c r="F67" s="21">
        <f>2225000*1.1</f>
        <v>2447500</v>
      </c>
      <c r="G67" s="21">
        <v>25</v>
      </c>
      <c r="H67" s="22">
        <v>0.8</v>
      </c>
    </row>
    <row r="68" spans="1:8" customFormat="1" ht="27">
      <c r="A68" s="16"/>
      <c r="B68" s="24" t="s">
        <v>1547</v>
      </c>
      <c r="C68" s="18" t="s">
        <v>1548</v>
      </c>
      <c r="D68" s="19"/>
      <c r="E68" s="20" t="s">
        <v>31</v>
      </c>
      <c r="F68" s="21">
        <f>2190000*1.1</f>
        <v>2409000</v>
      </c>
      <c r="G68" s="21">
        <v>25</v>
      </c>
      <c r="H68" s="22"/>
    </row>
    <row r="69" spans="1:8" customFormat="1" ht="27">
      <c r="A69" s="16"/>
      <c r="B69" s="24" t="s">
        <v>1549</v>
      </c>
      <c r="C69" s="18" t="s">
        <v>1550</v>
      </c>
      <c r="D69" s="19"/>
      <c r="E69" s="20" t="s">
        <v>31</v>
      </c>
      <c r="F69" s="21">
        <f>2155000*1.1</f>
        <v>2370500</v>
      </c>
      <c r="G69" s="21">
        <v>25</v>
      </c>
      <c r="H69" s="22"/>
    </row>
    <row r="70" spans="1:8" customFormat="1" ht="27">
      <c r="A70" s="16"/>
      <c r="B70" s="24" t="s">
        <v>1551</v>
      </c>
      <c r="C70" s="18" t="s">
        <v>1552</v>
      </c>
      <c r="D70" s="19"/>
      <c r="E70" s="20" t="s">
        <v>31</v>
      </c>
      <c r="F70" s="21">
        <f>2120000*1.1</f>
        <v>2332000</v>
      </c>
      <c r="G70" s="21">
        <v>25</v>
      </c>
      <c r="H70" s="22"/>
    </row>
    <row r="71" spans="1:8" customFormat="1" ht="27">
      <c r="A71" s="16"/>
      <c r="B71" s="24" t="s">
        <v>1553</v>
      </c>
      <c r="C71" s="18" t="s">
        <v>1554</v>
      </c>
      <c r="D71" s="19"/>
      <c r="E71" s="20" t="s">
        <v>31</v>
      </c>
      <c r="F71" s="21">
        <f>2085000*1.1</f>
        <v>2293500</v>
      </c>
      <c r="G71" s="21">
        <v>25</v>
      </c>
      <c r="H71" s="22"/>
    </row>
    <row r="72" spans="1:8" customFormat="1" ht="27">
      <c r="A72" s="16"/>
      <c r="B72" s="24" t="s">
        <v>1555</v>
      </c>
      <c r="C72" s="18" t="s">
        <v>1556</v>
      </c>
      <c r="D72" s="19"/>
      <c r="E72" s="20" t="s">
        <v>31</v>
      </c>
      <c r="F72" s="21">
        <f>2050000*1.1</f>
        <v>2255000</v>
      </c>
      <c r="G72" s="21">
        <v>25</v>
      </c>
      <c r="H72" s="22"/>
    </row>
    <row r="73" spans="1:8" customFormat="1" ht="27">
      <c r="A73" s="16"/>
      <c r="B73" s="24" t="s">
        <v>1557</v>
      </c>
      <c r="C73" s="18" t="s">
        <v>1558</v>
      </c>
      <c r="D73" s="19"/>
      <c r="E73" s="20" t="s">
        <v>31</v>
      </c>
      <c r="F73" s="21">
        <f>2015000*1.1</f>
        <v>2216500</v>
      </c>
      <c r="G73" s="21">
        <v>25</v>
      </c>
      <c r="H73" s="22"/>
    </row>
    <row r="74" spans="1:8" customFormat="1" ht="27">
      <c r="A74" s="16"/>
      <c r="B74" s="24" t="s">
        <v>1559</v>
      </c>
      <c r="C74" s="18" t="s">
        <v>1560</v>
      </c>
      <c r="D74" s="19"/>
      <c r="E74" s="20" t="s">
        <v>31</v>
      </c>
      <c r="F74" s="21">
        <f>1980000*1.1</f>
        <v>2178000</v>
      </c>
      <c r="G74" s="21">
        <v>25</v>
      </c>
      <c r="H74" s="22"/>
    </row>
    <row r="75" spans="1:8" customFormat="1" ht="27">
      <c r="A75" s="16"/>
      <c r="B75" s="24" t="s">
        <v>1561</v>
      </c>
      <c r="C75" s="18" t="s">
        <v>1562</v>
      </c>
      <c r="D75" s="19"/>
      <c r="E75" s="20" t="s">
        <v>31</v>
      </c>
      <c r="F75" s="21">
        <f>1945000*1.1</f>
        <v>2139500</v>
      </c>
      <c r="G75" s="21">
        <v>25</v>
      </c>
      <c r="H75" s="22"/>
    </row>
    <row r="76" spans="1:8" customFormat="1" ht="27">
      <c r="A76" s="16"/>
      <c r="B76" s="24" t="s">
        <v>1563</v>
      </c>
      <c r="C76" s="18" t="s">
        <v>1564</v>
      </c>
      <c r="D76" s="19"/>
      <c r="E76" s="20" t="s">
        <v>31</v>
      </c>
      <c r="F76" s="21">
        <f>1910000*1.1</f>
        <v>2101000</v>
      </c>
      <c r="G76" s="21">
        <v>25</v>
      </c>
      <c r="H76" s="22"/>
    </row>
    <row r="77" spans="1:8" customFormat="1" ht="27">
      <c r="A77" s="16"/>
      <c r="B77" s="24" t="s">
        <v>1565</v>
      </c>
      <c r="C77" s="18" t="s">
        <v>1566</v>
      </c>
      <c r="D77" s="19"/>
      <c r="E77" s="20" t="s">
        <v>31</v>
      </c>
      <c r="F77" s="21">
        <f>1875000*1.1</f>
        <v>2062500.0000000002</v>
      </c>
      <c r="G77" s="21">
        <v>25</v>
      </c>
      <c r="H77" s="22"/>
    </row>
    <row r="78" spans="1:8" customFormat="1" ht="26">
      <c r="A78" s="12">
        <v>4</v>
      </c>
      <c r="B78" s="256" t="s">
        <v>1494</v>
      </c>
      <c r="C78" s="257" t="s">
        <v>1567</v>
      </c>
      <c r="D78" s="12"/>
      <c r="E78" s="12"/>
      <c r="F78" s="14"/>
      <c r="G78" s="14"/>
      <c r="H78" s="15"/>
    </row>
    <row r="79" spans="1:8" customFormat="1" ht="27">
      <c r="A79" s="16"/>
      <c r="B79" s="24" t="s">
        <v>29</v>
      </c>
      <c r="C79" s="18" t="s">
        <v>1568</v>
      </c>
      <c r="D79" s="19"/>
      <c r="E79" s="20"/>
      <c r="F79" s="21"/>
      <c r="G79" s="21"/>
      <c r="H79" s="22"/>
    </row>
    <row r="80" spans="1:8" customFormat="1" ht="27">
      <c r="A80" s="16"/>
      <c r="B80" s="24" t="s">
        <v>1569</v>
      </c>
      <c r="C80" s="18" t="s">
        <v>1570</v>
      </c>
      <c r="D80" s="19"/>
      <c r="E80" s="20" t="s">
        <v>31</v>
      </c>
      <c r="F80" s="21">
        <f>2539000*1.1</f>
        <v>2792900</v>
      </c>
      <c r="G80" s="21">
        <v>25</v>
      </c>
      <c r="H80" s="22">
        <v>0.8</v>
      </c>
    </row>
    <row r="81" spans="1:8" customFormat="1" ht="27">
      <c r="A81" s="16"/>
      <c r="B81" s="24" t="s">
        <v>1571</v>
      </c>
      <c r="C81" s="18" t="s">
        <v>1572</v>
      </c>
      <c r="D81" s="19"/>
      <c r="E81" s="20" t="s">
        <v>31</v>
      </c>
      <c r="F81" s="21">
        <f>2499000*1.1</f>
        <v>2748900</v>
      </c>
      <c r="G81" s="21">
        <v>25</v>
      </c>
      <c r="H81" s="22">
        <v>0.8</v>
      </c>
    </row>
    <row r="82" spans="1:8" customFormat="1" ht="27">
      <c r="A82" s="16"/>
      <c r="B82" s="24" t="s">
        <v>1573</v>
      </c>
      <c r="C82" s="18" t="s">
        <v>1574</v>
      </c>
      <c r="D82" s="19"/>
      <c r="E82" s="20" t="s">
        <v>31</v>
      </c>
      <c r="F82" s="21">
        <f>2459000*1.1</f>
        <v>2704900</v>
      </c>
      <c r="G82" s="21">
        <v>25</v>
      </c>
      <c r="H82" s="22">
        <v>0.8</v>
      </c>
    </row>
    <row r="83" spans="1:8" customFormat="1" ht="27">
      <c r="A83" s="16"/>
      <c r="B83" s="24" t="s">
        <v>1575</v>
      </c>
      <c r="C83" s="18" t="s">
        <v>1576</v>
      </c>
      <c r="D83" s="19"/>
      <c r="E83" s="20" t="s">
        <v>31</v>
      </c>
      <c r="F83" s="21">
        <f>2419000*1.1</f>
        <v>2660900</v>
      </c>
      <c r="G83" s="21">
        <v>25</v>
      </c>
      <c r="H83" s="22">
        <v>0.8</v>
      </c>
    </row>
    <row r="84" spans="1:8" customFormat="1" ht="27">
      <c r="A84" s="16"/>
      <c r="B84" s="24" t="s">
        <v>1577</v>
      </c>
      <c r="C84" s="18" t="s">
        <v>1578</v>
      </c>
      <c r="D84" s="19"/>
      <c r="E84" s="20" t="s">
        <v>31</v>
      </c>
      <c r="F84" s="21">
        <f>2379000*1.1</f>
        <v>2616900</v>
      </c>
      <c r="G84" s="21">
        <v>25</v>
      </c>
      <c r="H84" s="22">
        <v>0.8</v>
      </c>
    </row>
    <row r="85" spans="1:8" customFormat="1" ht="27">
      <c r="A85" s="16"/>
      <c r="B85" s="24" t="s">
        <v>1579</v>
      </c>
      <c r="C85" s="18" t="s">
        <v>1580</v>
      </c>
      <c r="D85" s="19"/>
      <c r="E85" s="20" t="s">
        <v>31</v>
      </c>
      <c r="F85" s="21">
        <f>2339000*1.1</f>
        <v>2572900</v>
      </c>
      <c r="G85" s="21">
        <v>25</v>
      </c>
      <c r="H85" s="22">
        <v>0.8</v>
      </c>
    </row>
    <row r="86" spans="1:8" customFormat="1" ht="27">
      <c r="A86" s="16"/>
      <c r="B86" s="24" t="s">
        <v>1581</v>
      </c>
      <c r="C86" s="18" t="s">
        <v>1582</v>
      </c>
      <c r="D86" s="19"/>
      <c r="E86" s="20" t="s">
        <v>31</v>
      </c>
      <c r="F86" s="21">
        <f>2299000*1.1</f>
        <v>2528900</v>
      </c>
      <c r="G86" s="21">
        <v>25</v>
      </c>
      <c r="H86" s="22">
        <v>0.8</v>
      </c>
    </row>
    <row r="87" spans="1:8" customFormat="1" ht="27">
      <c r="A87" s="16"/>
      <c r="B87" s="24" t="s">
        <v>1583</v>
      </c>
      <c r="C87" s="18" t="s">
        <v>1584</v>
      </c>
      <c r="D87" s="19"/>
      <c r="E87" s="20" t="s">
        <v>31</v>
      </c>
      <c r="F87" s="21">
        <f>2259000*1.1</f>
        <v>2484900</v>
      </c>
      <c r="G87" s="21">
        <v>25</v>
      </c>
      <c r="H87" s="22">
        <v>0.8</v>
      </c>
    </row>
    <row r="88" spans="1:8" customFormat="1" ht="27">
      <c r="A88" s="16"/>
      <c r="B88" s="24" t="s">
        <v>1585</v>
      </c>
      <c r="C88" s="18" t="s">
        <v>1586</v>
      </c>
      <c r="D88" s="19"/>
      <c r="E88" s="20" t="s">
        <v>31</v>
      </c>
      <c r="F88" s="21">
        <f>2219000*1.1</f>
        <v>2440900</v>
      </c>
      <c r="G88" s="21">
        <v>25</v>
      </c>
      <c r="H88" s="22">
        <v>0.8</v>
      </c>
    </row>
    <row r="89" spans="1:8" customFormat="1" ht="27">
      <c r="A89" s="16"/>
      <c r="B89" s="24" t="s">
        <v>1587</v>
      </c>
      <c r="C89" s="18" t="s">
        <v>1588</v>
      </c>
      <c r="D89" s="19"/>
      <c r="E89" s="20" t="s">
        <v>31</v>
      </c>
      <c r="F89" s="21">
        <f>2179000*1.1</f>
        <v>2396900</v>
      </c>
      <c r="G89" s="21">
        <v>25</v>
      </c>
      <c r="H89" s="22">
        <v>0.8</v>
      </c>
    </row>
    <row r="90" spans="1:8" customFormat="1" ht="27">
      <c r="A90" s="16"/>
      <c r="B90" s="24" t="s">
        <v>1589</v>
      </c>
      <c r="C90" s="18" t="s">
        <v>1590</v>
      </c>
      <c r="D90" s="19"/>
      <c r="E90" s="20" t="s">
        <v>31</v>
      </c>
      <c r="F90" s="21">
        <f>2139000*1.1</f>
        <v>2352900</v>
      </c>
      <c r="G90" s="21">
        <v>25</v>
      </c>
      <c r="H90" s="22">
        <v>0.8</v>
      </c>
    </row>
    <row r="91" spans="1:8" customFormat="1" ht="26">
      <c r="A91" s="12"/>
      <c r="B91" s="256" t="s">
        <v>1494</v>
      </c>
      <c r="C91" s="257" t="s">
        <v>1591</v>
      </c>
      <c r="D91" s="12"/>
      <c r="E91" s="12"/>
      <c r="F91" s="14"/>
      <c r="G91" s="14"/>
      <c r="H91" s="15"/>
    </row>
    <row r="92" spans="1:8" customFormat="1" ht="27">
      <c r="A92" s="16"/>
      <c r="B92" s="24"/>
      <c r="C92" s="18" t="s">
        <v>1592</v>
      </c>
      <c r="D92" s="19"/>
      <c r="E92" s="20"/>
      <c r="F92" s="21"/>
      <c r="G92" s="21"/>
      <c r="H92" s="22"/>
    </row>
    <row r="93" spans="1:8" customFormat="1" ht="27">
      <c r="A93" s="16"/>
      <c r="B93" s="24" t="s">
        <v>1593</v>
      </c>
      <c r="C93" s="18" t="s">
        <v>1594</v>
      </c>
      <c r="D93" s="19"/>
      <c r="E93" s="20" t="s">
        <v>31</v>
      </c>
      <c r="F93" s="21">
        <f>2439000*1.1</f>
        <v>2682900</v>
      </c>
      <c r="G93" s="21">
        <v>25</v>
      </c>
      <c r="H93" s="22">
        <v>0.8</v>
      </c>
    </row>
    <row r="94" spans="1:8" customFormat="1" ht="27">
      <c r="A94" s="16"/>
      <c r="B94" s="24" t="s">
        <v>1595</v>
      </c>
      <c r="C94" s="18" t="s">
        <v>1596</v>
      </c>
      <c r="D94" s="19"/>
      <c r="E94" s="20" t="s">
        <v>31</v>
      </c>
      <c r="F94" s="21">
        <f>2401000*1.1</f>
        <v>2641100</v>
      </c>
      <c r="G94" s="21">
        <v>25</v>
      </c>
      <c r="H94" s="22">
        <v>0.8</v>
      </c>
    </row>
    <row r="95" spans="1:8" customFormat="1" ht="27">
      <c r="A95" s="16"/>
      <c r="B95" s="24" t="s">
        <v>1597</v>
      </c>
      <c r="C95" s="18" t="s">
        <v>1598</v>
      </c>
      <c r="D95" s="19"/>
      <c r="E95" s="20" t="s">
        <v>31</v>
      </c>
      <c r="F95" s="21">
        <f>2363000*1.1</f>
        <v>2599300</v>
      </c>
      <c r="G95" s="21">
        <v>25</v>
      </c>
      <c r="H95" s="22">
        <v>0.8</v>
      </c>
    </row>
    <row r="96" spans="1:8" customFormat="1" ht="27">
      <c r="A96" s="16"/>
      <c r="B96" s="24" t="s">
        <v>1599</v>
      </c>
      <c r="C96" s="18" t="s">
        <v>1600</v>
      </c>
      <c r="D96" s="19"/>
      <c r="E96" s="20" t="s">
        <v>31</v>
      </c>
      <c r="F96" s="21">
        <f>2325000*1.1</f>
        <v>2557500</v>
      </c>
      <c r="G96" s="21">
        <v>25</v>
      </c>
      <c r="H96" s="22">
        <v>0.8</v>
      </c>
    </row>
    <row r="97" spans="1:8" customFormat="1" ht="27">
      <c r="A97" s="16"/>
      <c r="B97" s="24" t="s">
        <v>1601</v>
      </c>
      <c r="C97" s="18" t="s">
        <v>1602</v>
      </c>
      <c r="D97" s="19"/>
      <c r="E97" s="20" t="s">
        <v>31</v>
      </c>
      <c r="F97" s="21">
        <f>2287000*1.1</f>
        <v>2515700</v>
      </c>
      <c r="G97" s="21">
        <v>25</v>
      </c>
      <c r="H97" s="22">
        <v>0.8</v>
      </c>
    </row>
    <row r="98" spans="1:8" customFormat="1" ht="27">
      <c r="A98" s="16"/>
      <c r="B98" s="24" t="s">
        <v>1603</v>
      </c>
      <c r="C98" s="18" t="s">
        <v>1604</v>
      </c>
      <c r="D98" s="19"/>
      <c r="E98" s="20" t="s">
        <v>31</v>
      </c>
      <c r="F98" s="21">
        <f>2249000*1.1</f>
        <v>2473900</v>
      </c>
      <c r="G98" s="21">
        <v>25</v>
      </c>
      <c r="H98" s="22">
        <v>0.8</v>
      </c>
    </row>
    <row r="99" spans="1:8" customFormat="1" ht="27">
      <c r="A99" s="16"/>
      <c r="B99" s="24" t="s">
        <v>1605</v>
      </c>
      <c r="C99" s="18" t="s">
        <v>1606</v>
      </c>
      <c r="D99" s="19"/>
      <c r="E99" s="20" t="s">
        <v>31</v>
      </c>
      <c r="F99" s="21">
        <f>2211000*1.1</f>
        <v>2432100</v>
      </c>
      <c r="G99" s="21">
        <v>25</v>
      </c>
      <c r="H99" s="22">
        <v>0.8</v>
      </c>
    </row>
    <row r="100" spans="1:8" customFormat="1" ht="27">
      <c r="A100" s="16"/>
      <c r="B100" s="24" t="s">
        <v>1607</v>
      </c>
      <c r="C100" s="18" t="s">
        <v>1608</v>
      </c>
      <c r="D100" s="19"/>
      <c r="E100" s="20" t="s">
        <v>31</v>
      </c>
      <c r="F100" s="21">
        <f>2173000*1.1</f>
        <v>2390300</v>
      </c>
      <c r="G100" s="21">
        <v>25</v>
      </c>
      <c r="H100" s="22">
        <v>0.8</v>
      </c>
    </row>
    <row r="101" spans="1:8" customFormat="1" ht="27">
      <c r="A101" s="16"/>
      <c r="B101" s="24" t="s">
        <v>1609</v>
      </c>
      <c r="C101" s="18" t="s">
        <v>1610</v>
      </c>
      <c r="D101" s="19"/>
      <c r="E101" s="20" t="s">
        <v>31</v>
      </c>
      <c r="F101" s="21">
        <f>2135000*1.1</f>
        <v>2348500</v>
      </c>
      <c r="G101" s="21">
        <v>25</v>
      </c>
      <c r="H101" s="22">
        <v>0.8</v>
      </c>
    </row>
    <row r="102" spans="1:8" customFormat="1" ht="27">
      <c r="A102" s="16"/>
      <c r="B102" s="24" t="s">
        <v>1611</v>
      </c>
      <c r="C102" s="18" t="s">
        <v>1612</v>
      </c>
      <c r="D102" s="19"/>
      <c r="E102" s="20" t="s">
        <v>31</v>
      </c>
      <c r="F102" s="21">
        <f>2097000*1.1</f>
        <v>2306700</v>
      </c>
      <c r="G102" s="21">
        <v>25</v>
      </c>
      <c r="H102" s="22">
        <v>0.8</v>
      </c>
    </row>
    <row r="103" spans="1:8" customFormat="1" ht="27">
      <c r="A103" s="16"/>
      <c r="B103" s="24" t="s">
        <v>1613</v>
      </c>
      <c r="C103" s="18" t="s">
        <v>1614</v>
      </c>
      <c r="D103" s="19"/>
      <c r="E103" s="20" t="s">
        <v>31</v>
      </c>
      <c r="F103" s="21">
        <f>2059000*1.1</f>
        <v>2264900</v>
      </c>
      <c r="G103" s="21">
        <v>25</v>
      </c>
      <c r="H103" s="22">
        <v>0.8</v>
      </c>
    </row>
    <row r="104" spans="1:8" customFormat="1" ht="26">
      <c r="A104" s="12"/>
      <c r="B104" s="256" t="s">
        <v>1494</v>
      </c>
      <c r="C104" s="257" t="s">
        <v>1615</v>
      </c>
      <c r="D104" s="12"/>
      <c r="E104" s="12"/>
      <c r="F104" s="14"/>
      <c r="G104" s="14"/>
      <c r="H104" s="15"/>
    </row>
    <row r="105" spans="1:8" customFormat="1" ht="27">
      <c r="A105" s="16"/>
      <c r="B105" s="17"/>
      <c r="C105" s="18" t="s">
        <v>1616</v>
      </c>
      <c r="D105" s="19"/>
      <c r="E105" s="20"/>
      <c r="F105" s="21"/>
      <c r="G105" s="21"/>
      <c r="H105" s="22"/>
    </row>
    <row r="106" spans="1:8" customFormat="1" ht="27">
      <c r="A106" s="16"/>
      <c r="B106" s="24" t="s">
        <v>1617</v>
      </c>
      <c r="C106" s="18" t="s">
        <v>1618</v>
      </c>
      <c r="D106" s="19"/>
      <c r="E106" s="20" t="s">
        <v>31</v>
      </c>
      <c r="F106" s="21">
        <f>2180000*1.1</f>
        <v>2398000</v>
      </c>
      <c r="G106" s="21">
        <v>25</v>
      </c>
      <c r="H106" s="22">
        <v>0.8</v>
      </c>
    </row>
    <row r="107" spans="1:8" customFormat="1" ht="27">
      <c r="A107" s="16"/>
      <c r="B107" s="24" t="s">
        <v>1619</v>
      </c>
      <c r="C107" s="18" t="s">
        <v>1620</v>
      </c>
      <c r="D107" s="19"/>
      <c r="E107" s="20" t="s">
        <v>31</v>
      </c>
      <c r="F107" s="21">
        <f>2146000*1.1</f>
        <v>2360600</v>
      </c>
      <c r="G107" s="21">
        <v>25</v>
      </c>
      <c r="H107" s="22">
        <v>0.8</v>
      </c>
    </row>
    <row r="108" spans="1:8" customFormat="1" ht="27">
      <c r="A108" s="16"/>
      <c r="B108" s="24" t="s">
        <v>1621</v>
      </c>
      <c r="C108" s="18" t="s">
        <v>1622</v>
      </c>
      <c r="D108" s="19"/>
      <c r="E108" s="20" t="s">
        <v>31</v>
      </c>
      <c r="F108" s="21">
        <f>2112000*1.1</f>
        <v>2323200</v>
      </c>
      <c r="G108" s="21">
        <v>25</v>
      </c>
      <c r="H108" s="22">
        <v>0.8</v>
      </c>
    </row>
    <row r="109" spans="1:8" customFormat="1" ht="27">
      <c r="A109" s="16"/>
      <c r="B109" s="24" t="s">
        <v>1623</v>
      </c>
      <c r="C109" s="18" t="s">
        <v>1624</v>
      </c>
      <c r="D109" s="19"/>
      <c r="E109" s="20" t="s">
        <v>31</v>
      </c>
      <c r="F109" s="21">
        <f>2078000*1.1</f>
        <v>2285800</v>
      </c>
      <c r="G109" s="21">
        <v>25</v>
      </c>
      <c r="H109" s="22">
        <v>0.8</v>
      </c>
    </row>
    <row r="110" spans="1:8" customFormat="1" ht="27">
      <c r="A110" s="16"/>
      <c r="B110" s="24" t="s">
        <v>1625</v>
      </c>
      <c r="C110" s="18" t="s">
        <v>1626</v>
      </c>
      <c r="D110" s="19"/>
      <c r="E110" s="20" t="s">
        <v>31</v>
      </c>
      <c r="F110" s="21">
        <f>2044000*1.1</f>
        <v>2248400</v>
      </c>
      <c r="G110" s="21">
        <v>25</v>
      </c>
      <c r="H110" s="22">
        <v>0.8</v>
      </c>
    </row>
    <row r="111" spans="1:8" customFormat="1" ht="27">
      <c r="A111" s="16"/>
      <c r="B111" s="24" t="s">
        <v>1627</v>
      </c>
      <c r="C111" s="18" t="s">
        <v>1628</v>
      </c>
      <c r="D111" s="19"/>
      <c r="E111" s="20" t="s">
        <v>31</v>
      </c>
      <c r="F111" s="21">
        <f>2010000*1.1</f>
        <v>2211000</v>
      </c>
      <c r="G111" s="21">
        <v>25</v>
      </c>
      <c r="H111" s="22">
        <v>0.8</v>
      </c>
    </row>
    <row r="112" spans="1:8" customFormat="1" ht="27">
      <c r="A112" s="16"/>
      <c r="B112" s="24" t="s">
        <v>1629</v>
      </c>
      <c r="C112" s="18" t="s">
        <v>1630</v>
      </c>
      <c r="D112" s="19"/>
      <c r="E112" s="20" t="s">
        <v>31</v>
      </c>
      <c r="F112" s="21">
        <f>1976000*1.1</f>
        <v>2173600</v>
      </c>
      <c r="G112" s="21">
        <v>25</v>
      </c>
      <c r="H112" s="22">
        <v>0.8</v>
      </c>
    </row>
    <row r="113" spans="1:8" customFormat="1" ht="27">
      <c r="A113" s="16"/>
      <c r="B113" s="24" t="s">
        <v>1631</v>
      </c>
      <c r="C113" s="18" t="s">
        <v>1632</v>
      </c>
      <c r="D113" s="19"/>
      <c r="E113" s="20" t="s">
        <v>31</v>
      </c>
      <c r="F113" s="21">
        <f>1942000*1.1</f>
        <v>2136200</v>
      </c>
      <c r="G113" s="21">
        <v>25</v>
      </c>
      <c r="H113" s="22">
        <v>0.8</v>
      </c>
    </row>
    <row r="114" spans="1:8" customFormat="1" ht="27">
      <c r="A114" s="16"/>
      <c r="B114" s="24" t="s">
        <v>1633</v>
      </c>
      <c r="C114" s="18" t="s">
        <v>1634</v>
      </c>
      <c r="D114" s="19"/>
      <c r="E114" s="20" t="s">
        <v>31</v>
      </c>
      <c r="F114" s="21">
        <f>1908000*1.1</f>
        <v>2098800</v>
      </c>
      <c r="G114" s="21">
        <v>25</v>
      </c>
      <c r="H114" s="22">
        <v>0.8</v>
      </c>
    </row>
    <row r="115" spans="1:8" customFormat="1" ht="27">
      <c r="A115" s="16"/>
      <c r="B115" s="24" t="s">
        <v>1635</v>
      </c>
      <c r="C115" s="18" t="s">
        <v>1636</v>
      </c>
      <c r="D115" s="19"/>
      <c r="E115" s="20" t="s">
        <v>31</v>
      </c>
      <c r="F115" s="21">
        <f>1874000*1.1</f>
        <v>2061400.0000000002</v>
      </c>
      <c r="G115" s="21">
        <v>25</v>
      </c>
      <c r="H115" s="22">
        <v>0.8</v>
      </c>
    </row>
    <row r="116" spans="1:8" customFormat="1" ht="27">
      <c r="A116" s="16"/>
      <c r="B116" s="24" t="s">
        <v>1637</v>
      </c>
      <c r="C116" s="18" t="s">
        <v>1638</v>
      </c>
      <c r="D116" s="19"/>
      <c r="E116" s="20" t="s">
        <v>31</v>
      </c>
      <c r="F116" s="21">
        <f>1840000*1.1</f>
        <v>2024000.0000000002</v>
      </c>
      <c r="G116" s="21">
        <v>25</v>
      </c>
      <c r="H116" s="22">
        <v>0.8</v>
      </c>
    </row>
    <row r="117" spans="1:8" customFormat="1" ht="26">
      <c r="A117" s="12">
        <v>5</v>
      </c>
      <c r="B117" s="256" t="s">
        <v>1639</v>
      </c>
      <c r="C117" s="257" t="s">
        <v>1640</v>
      </c>
      <c r="D117" s="12"/>
      <c r="E117" s="12"/>
      <c r="F117" s="14"/>
      <c r="G117" s="14"/>
      <c r="H117" s="15"/>
    </row>
    <row r="118" spans="1:8" customFormat="1" ht="14.5">
      <c r="A118" s="23"/>
      <c r="B118" s="17" t="s">
        <v>1641</v>
      </c>
      <c r="C118" s="258" t="s">
        <v>1642</v>
      </c>
      <c r="D118" s="19"/>
      <c r="E118" s="25" t="s">
        <v>31</v>
      </c>
      <c r="F118" s="26">
        <f>3268000*1.1</f>
        <v>3594800.0000000005</v>
      </c>
      <c r="G118" s="26">
        <v>25</v>
      </c>
      <c r="H118" s="27">
        <v>0.8</v>
      </c>
    </row>
    <row r="119" spans="1:8" customFormat="1" ht="14.5">
      <c r="A119" s="16"/>
      <c r="B119" s="17" t="s">
        <v>1643</v>
      </c>
      <c r="C119" s="258" t="s">
        <v>1644</v>
      </c>
      <c r="D119" s="19"/>
      <c r="E119" s="20" t="s">
        <v>31</v>
      </c>
      <c r="F119" s="21">
        <f>3184000*1.1</f>
        <v>3502400.0000000005</v>
      </c>
      <c r="G119" s="21">
        <v>25</v>
      </c>
      <c r="H119" s="27">
        <v>0.8</v>
      </c>
    </row>
    <row r="120" spans="1:8" customFormat="1" ht="14.5">
      <c r="A120" s="16"/>
      <c r="B120" s="17" t="s">
        <v>1645</v>
      </c>
      <c r="C120" s="258" t="s">
        <v>1646</v>
      </c>
      <c r="D120" s="19"/>
      <c r="E120" s="20" t="s">
        <v>31</v>
      </c>
      <c r="F120" s="21">
        <f>3126000*1.1</f>
        <v>3438600.0000000005</v>
      </c>
      <c r="G120" s="21">
        <v>25</v>
      </c>
      <c r="H120" s="27">
        <v>0.8</v>
      </c>
    </row>
    <row r="121" spans="1:8" customFormat="1" ht="14.5">
      <c r="A121" s="16"/>
      <c r="B121" s="17" t="s">
        <v>1647</v>
      </c>
      <c r="C121" s="258" t="s">
        <v>1648</v>
      </c>
      <c r="D121" s="19"/>
      <c r="E121" s="20" t="s">
        <v>31</v>
      </c>
      <c r="F121" s="21">
        <f>2166000*1.1</f>
        <v>2382600</v>
      </c>
      <c r="G121" s="21">
        <v>25</v>
      </c>
      <c r="H121" s="27">
        <v>0.8</v>
      </c>
    </row>
    <row r="122" spans="1:8" customFormat="1" ht="39">
      <c r="A122" s="12">
        <v>6</v>
      </c>
      <c r="B122" s="256" t="s">
        <v>1649</v>
      </c>
      <c r="C122" s="257" t="s">
        <v>1650</v>
      </c>
      <c r="D122" s="12"/>
      <c r="E122" s="12"/>
      <c r="F122" s="14"/>
      <c r="G122" s="14"/>
      <c r="H122" s="15"/>
    </row>
    <row r="123" spans="1:8" customFormat="1" ht="14.5">
      <c r="A123" s="16"/>
      <c r="B123" s="17" t="s">
        <v>1651</v>
      </c>
      <c r="C123" s="258" t="s">
        <v>1652</v>
      </c>
      <c r="D123" s="28">
        <f>1407000</f>
        <v>1407000</v>
      </c>
      <c r="E123" s="25" t="s">
        <v>31</v>
      </c>
      <c r="F123" s="26">
        <f>1407000*1.1</f>
        <v>1547700.0000000002</v>
      </c>
      <c r="G123" s="26">
        <v>25</v>
      </c>
      <c r="H123" s="27">
        <v>0.8</v>
      </c>
    </row>
    <row r="124" spans="1:8" customFormat="1" ht="14.5">
      <c r="A124" s="16"/>
      <c r="B124" s="17"/>
      <c r="C124" s="18" t="s">
        <v>1653</v>
      </c>
      <c r="D124" s="19"/>
      <c r="E124" s="20"/>
      <c r="F124" s="21"/>
      <c r="G124" s="21"/>
      <c r="H124" s="22"/>
    </row>
    <row r="125" spans="1:8" customFormat="1" ht="14.5">
      <c r="A125" s="16"/>
      <c r="B125" s="17"/>
      <c r="C125" s="18" t="s">
        <v>1654</v>
      </c>
      <c r="D125" s="19"/>
      <c r="E125" s="20"/>
      <c r="F125" s="21"/>
      <c r="G125" s="21"/>
      <c r="H125" s="22"/>
    </row>
    <row r="126" spans="1:8" customFormat="1" ht="27">
      <c r="A126" s="16"/>
      <c r="B126" s="17" t="s">
        <v>1655</v>
      </c>
      <c r="C126" s="258" t="s">
        <v>1656</v>
      </c>
      <c r="D126" s="19"/>
      <c r="E126" s="20" t="s">
        <v>31</v>
      </c>
      <c r="F126" s="21">
        <f>+(1407000-33000*3)*1.1</f>
        <v>1438800</v>
      </c>
      <c r="G126" s="21">
        <v>25</v>
      </c>
      <c r="H126" s="22">
        <v>0.8</v>
      </c>
    </row>
    <row r="127" spans="1:8" customFormat="1" ht="21">
      <c r="A127" s="16"/>
      <c r="B127" s="17" t="s">
        <v>1657</v>
      </c>
      <c r="C127" s="258" t="s">
        <v>1658</v>
      </c>
      <c r="D127" s="28">
        <f>1329000</f>
        <v>1329000</v>
      </c>
      <c r="E127" s="25" t="s">
        <v>31</v>
      </c>
      <c r="F127" s="26">
        <f>1329000*1.1</f>
        <v>1461900.0000000002</v>
      </c>
      <c r="G127" s="26">
        <v>25</v>
      </c>
      <c r="H127" s="27">
        <v>0.8</v>
      </c>
    </row>
    <row r="128" spans="1:8" customFormat="1" ht="14.5">
      <c r="A128" s="16"/>
      <c r="B128" s="17"/>
      <c r="C128" s="18" t="s">
        <v>1659</v>
      </c>
      <c r="D128" s="19"/>
      <c r="E128" s="20"/>
      <c r="F128" s="21"/>
      <c r="G128" s="21"/>
      <c r="H128" s="22"/>
    </row>
    <row r="129" spans="1:8" customFormat="1" ht="14.5">
      <c r="A129" s="16"/>
      <c r="B129" s="17"/>
      <c r="C129" s="18" t="s">
        <v>1660</v>
      </c>
      <c r="D129" s="19"/>
      <c r="E129" s="20"/>
      <c r="F129" s="21"/>
      <c r="G129" s="21"/>
      <c r="H129" s="22"/>
    </row>
    <row r="130" spans="1:8" customFormat="1" ht="27">
      <c r="A130" s="16"/>
      <c r="B130" s="17" t="s">
        <v>1661</v>
      </c>
      <c r="C130" s="258" t="s">
        <v>1662</v>
      </c>
      <c r="D130" s="19"/>
      <c r="E130" s="25" t="s">
        <v>31</v>
      </c>
      <c r="F130" s="21">
        <f>+(1329000-31000*3)*1.1</f>
        <v>1359600</v>
      </c>
      <c r="G130" s="26">
        <v>25</v>
      </c>
      <c r="H130" s="27">
        <v>0.8</v>
      </c>
    </row>
    <row r="131" spans="1:8" customFormat="1" ht="27">
      <c r="A131" s="16"/>
      <c r="B131" s="17" t="s">
        <v>1663</v>
      </c>
      <c r="C131" s="258" t="s">
        <v>1664</v>
      </c>
      <c r="D131" s="28">
        <f>1087000</f>
        <v>1087000</v>
      </c>
      <c r="E131" s="25" t="s">
        <v>31</v>
      </c>
      <c r="F131" s="26">
        <f>1087000*1.1</f>
        <v>1195700</v>
      </c>
      <c r="G131" s="26">
        <v>25</v>
      </c>
      <c r="H131" s="27">
        <v>0.8</v>
      </c>
    </row>
    <row r="132" spans="1:8" customFormat="1" ht="14.5">
      <c r="A132" s="16"/>
      <c r="B132" s="17"/>
      <c r="C132" s="18" t="s">
        <v>1665</v>
      </c>
      <c r="D132" s="19"/>
      <c r="E132" s="20"/>
      <c r="F132" s="21"/>
      <c r="G132" s="21"/>
      <c r="H132" s="22"/>
    </row>
    <row r="133" spans="1:8" customFormat="1" ht="14.5">
      <c r="A133" s="16"/>
      <c r="B133" s="17"/>
      <c r="C133" s="18" t="s">
        <v>1666</v>
      </c>
      <c r="D133" s="19"/>
      <c r="E133" s="20"/>
      <c r="F133" s="21"/>
      <c r="G133" s="21"/>
      <c r="H133" s="22"/>
    </row>
    <row r="134" spans="1:8" customFormat="1" ht="27">
      <c r="A134" s="16"/>
      <c r="B134" s="17" t="s">
        <v>1667</v>
      </c>
      <c r="C134" s="258" t="s">
        <v>1668</v>
      </c>
      <c r="D134" s="19"/>
      <c r="E134" s="25" t="s">
        <v>31</v>
      </c>
      <c r="F134" s="21">
        <f>+(1087000-25000*3)*1.1</f>
        <v>1113200</v>
      </c>
      <c r="G134" s="26">
        <v>25</v>
      </c>
      <c r="H134" s="27">
        <v>0.8</v>
      </c>
    </row>
    <row r="135" spans="1:8" customFormat="1" ht="39">
      <c r="A135" s="12">
        <v>7</v>
      </c>
      <c r="B135" s="256" t="s">
        <v>1669</v>
      </c>
      <c r="C135" s="257" t="s">
        <v>1670</v>
      </c>
      <c r="D135" s="12"/>
      <c r="E135" s="12"/>
      <c r="F135" s="14"/>
      <c r="G135" s="14"/>
      <c r="H135" s="15"/>
    </row>
    <row r="136" spans="1:8" customFormat="1" ht="14.5">
      <c r="A136" s="16"/>
      <c r="B136" s="17" t="s">
        <v>1671</v>
      </c>
      <c r="C136" s="258" t="s">
        <v>1672</v>
      </c>
      <c r="D136" s="29">
        <f>1343000</f>
        <v>1343000</v>
      </c>
      <c r="E136" s="20" t="s">
        <v>31</v>
      </c>
      <c r="F136" s="21">
        <f>1343000*1.1</f>
        <v>1477300.0000000002</v>
      </c>
      <c r="G136" s="21">
        <v>25</v>
      </c>
      <c r="H136" s="22">
        <v>0.8</v>
      </c>
    </row>
    <row r="137" spans="1:8" customFormat="1" ht="14.5">
      <c r="A137" s="16"/>
      <c r="B137" s="17"/>
      <c r="C137" s="18" t="s">
        <v>1659</v>
      </c>
      <c r="D137" s="19"/>
      <c r="E137" s="20"/>
      <c r="F137" s="21"/>
      <c r="G137" s="21"/>
      <c r="H137" s="22"/>
    </row>
    <row r="138" spans="1:8" customFormat="1" ht="14.5">
      <c r="A138" s="16"/>
      <c r="B138" s="17"/>
      <c r="C138" s="18" t="s">
        <v>1660</v>
      </c>
      <c r="D138" s="19"/>
      <c r="E138" s="20"/>
      <c r="F138" s="21"/>
      <c r="G138" s="21"/>
      <c r="H138" s="22"/>
    </row>
    <row r="139" spans="1:8" customFormat="1" ht="27">
      <c r="A139" s="16"/>
      <c r="B139" s="17" t="s">
        <v>1673</v>
      </c>
      <c r="C139" s="258" t="s">
        <v>1674</v>
      </c>
      <c r="D139" s="19"/>
      <c r="E139" s="20" t="s">
        <v>31</v>
      </c>
      <c r="F139" s="21">
        <f>+(1343000-31000*3)*1.1</f>
        <v>1375000</v>
      </c>
      <c r="G139" s="21">
        <v>25</v>
      </c>
      <c r="H139" s="22">
        <v>0.8</v>
      </c>
    </row>
    <row r="140" spans="1:8" customFormat="1" ht="21">
      <c r="A140" s="16"/>
      <c r="B140" s="17" t="s">
        <v>1675</v>
      </c>
      <c r="C140" s="258" t="s">
        <v>1676</v>
      </c>
      <c r="D140" s="29">
        <f>1264000</f>
        <v>1264000</v>
      </c>
      <c r="E140" s="20" t="s">
        <v>31</v>
      </c>
      <c r="F140" s="21">
        <f>1264000*1.1</f>
        <v>1390400</v>
      </c>
      <c r="G140" s="21">
        <v>25</v>
      </c>
      <c r="H140" s="22">
        <v>0.8</v>
      </c>
    </row>
    <row r="141" spans="1:8" customFormat="1" ht="14.5">
      <c r="A141" s="16"/>
      <c r="B141" s="17"/>
      <c r="C141" s="18" t="s">
        <v>1677</v>
      </c>
      <c r="D141" s="19"/>
      <c r="E141" s="20"/>
      <c r="F141" s="21"/>
      <c r="G141" s="21"/>
      <c r="H141" s="22"/>
    </row>
    <row r="142" spans="1:8" customFormat="1" ht="14.5">
      <c r="A142" s="16"/>
      <c r="B142" s="17"/>
      <c r="C142" s="18" t="s">
        <v>1678</v>
      </c>
      <c r="D142" s="19"/>
      <c r="E142" s="20"/>
      <c r="F142" s="21"/>
      <c r="G142" s="21"/>
      <c r="H142" s="22"/>
    </row>
    <row r="143" spans="1:8" customFormat="1" ht="27">
      <c r="A143" s="16"/>
      <c r="B143" s="17" t="s">
        <v>1679</v>
      </c>
      <c r="C143" s="258" t="s">
        <v>1680</v>
      </c>
      <c r="D143" s="19"/>
      <c r="E143" s="20" t="s">
        <v>31</v>
      </c>
      <c r="F143" s="21">
        <f>+(1264000-29000*3)*1.1</f>
        <v>1294700</v>
      </c>
      <c r="G143" s="21">
        <v>25</v>
      </c>
      <c r="H143" s="22">
        <v>0.8</v>
      </c>
    </row>
    <row r="144" spans="1:8" customFormat="1" ht="27">
      <c r="A144" s="16"/>
      <c r="B144" s="17" t="s">
        <v>1681</v>
      </c>
      <c r="C144" s="258" t="s">
        <v>1682</v>
      </c>
      <c r="D144" s="29">
        <f>1023000</f>
        <v>1023000</v>
      </c>
      <c r="E144" s="20" t="s">
        <v>31</v>
      </c>
      <c r="F144" s="21">
        <f>1023000*1.1</f>
        <v>1125300</v>
      </c>
      <c r="G144" s="21">
        <v>25</v>
      </c>
      <c r="H144" s="22">
        <v>0.8</v>
      </c>
    </row>
    <row r="145" spans="1:8" customFormat="1" ht="14.5">
      <c r="A145" s="16"/>
      <c r="B145" s="17"/>
      <c r="C145" s="18" t="s">
        <v>1683</v>
      </c>
      <c r="D145" s="19"/>
      <c r="E145" s="20"/>
      <c r="F145" s="21"/>
      <c r="G145" s="21"/>
      <c r="H145" s="22"/>
    </row>
    <row r="146" spans="1:8" customFormat="1" ht="14.5">
      <c r="A146" s="16"/>
      <c r="B146" s="17"/>
      <c r="C146" s="18" t="s">
        <v>1684</v>
      </c>
      <c r="D146" s="19"/>
      <c r="E146" s="20"/>
      <c r="F146" s="21"/>
      <c r="G146" s="21"/>
      <c r="H146" s="22"/>
    </row>
    <row r="147" spans="1:8" customFormat="1" ht="27">
      <c r="A147" s="16"/>
      <c r="B147" s="17" t="s">
        <v>1685</v>
      </c>
      <c r="C147" s="258" t="s">
        <v>1686</v>
      </c>
      <c r="D147" s="19"/>
      <c r="E147" s="20" t="s">
        <v>31</v>
      </c>
      <c r="F147" s="21">
        <f>(1023000-24000*3)*1.1</f>
        <v>1046100.0000000001</v>
      </c>
      <c r="G147" s="21">
        <v>25</v>
      </c>
      <c r="H147" s="22">
        <v>0.8</v>
      </c>
    </row>
    <row r="148" spans="1:8" customFormat="1" ht="26">
      <c r="A148" s="12">
        <v>8</v>
      </c>
      <c r="B148" s="256" t="s">
        <v>1687</v>
      </c>
      <c r="C148" s="257" t="s">
        <v>1688</v>
      </c>
      <c r="D148" s="12"/>
      <c r="E148" s="12"/>
      <c r="F148" s="14"/>
      <c r="G148" s="14"/>
      <c r="H148" s="15"/>
    </row>
    <row r="149" spans="1:8" customFormat="1" ht="14.5">
      <c r="A149" s="16"/>
      <c r="B149" s="17" t="s">
        <v>1689</v>
      </c>
      <c r="C149" s="258" t="s">
        <v>1690</v>
      </c>
      <c r="D149" s="29">
        <f>631000</f>
        <v>631000</v>
      </c>
      <c r="E149" s="20" t="s">
        <v>31</v>
      </c>
      <c r="F149" s="21">
        <f>631000*1.1</f>
        <v>694100</v>
      </c>
      <c r="G149" s="21">
        <v>25</v>
      </c>
      <c r="H149" s="22">
        <v>0.8</v>
      </c>
    </row>
    <row r="150" spans="1:8" customFormat="1" ht="14.5">
      <c r="A150" s="16"/>
      <c r="B150" s="17"/>
      <c r="C150" s="18" t="s">
        <v>1691</v>
      </c>
      <c r="D150" s="19"/>
      <c r="E150" s="20"/>
      <c r="F150" s="21"/>
      <c r="G150" s="21"/>
      <c r="H150" s="22"/>
    </row>
    <row r="151" spans="1:8" customFormat="1" ht="14.5">
      <c r="A151" s="16"/>
      <c r="B151" s="17"/>
      <c r="C151" s="18" t="s">
        <v>1692</v>
      </c>
      <c r="D151" s="19"/>
      <c r="E151" s="20"/>
      <c r="F151" s="21"/>
      <c r="G151" s="21"/>
      <c r="H151" s="22"/>
    </row>
    <row r="152" spans="1:8" customFormat="1" ht="27">
      <c r="A152" s="16"/>
      <c r="B152" s="17" t="s">
        <v>1693</v>
      </c>
      <c r="C152" s="258" t="s">
        <v>1694</v>
      </c>
      <c r="D152" s="19"/>
      <c r="E152" s="20" t="s">
        <v>31</v>
      </c>
      <c r="F152" s="21">
        <f>+(631000-15000*3)*1.1</f>
        <v>644600</v>
      </c>
      <c r="G152" s="21">
        <v>25</v>
      </c>
      <c r="H152" s="22">
        <v>0.8</v>
      </c>
    </row>
    <row r="153" spans="1:8" customFormat="1" ht="21">
      <c r="A153" s="16"/>
      <c r="B153" s="17" t="s">
        <v>1695</v>
      </c>
      <c r="C153" s="258" t="s">
        <v>1696</v>
      </c>
      <c r="D153" s="29">
        <f>557000</f>
        <v>557000</v>
      </c>
      <c r="E153" s="20" t="s">
        <v>31</v>
      </c>
      <c r="F153" s="21">
        <f>557000*1.1</f>
        <v>612700</v>
      </c>
      <c r="G153" s="21">
        <v>25</v>
      </c>
      <c r="H153" s="22">
        <v>0.8</v>
      </c>
    </row>
    <row r="154" spans="1:8" customFormat="1" ht="14.5">
      <c r="A154" s="16"/>
      <c r="B154" s="17"/>
      <c r="C154" s="18" t="s">
        <v>1697</v>
      </c>
      <c r="D154" s="19"/>
      <c r="E154" s="20"/>
      <c r="F154" s="21"/>
      <c r="G154" s="21"/>
      <c r="H154" s="22"/>
    </row>
    <row r="155" spans="1:8" customFormat="1" ht="14.5">
      <c r="A155" s="16"/>
      <c r="B155" s="17"/>
      <c r="C155" s="18" t="s">
        <v>1698</v>
      </c>
      <c r="D155" s="19"/>
      <c r="E155" s="20"/>
      <c r="F155" s="21"/>
      <c r="G155" s="21"/>
      <c r="H155" s="22"/>
    </row>
    <row r="156" spans="1:8" customFormat="1" ht="27">
      <c r="A156" s="16"/>
      <c r="B156" s="17" t="s">
        <v>1699</v>
      </c>
      <c r="C156" s="258" t="s">
        <v>1700</v>
      </c>
      <c r="D156" s="19"/>
      <c r="E156" s="20" t="s">
        <v>31</v>
      </c>
      <c r="F156" s="21">
        <f>+(557000-13000*3)*1.1</f>
        <v>569800</v>
      </c>
      <c r="G156" s="21">
        <v>25</v>
      </c>
      <c r="H156" s="22">
        <v>0.8</v>
      </c>
    </row>
    <row r="157" spans="1:8" customFormat="1" ht="27">
      <c r="A157" s="16"/>
      <c r="B157" s="17" t="s">
        <v>1701</v>
      </c>
      <c r="C157" s="258" t="s">
        <v>1702</v>
      </c>
      <c r="D157" s="29">
        <f>311000</f>
        <v>311000</v>
      </c>
      <c r="E157" s="20" t="s">
        <v>31</v>
      </c>
      <c r="F157" s="21">
        <f>311000*1.1</f>
        <v>342100</v>
      </c>
      <c r="G157" s="21">
        <v>25</v>
      </c>
      <c r="H157" s="22">
        <v>0.8</v>
      </c>
    </row>
    <row r="158" spans="1:8" customFormat="1" ht="14.5">
      <c r="A158" s="16"/>
      <c r="B158" s="17"/>
      <c r="C158" s="18" t="s">
        <v>1703</v>
      </c>
      <c r="D158" s="19"/>
      <c r="E158" s="20"/>
      <c r="F158" s="21"/>
      <c r="G158" s="21"/>
      <c r="H158" s="22"/>
    </row>
    <row r="159" spans="1:8" customFormat="1" ht="14.5">
      <c r="A159" s="16"/>
      <c r="B159" s="17"/>
      <c r="C159" s="18" t="s">
        <v>1704</v>
      </c>
      <c r="D159" s="19"/>
      <c r="E159" s="20"/>
      <c r="F159" s="21"/>
      <c r="G159" s="21"/>
      <c r="H159" s="22"/>
    </row>
    <row r="160" spans="1:8" customFormat="1" ht="27">
      <c r="A160" s="16"/>
      <c r="B160" s="17" t="s">
        <v>1705</v>
      </c>
      <c r="C160" s="258" t="s">
        <v>1706</v>
      </c>
      <c r="D160" s="19"/>
      <c r="E160" s="20" t="s">
        <v>31</v>
      </c>
      <c r="F160" s="21">
        <f>+(311000-7000*3)*1.1</f>
        <v>319000</v>
      </c>
      <c r="G160" s="21">
        <v>25</v>
      </c>
      <c r="H160" s="22">
        <v>0.8</v>
      </c>
    </row>
    <row r="161" spans="1:8" customFormat="1" ht="26">
      <c r="A161" s="12">
        <v>9</v>
      </c>
      <c r="B161" s="256" t="s">
        <v>1707</v>
      </c>
      <c r="C161" s="257" t="s">
        <v>1708</v>
      </c>
      <c r="D161" s="12"/>
      <c r="E161" s="12"/>
      <c r="F161" s="14"/>
      <c r="G161" s="14"/>
      <c r="H161" s="15"/>
    </row>
    <row r="162" spans="1:8" customFormat="1" ht="27">
      <c r="A162" s="16"/>
      <c r="B162" s="17" t="s">
        <v>1709</v>
      </c>
      <c r="C162" s="258" t="s">
        <v>1710</v>
      </c>
      <c r="D162" s="29">
        <f>1679000</f>
        <v>1679000</v>
      </c>
      <c r="E162" s="20" t="s">
        <v>31</v>
      </c>
      <c r="F162" s="21">
        <f>1679000*1.1</f>
        <v>1846900.0000000002</v>
      </c>
      <c r="G162" s="21">
        <v>25</v>
      </c>
      <c r="H162" s="22">
        <v>0.8</v>
      </c>
    </row>
    <row r="163" spans="1:8" customFormat="1" ht="14.5">
      <c r="A163" s="16"/>
      <c r="B163" s="17"/>
      <c r="C163" s="18" t="s">
        <v>1711</v>
      </c>
      <c r="D163" s="19"/>
      <c r="E163" s="20"/>
      <c r="F163" s="21"/>
      <c r="G163" s="21"/>
      <c r="H163" s="22"/>
    </row>
    <row r="164" spans="1:8" customFormat="1" ht="14.5">
      <c r="A164" s="16"/>
      <c r="B164" s="17"/>
      <c r="C164" s="18" t="s">
        <v>1712</v>
      </c>
      <c r="D164" s="19"/>
      <c r="E164" s="20"/>
      <c r="F164" s="21"/>
      <c r="G164" s="21"/>
      <c r="H164" s="22"/>
    </row>
    <row r="165" spans="1:8" customFormat="1" ht="27">
      <c r="A165" s="16"/>
      <c r="B165" s="17" t="s">
        <v>1713</v>
      </c>
      <c r="C165" s="258" t="s">
        <v>1714</v>
      </c>
      <c r="D165" s="19"/>
      <c r="E165" s="20" t="s">
        <v>31</v>
      </c>
      <c r="F165" s="21">
        <f>(1679000-34000*3)*1.1</f>
        <v>1734700.0000000002</v>
      </c>
      <c r="G165" s="21">
        <v>25</v>
      </c>
      <c r="H165" s="22">
        <v>0.8</v>
      </c>
    </row>
    <row r="166" spans="1:8" customFormat="1" ht="27">
      <c r="A166" s="16"/>
      <c r="B166" s="17" t="s">
        <v>1715</v>
      </c>
      <c r="C166" s="258" t="s">
        <v>1710</v>
      </c>
      <c r="D166" s="29">
        <f>1360000</f>
        <v>1360000</v>
      </c>
      <c r="E166" s="20" t="s">
        <v>31</v>
      </c>
      <c r="F166" s="21">
        <f>1360000*1.1</f>
        <v>1496000.0000000002</v>
      </c>
      <c r="G166" s="21">
        <v>25</v>
      </c>
      <c r="H166" s="22">
        <v>0.8</v>
      </c>
    </row>
    <row r="167" spans="1:8" customFormat="1" ht="14.5">
      <c r="A167" s="16"/>
      <c r="B167" s="17"/>
      <c r="C167" s="18" t="s">
        <v>1716</v>
      </c>
      <c r="D167" s="19"/>
      <c r="E167" s="20"/>
      <c r="F167" s="21"/>
      <c r="G167" s="21"/>
      <c r="H167" s="22"/>
    </row>
    <row r="168" spans="1:8" customFormat="1" ht="14.5">
      <c r="A168" s="16"/>
      <c r="B168" s="17"/>
      <c r="C168" s="18" t="s">
        <v>1717</v>
      </c>
      <c r="D168" s="19"/>
      <c r="E168" s="20"/>
      <c r="F168" s="21"/>
      <c r="G168" s="21"/>
      <c r="H168" s="22"/>
    </row>
    <row r="169" spans="1:8" customFormat="1" ht="27">
      <c r="A169" s="16"/>
      <c r="B169" s="17" t="s">
        <v>1718</v>
      </c>
      <c r="C169" s="258" t="s">
        <v>1719</v>
      </c>
      <c r="D169" s="19"/>
      <c r="E169" s="20" t="s">
        <v>31</v>
      </c>
      <c r="F169" s="21">
        <f>+$D$166-28000*3*1.1</f>
        <v>1267600</v>
      </c>
      <c r="G169" s="21">
        <v>25</v>
      </c>
      <c r="H169" s="22">
        <v>0.8</v>
      </c>
    </row>
    <row r="170" spans="1:8" customFormat="1" ht="26">
      <c r="A170" s="12">
        <v>10</v>
      </c>
      <c r="B170" s="256" t="s">
        <v>1720</v>
      </c>
      <c r="C170" s="257" t="s">
        <v>1721</v>
      </c>
      <c r="D170" s="12"/>
      <c r="E170" s="12"/>
      <c r="F170" s="14"/>
      <c r="G170" s="14"/>
      <c r="H170" s="15"/>
    </row>
    <row r="171" spans="1:8" customFormat="1" ht="27">
      <c r="A171" s="16"/>
      <c r="B171" s="17" t="s">
        <v>1722</v>
      </c>
      <c r="C171" s="258" t="s">
        <v>1723</v>
      </c>
      <c r="D171" s="29">
        <f>1537000</f>
        <v>1537000</v>
      </c>
      <c r="E171" s="20" t="s">
        <v>31</v>
      </c>
      <c r="F171" s="21">
        <f>1537000*1.1</f>
        <v>1690700.0000000002</v>
      </c>
      <c r="G171" s="21">
        <v>25</v>
      </c>
      <c r="H171" s="22">
        <v>0.8</v>
      </c>
    </row>
    <row r="172" spans="1:8" customFormat="1" ht="14.5">
      <c r="A172" s="16"/>
      <c r="B172" s="17"/>
      <c r="C172" s="18" t="s">
        <v>1659</v>
      </c>
      <c r="D172" s="19"/>
      <c r="E172" s="20"/>
      <c r="F172" s="21"/>
      <c r="G172" s="21"/>
      <c r="H172" s="22"/>
    </row>
    <row r="173" spans="1:8" customFormat="1" ht="14.5">
      <c r="A173" s="16"/>
      <c r="B173" s="17"/>
      <c r="C173" s="18" t="s">
        <v>1660</v>
      </c>
      <c r="D173" s="19"/>
      <c r="E173" s="20"/>
      <c r="F173" s="21"/>
      <c r="G173" s="21"/>
      <c r="H173" s="22"/>
    </row>
    <row r="174" spans="1:8" customFormat="1" ht="27">
      <c r="A174" s="16"/>
      <c r="B174" s="17" t="s">
        <v>1724</v>
      </c>
      <c r="C174" s="258" t="s">
        <v>1725</v>
      </c>
      <c r="D174" s="19"/>
      <c r="E174" s="20" t="s">
        <v>31</v>
      </c>
      <c r="F174" s="21">
        <f>(1537000-31000*3)*1.1</f>
        <v>1588400.0000000002</v>
      </c>
      <c r="G174" s="21">
        <v>25</v>
      </c>
      <c r="H174" s="22">
        <v>0.8</v>
      </c>
    </row>
    <row r="175" spans="1:8" customFormat="1" ht="27">
      <c r="A175" s="16"/>
      <c r="B175" s="17" t="s">
        <v>1726</v>
      </c>
      <c r="C175" s="258" t="s">
        <v>1723</v>
      </c>
      <c r="D175" s="29">
        <f>1220000</f>
        <v>1220000</v>
      </c>
      <c r="E175" s="20" t="s">
        <v>31</v>
      </c>
      <c r="F175" s="21">
        <f>1220000*1.1</f>
        <v>1342000</v>
      </c>
      <c r="G175" s="21">
        <v>25</v>
      </c>
      <c r="H175" s="22">
        <v>0.8</v>
      </c>
    </row>
    <row r="176" spans="1:8" customFormat="1" ht="14.5">
      <c r="A176" s="16"/>
      <c r="B176" s="17"/>
      <c r="C176" s="18" t="s">
        <v>1665</v>
      </c>
      <c r="D176" s="19"/>
      <c r="E176" s="20"/>
      <c r="F176" s="21"/>
      <c r="G176" s="21"/>
      <c r="H176" s="22"/>
    </row>
    <row r="177" spans="1:8" customFormat="1" ht="14.5">
      <c r="A177" s="16"/>
      <c r="B177" s="17"/>
      <c r="C177" s="18" t="s">
        <v>1666</v>
      </c>
      <c r="D177" s="19"/>
      <c r="E177" s="20"/>
      <c r="F177" s="21"/>
      <c r="G177" s="21"/>
      <c r="H177" s="22"/>
    </row>
    <row r="178" spans="1:8" customFormat="1" ht="27">
      <c r="A178" s="16"/>
      <c r="B178" s="17" t="s">
        <v>1727</v>
      </c>
      <c r="C178" s="258" t="s">
        <v>1728</v>
      </c>
      <c r="D178" s="19"/>
      <c r="E178" s="20" t="s">
        <v>31</v>
      </c>
      <c r="F178" s="21">
        <f>(1220000-25000*3)*1.1</f>
        <v>1259500</v>
      </c>
      <c r="G178" s="21">
        <v>25</v>
      </c>
      <c r="H178" s="22">
        <v>0.8</v>
      </c>
    </row>
    <row r="179" spans="1:8" customFormat="1" ht="39">
      <c r="A179" s="12">
        <v>11</v>
      </c>
      <c r="B179" s="256" t="s">
        <v>1729</v>
      </c>
      <c r="C179" s="257" t="s">
        <v>1730</v>
      </c>
      <c r="D179" s="12"/>
      <c r="E179" s="12"/>
      <c r="F179" s="14"/>
      <c r="G179" s="14"/>
      <c r="H179" s="15"/>
    </row>
    <row r="180" spans="1:8" customFormat="1" ht="27">
      <c r="A180" s="16"/>
      <c r="B180" s="17"/>
      <c r="C180" s="18" t="s">
        <v>1731</v>
      </c>
      <c r="D180" s="19"/>
      <c r="E180" s="20"/>
      <c r="F180" s="21"/>
      <c r="G180" s="21"/>
      <c r="H180" s="22"/>
    </row>
    <row r="181" spans="1:8" customFormat="1" ht="27">
      <c r="A181" s="16"/>
      <c r="B181" s="17" t="s">
        <v>1732</v>
      </c>
      <c r="C181" s="18" t="s">
        <v>1733</v>
      </c>
      <c r="D181" s="19"/>
      <c r="E181" s="20" t="s">
        <v>31</v>
      </c>
      <c r="F181" s="21">
        <f>4709000*1.1</f>
        <v>5179900</v>
      </c>
      <c r="G181" s="21">
        <v>25</v>
      </c>
      <c r="H181" s="22">
        <v>0.8</v>
      </c>
    </row>
    <row r="182" spans="1:8" customFormat="1" ht="27">
      <c r="A182" s="16"/>
      <c r="B182" s="17" t="s">
        <v>1734</v>
      </c>
      <c r="C182" s="18" t="s">
        <v>1735</v>
      </c>
      <c r="D182" s="19"/>
      <c r="E182" s="20" t="s">
        <v>31</v>
      </c>
      <c r="F182" s="21">
        <f>4670000*1.1</f>
        <v>5137000</v>
      </c>
      <c r="G182" s="21">
        <v>25</v>
      </c>
      <c r="H182" s="22">
        <v>0.8</v>
      </c>
    </row>
    <row r="183" spans="1:8" customFormat="1" ht="27">
      <c r="A183" s="16"/>
      <c r="B183" s="17" t="s">
        <v>1736</v>
      </c>
      <c r="C183" s="18" t="s">
        <v>1737</v>
      </c>
      <c r="D183" s="19"/>
      <c r="E183" s="20" t="s">
        <v>31</v>
      </c>
      <c r="F183" s="21">
        <f>4631000*1.1</f>
        <v>5094100</v>
      </c>
      <c r="G183" s="21">
        <v>25</v>
      </c>
      <c r="H183" s="22">
        <v>0.8</v>
      </c>
    </row>
    <row r="184" spans="1:8" customFormat="1" ht="27">
      <c r="A184" s="16"/>
      <c r="B184" s="17" t="s">
        <v>1738</v>
      </c>
      <c r="C184" s="18" t="s">
        <v>1739</v>
      </c>
      <c r="D184" s="19"/>
      <c r="E184" s="20" t="s">
        <v>31</v>
      </c>
      <c r="F184" s="21">
        <f>4592000*1.1</f>
        <v>5051200</v>
      </c>
      <c r="G184" s="21">
        <v>25</v>
      </c>
      <c r="H184" s="22">
        <v>0.8</v>
      </c>
    </row>
    <row r="185" spans="1:8" customFormat="1" ht="27">
      <c r="A185" s="16"/>
      <c r="B185" s="17" t="s">
        <v>1740</v>
      </c>
      <c r="C185" s="18" t="s">
        <v>1741</v>
      </c>
      <c r="D185" s="19"/>
      <c r="E185" s="20" t="s">
        <v>31</v>
      </c>
      <c r="F185" s="21">
        <f>4553000*1.1</f>
        <v>5008300</v>
      </c>
      <c r="G185" s="21">
        <v>25</v>
      </c>
      <c r="H185" s="22">
        <v>0.8</v>
      </c>
    </row>
    <row r="186" spans="1:8" customFormat="1" ht="27">
      <c r="A186" s="16"/>
      <c r="B186" s="17" t="s">
        <v>1742</v>
      </c>
      <c r="C186" s="18" t="s">
        <v>1743</v>
      </c>
      <c r="D186" s="19"/>
      <c r="E186" s="20" t="s">
        <v>31</v>
      </c>
      <c r="F186" s="21">
        <f>4514000*1.1</f>
        <v>4965400</v>
      </c>
      <c r="G186" s="21">
        <v>25</v>
      </c>
      <c r="H186" s="22">
        <v>0.8</v>
      </c>
    </row>
    <row r="187" spans="1:8" customFormat="1" ht="27">
      <c r="A187" s="16"/>
      <c r="B187" s="17" t="s">
        <v>1744</v>
      </c>
      <c r="C187" s="18" t="s">
        <v>1745</v>
      </c>
      <c r="D187" s="19"/>
      <c r="E187" s="20" t="s">
        <v>31</v>
      </c>
      <c r="F187" s="21">
        <f>4475000*1.1</f>
        <v>4922500</v>
      </c>
      <c r="G187" s="21">
        <v>25</v>
      </c>
      <c r="H187" s="22">
        <v>0.8</v>
      </c>
    </row>
    <row r="188" spans="1:8" customFormat="1" ht="27">
      <c r="A188" s="16"/>
      <c r="B188" s="17" t="s">
        <v>1746</v>
      </c>
      <c r="C188" s="18" t="s">
        <v>1747</v>
      </c>
      <c r="D188" s="19"/>
      <c r="E188" s="20" t="s">
        <v>31</v>
      </c>
      <c r="F188" s="21">
        <f>4436000*1.1</f>
        <v>4879600</v>
      </c>
      <c r="G188" s="21">
        <v>25</v>
      </c>
      <c r="H188" s="22">
        <v>0.8</v>
      </c>
    </row>
    <row r="189" spans="1:8" customFormat="1" ht="27">
      <c r="A189" s="16"/>
      <c r="B189" s="17" t="s">
        <v>1748</v>
      </c>
      <c r="C189" s="18" t="s">
        <v>1749</v>
      </c>
      <c r="D189" s="19"/>
      <c r="E189" s="20" t="s">
        <v>31</v>
      </c>
      <c r="F189" s="21">
        <f>4397000*1.1</f>
        <v>4836700</v>
      </c>
      <c r="G189" s="21">
        <v>25</v>
      </c>
      <c r="H189" s="22">
        <v>0.8</v>
      </c>
    </row>
    <row r="190" spans="1:8" customFormat="1" ht="27">
      <c r="A190" s="16"/>
      <c r="B190" s="17" t="s">
        <v>1750</v>
      </c>
      <c r="C190" s="18" t="s">
        <v>1751</v>
      </c>
      <c r="D190" s="19"/>
      <c r="E190" s="20" t="s">
        <v>31</v>
      </c>
      <c r="F190" s="21">
        <f>1358000*1.1</f>
        <v>1493800.0000000002</v>
      </c>
      <c r="G190" s="21">
        <v>25</v>
      </c>
      <c r="H190" s="22">
        <v>0.8</v>
      </c>
    </row>
    <row r="191" spans="1:8" customFormat="1" ht="27">
      <c r="A191" s="16"/>
      <c r="B191" s="17" t="s">
        <v>1752</v>
      </c>
      <c r="C191" s="18" t="s">
        <v>1753</v>
      </c>
      <c r="D191" s="19"/>
      <c r="E191" s="20" t="s">
        <v>31</v>
      </c>
      <c r="F191" s="21">
        <f>4319000*1.1</f>
        <v>4750900</v>
      </c>
      <c r="G191" s="21">
        <v>25</v>
      </c>
      <c r="H191" s="22">
        <v>0.8</v>
      </c>
    </row>
    <row r="192" spans="1:8" customFormat="1" ht="27">
      <c r="A192" s="16"/>
      <c r="B192" s="17" t="s">
        <v>1754</v>
      </c>
      <c r="C192" s="18" t="s">
        <v>1755</v>
      </c>
      <c r="D192" s="19"/>
      <c r="E192" s="20" t="s">
        <v>31</v>
      </c>
      <c r="F192" s="21">
        <f>4280000*1.1</f>
        <v>4708000</v>
      </c>
      <c r="G192" s="21">
        <v>25</v>
      </c>
      <c r="H192" s="22">
        <v>0.8</v>
      </c>
    </row>
    <row r="193" spans="1:8" customFormat="1" ht="27">
      <c r="A193" s="16"/>
      <c r="B193" s="17" t="s">
        <v>1756</v>
      </c>
      <c r="C193" s="18" t="s">
        <v>1757</v>
      </c>
      <c r="D193" s="19"/>
      <c r="E193" s="20" t="s">
        <v>31</v>
      </c>
      <c r="F193" s="21">
        <f>4241000*1.1</f>
        <v>4665100</v>
      </c>
      <c r="G193" s="21">
        <v>25</v>
      </c>
      <c r="H193" s="22">
        <v>0.8</v>
      </c>
    </row>
    <row r="194" spans="1:8" customFormat="1" ht="27">
      <c r="A194" s="16"/>
      <c r="B194" s="17" t="s">
        <v>1758</v>
      </c>
      <c r="C194" s="18" t="s">
        <v>1759</v>
      </c>
      <c r="D194" s="19"/>
      <c r="E194" s="20" t="s">
        <v>31</v>
      </c>
      <c r="F194" s="21">
        <f>4202000*1.1</f>
        <v>4622200</v>
      </c>
      <c r="G194" s="21">
        <v>25</v>
      </c>
      <c r="H194" s="22">
        <v>0.8</v>
      </c>
    </row>
    <row r="195" spans="1:8" customFormat="1" ht="27">
      <c r="A195" s="16"/>
      <c r="B195" s="17" t="s">
        <v>1760</v>
      </c>
      <c r="C195" s="18" t="s">
        <v>1761</v>
      </c>
      <c r="D195" s="19"/>
      <c r="E195" s="20" t="s">
        <v>31</v>
      </c>
      <c r="F195" s="21">
        <f>4163000*1.1</f>
        <v>4579300</v>
      </c>
      <c r="G195" s="21">
        <v>25</v>
      </c>
      <c r="H195" s="22">
        <v>0.8</v>
      </c>
    </row>
    <row r="196" spans="1:8" customFormat="1" ht="14.5">
      <c r="A196" s="16"/>
      <c r="B196" s="17"/>
      <c r="C196" s="18" t="s">
        <v>1762</v>
      </c>
      <c r="D196" s="19"/>
      <c r="E196" s="20"/>
      <c r="F196" s="21"/>
      <c r="G196" s="21"/>
      <c r="H196" s="22"/>
    </row>
    <row r="197" spans="1:8" customFormat="1" ht="39">
      <c r="A197" s="12">
        <v>12</v>
      </c>
      <c r="B197" s="256" t="s">
        <v>1763</v>
      </c>
      <c r="C197" s="257" t="s">
        <v>1764</v>
      </c>
      <c r="D197" s="12"/>
      <c r="E197" s="12"/>
      <c r="F197" s="14"/>
      <c r="G197" s="14"/>
      <c r="H197" s="15"/>
    </row>
    <row r="198" spans="1:8" customFormat="1" ht="27">
      <c r="A198" s="16"/>
      <c r="B198" s="17"/>
      <c r="C198" s="18" t="s">
        <v>1765</v>
      </c>
      <c r="D198" s="19"/>
      <c r="E198" s="20"/>
      <c r="F198" s="21"/>
      <c r="G198" s="21"/>
      <c r="H198" s="22"/>
    </row>
    <row r="199" spans="1:8" customFormat="1" ht="27">
      <c r="A199" s="16"/>
      <c r="B199" s="17" t="s">
        <v>1766</v>
      </c>
      <c r="C199" s="18" t="s">
        <v>1767</v>
      </c>
      <c r="D199" s="19"/>
      <c r="E199" s="20" t="s">
        <v>31</v>
      </c>
      <c r="F199" s="21">
        <f>4510000*1.1</f>
        <v>4961000</v>
      </c>
      <c r="G199" s="21">
        <v>25</v>
      </c>
      <c r="H199" s="22">
        <v>0.8</v>
      </c>
    </row>
    <row r="200" spans="1:8" customFormat="1" ht="27">
      <c r="A200" s="16"/>
      <c r="B200" s="17" t="s">
        <v>1768</v>
      </c>
      <c r="C200" s="18" t="s">
        <v>1769</v>
      </c>
      <c r="D200" s="19"/>
      <c r="E200" s="20" t="s">
        <v>31</v>
      </c>
      <c r="F200" s="21">
        <f>4473000*1.1</f>
        <v>4920300</v>
      </c>
      <c r="G200" s="21">
        <v>25</v>
      </c>
      <c r="H200" s="22">
        <v>0.8</v>
      </c>
    </row>
    <row r="201" spans="1:8" customFormat="1" ht="27">
      <c r="A201" s="16"/>
      <c r="B201" s="17" t="s">
        <v>1770</v>
      </c>
      <c r="C201" s="18" t="s">
        <v>1771</v>
      </c>
      <c r="D201" s="19"/>
      <c r="E201" s="20" t="s">
        <v>31</v>
      </c>
      <c r="F201" s="21">
        <f>4436000*1.1</f>
        <v>4879600</v>
      </c>
      <c r="G201" s="21">
        <v>25</v>
      </c>
      <c r="H201" s="22">
        <v>0.8</v>
      </c>
    </row>
    <row r="202" spans="1:8" customFormat="1" ht="27">
      <c r="A202" s="16"/>
      <c r="B202" s="17" t="s">
        <v>1772</v>
      </c>
      <c r="C202" s="18" t="s">
        <v>1773</v>
      </c>
      <c r="D202" s="19"/>
      <c r="E202" s="20" t="s">
        <v>31</v>
      </c>
      <c r="F202" s="21">
        <f>4399000*1.1</f>
        <v>4838900</v>
      </c>
      <c r="G202" s="21">
        <v>25</v>
      </c>
      <c r="H202" s="22">
        <v>0.8</v>
      </c>
    </row>
    <row r="203" spans="1:8" customFormat="1" ht="27">
      <c r="A203" s="16"/>
      <c r="B203" s="17" t="s">
        <v>1774</v>
      </c>
      <c r="C203" s="18" t="s">
        <v>1775</v>
      </c>
      <c r="D203" s="19"/>
      <c r="E203" s="20" t="s">
        <v>31</v>
      </c>
      <c r="F203" s="21">
        <f>4362000*1.1</f>
        <v>4798200</v>
      </c>
      <c r="G203" s="21">
        <v>25</v>
      </c>
      <c r="H203" s="22">
        <v>0.8</v>
      </c>
    </row>
    <row r="204" spans="1:8" customFormat="1" ht="27">
      <c r="A204" s="16"/>
      <c r="B204" s="17" t="s">
        <v>1776</v>
      </c>
      <c r="C204" s="18" t="s">
        <v>1777</v>
      </c>
      <c r="D204" s="19"/>
      <c r="E204" s="20" t="s">
        <v>31</v>
      </c>
      <c r="F204" s="21">
        <f>4325000*1.1</f>
        <v>4757500</v>
      </c>
      <c r="G204" s="21">
        <v>25</v>
      </c>
      <c r="H204" s="22">
        <v>0.8</v>
      </c>
    </row>
    <row r="205" spans="1:8" customFormat="1" ht="27">
      <c r="A205" s="16"/>
      <c r="B205" s="17" t="s">
        <v>1778</v>
      </c>
      <c r="C205" s="18" t="s">
        <v>1779</v>
      </c>
      <c r="D205" s="19"/>
      <c r="E205" s="20" t="s">
        <v>31</v>
      </c>
      <c r="F205" s="21">
        <f>4288000*1.1</f>
        <v>4716800</v>
      </c>
      <c r="G205" s="21">
        <v>25</v>
      </c>
      <c r="H205" s="22">
        <v>0.8</v>
      </c>
    </row>
    <row r="206" spans="1:8" customFormat="1" ht="27">
      <c r="A206" s="16"/>
      <c r="B206" s="17" t="s">
        <v>1780</v>
      </c>
      <c r="C206" s="18" t="s">
        <v>1781</v>
      </c>
      <c r="D206" s="19"/>
      <c r="E206" s="20" t="s">
        <v>31</v>
      </c>
      <c r="F206" s="21">
        <f>4251000*1.1</f>
        <v>4676100</v>
      </c>
      <c r="G206" s="21">
        <v>25</v>
      </c>
      <c r="H206" s="22">
        <v>0.8</v>
      </c>
    </row>
    <row r="207" spans="1:8" customFormat="1" ht="27">
      <c r="A207" s="16"/>
      <c r="B207" s="17" t="s">
        <v>1782</v>
      </c>
      <c r="C207" s="18" t="s">
        <v>1783</v>
      </c>
      <c r="D207" s="19"/>
      <c r="E207" s="20" t="s">
        <v>31</v>
      </c>
      <c r="F207" s="21">
        <f>4214000*1.1</f>
        <v>4635400</v>
      </c>
      <c r="G207" s="21">
        <v>25</v>
      </c>
      <c r="H207" s="22">
        <v>0.8</v>
      </c>
    </row>
    <row r="208" spans="1:8" customFormat="1" ht="27">
      <c r="A208" s="16"/>
      <c r="B208" s="17" t="s">
        <v>1784</v>
      </c>
      <c r="C208" s="18" t="s">
        <v>1785</v>
      </c>
      <c r="D208" s="19"/>
      <c r="E208" s="20" t="s">
        <v>31</v>
      </c>
      <c r="F208" s="21">
        <f>4177000*1.1</f>
        <v>4594700</v>
      </c>
      <c r="G208" s="21">
        <v>25</v>
      </c>
      <c r="H208" s="22">
        <v>0.8</v>
      </c>
    </row>
    <row r="209" spans="1:8" customFormat="1" ht="27">
      <c r="A209" s="16"/>
      <c r="B209" s="17" t="s">
        <v>1786</v>
      </c>
      <c r="C209" s="18" t="s">
        <v>1787</v>
      </c>
      <c r="D209" s="19"/>
      <c r="E209" s="20" t="s">
        <v>31</v>
      </c>
      <c r="F209" s="21">
        <f>4140000*1.1</f>
        <v>4554000</v>
      </c>
      <c r="G209" s="21">
        <v>25</v>
      </c>
      <c r="H209" s="22">
        <v>0.8</v>
      </c>
    </row>
    <row r="210" spans="1:8" customFormat="1" ht="27">
      <c r="A210" s="16"/>
      <c r="B210" s="17" t="s">
        <v>1788</v>
      </c>
      <c r="C210" s="18" t="s">
        <v>1789</v>
      </c>
      <c r="D210" s="19"/>
      <c r="E210" s="20" t="s">
        <v>31</v>
      </c>
      <c r="F210" s="21">
        <f>4103000*1.1</f>
        <v>4513300</v>
      </c>
      <c r="G210" s="21">
        <v>25</v>
      </c>
      <c r="H210" s="22">
        <v>0.8</v>
      </c>
    </row>
    <row r="211" spans="1:8" customFormat="1" ht="27">
      <c r="A211" s="16"/>
      <c r="B211" s="17" t="s">
        <v>1790</v>
      </c>
      <c r="C211" s="18" t="s">
        <v>1791</v>
      </c>
      <c r="D211" s="19"/>
      <c r="E211" s="20" t="s">
        <v>31</v>
      </c>
      <c r="F211" s="21">
        <f>4066000*1.1</f>
        <v>4472600</v>
      </c>
      <c r="G211" s="21">
        <v>25</v>
      </c>
      <c r="H211" s="22">
        <v>0.8</v>
      </c>
    </row>
    <row r="212" spans="1:8" customFormat="1" ht="27">
      <c r="A212" s="16"/>
      <c r="B212" s="17" t="s">
        <v>1792</v>
      </c>
      <c r="C212" s="18" t="s">
        <v>1793</v>
      </c>
      <c r="D212" s="19"/>
      <c r="E212" s="20" t="s">
        <v>31</v>
      </c>
      <c r="F212" s="21">
        <f>4029000*1.1</f>
        <v>4431900</v>
      </c>
      <c r="G212" s="21">
        <v>25</v>
      </c>
      <c r="H212" s="22">
        <v>0.8</v>
      </c>
    </row>
    <row r="213" spans="1:8" customFormat="1" ht="27">
      <c r="A213" s="16"/>
      <c r="B213" s="17" t="s">
        <v>1794</v>
      </c>
      <c r="C213" s="18" t="s">
        <v>1795</v>
      </c>
      <c r="D213" s="19"/>
      <c r="E213" s="20" t="s">
        <v>31</v>
      </c>
      <c r="F213" s="21">
        <f>3992000*1.1</f>
        <v>4391200</v>
      </c>
      <c r="G213" s="21">
        <v>25</v>
      </c>
      <c r="H213" s="22">
        <v>0.8</v>
      </c>
    </row>
    <row r="214" spans="1:8" customFormat="1" ht="14.5">
      <c r="A214" s="16"/>
      <c r="B214" s="17"/>
      <c r="C214" s="18" t="s">
        <v>1796</v>
      </c>
      <c r="D214" s="19"/>
      <c r="E214" s="20"/>
      <c r="F214" s="21"/>
      <c r="G214" s="21"/>
      <c r="H214" s="22"/>
    </row>
    <row r="215" spans="1:8" customFormat="1" ht="39">
      <c r="A215" s="12">
        <v>13</v>
      </c>
      <c r="B215" s="256" t="s">
        <v>1797</v>
      </c>
      <c r="C215" s="257" t="s">
        <v>1798</v>
      </c>
      <c r="D215" s="12"/>
      <c r="E215" s="12"/>
      <c r="F215" s="14"/>
      <c r="G215" s="14"/>
      <c r="H215" s="15"/>
    </row>
    <row r="216" spans="1:8" customFormat="1" ht="27">
      <c r="A216" s="16"/>
      <c r="B216" s="17"/>
      <c r="C216" s="18" t="s">
        <v>1731</v>
      </c>
      <c r="D216" s="19"/>
      <c r="E216" s="20"/>
      <c r="F216" s="21"/>
      <c r="G216" s="21"/>
      <c r="H216" s="22"/>
    </row>
    <row r="217" spans="1:8" customFormat="1" ht="27">
      <c r="A217" s="16"/>
      <c r="B217" s="17" t="s">
        <v>1799</v>
      </c>
      <c r="C217" s="18" t="s">
        <v>1800</v>
      </c>
      <c r="D217" s="19"/>
      <c r="E217" s="20" t="s">
        <v>31</v>
      </c>
      <c r="F217" s="21">
        <f>5203000*1.1</f>
        <v>5723300</v>
      </c>
      <c r="G217" s="21">
        <v>20</v>
      </c>
      <c r="H217" s="22">
        <v>0.8</v>
      </c>
    </row>
    <row r="218" spans="1:8" customFormat="1" ht="27">
      <c r="A218" s="16"/>
      <c r="B218" s="17" t="s">
        <v>1801</v>
      </c>
      <c r="C218" s="18" t="s">
        <v>1802</v>
      </c>
      <c r="D218" s="19"/>
      <c r="E218" s="20" t="s">
        <v>31</v>
      </c>
      <c r="F218" s="21">
        <f>5164000*1.1</f>
        <v>5680400</v>
      </c>
      <c r="G218" s="21">
        <v>20</v>
      </c>
      <c r="H218" s="22">
        <v>0.8</v>
      </c>
    </row>
    <row r="219" spans="1:8" customFormat="1" ht="27">
      <c r="A219" s="16"/>
      <c r="B219" s="17" t="s">
        <v>1803</v>
      </c>
      <c r="C219" s="18" t="s">
        <v>1804</v>
      </c>
      <c r="D219" s="19"/>
      <c r="E219" s="20" t="s">
        <v>31</v>
      </c>
      <c r="F219" s="21">
        <f>5125000*1.1</f>
        <v>5637500</v>
      </c>
      <c r="G219" s="21">
        <v>20</v>
      </c>
      <c r="H219" s="22">
        <v>0.8</v>
      </c>
    </row>
    <row r="220" spans="1:8" customFormat="1" ht="27">
      <c r="A220" s="16"/>
      <c r="B220" s="17" t="s">
        <v>1805</v>
      </c>
      <c r="C220" s="18" t="s">
        <v>1806</v>
      </c>
      <c r="D220" s="19"/>
      <c r="E220" s="20" t="s">
        <v>31</v>
      </c>
      <c r="F220" s="21">
        <f>5086000*1.1</f>
        <v>5594600</v>
      </c>
      <c r="G220" s="21">
        <v>20</v>
      </c>
      <c r="H220" s="22">
        <v>0.8</v>
      </c>
    </row>
    <row r="221" spans="1:8" customFormat="1" ht="27">
      <c r="A221" s="16"/>
      <c r="B221" s="17" t="s">
        <v>1807</v>
      </c>
      <c r="C221" s="18" t="s">
        <v>1808</v>
      </c>
      <c r="D221" s="19"/>
      <c r="E221" s="20" t="s">
        <v>31</v>
      </c>
      <c r="F221" s="21">
        <f>5047000*1.1</f>
        <v>5551700</v>
      </c>
      <c r="G221" s="21">
        <v>20</v>
      </c>
      <c r="H221" s="22">
        <v>0.8</v>
      </c>
    </row>
    <row r="222" spans="1:8" customFormat="1" ht="27">
      <c r="A222" s="16"/>
      <c r="B222" s="17" t="s">
        <v>1809</v>
      </c>
      <c r="C222" s="18" t="s">
        <v>1810</v>
      </c>
      <c r="D222" s="19"/>
      <c r="E222" s="20" t="s">
        <v>31</v>
      </c>
      <c r="F222" s="21">
        <f>5008000*1.1</f>
        <v>5508800</v>
      </c>
      <c r="G222" s="21">
        <v>20</v>
      </c>
      <c r="H222" s="22">
        <v>0.8</v>
      </c>
    </row>
    <row r="223" spans="1:8" customFormat="1" ht="27">
      <c r="A223" s="16"/>
      <c r="B223" s="17" t="s">
        <v>1811</v>
      </c>
      <c r="C223" s="18" t="s">
        <v>1812</v>
      </c>
      <c r="D223" s="19"/>
      <c r="E223" s="20" t="s">
        <v>31</v>
      </c>
      <c r="F223" s="21">
        <f>4969000*1.1</f>
        <v>5465900</v>
      </c>
      <c r="G223" s="21">
        <v>20</v>
      </c>
      <c r="H223" s="22">
        <v>0.8</v>
      </c>
    </row>
    <row r="224" spans="1:8" customFormat="1" ht="27">
      <c r="A224" s="16"/>
      <c r="B224" s="17" t="s">
        <v>1813</v>
      </c>
      <c r="C224" s="18" t="s">
        <v>1814</v>
      </c>
      <c r="D224" s="19"/>
      <c r="E224" s="20" t="s">
        <v>31</v>
      </c>
      <c r="F224" s="21">
        <f>4930000*1.1</f>
        <v>5423000</v>
      </c>
      <c r="G224" s="21">
        <v>20</v>
      </c>
      <c r="H224" s="22">
        <v>0.8</v>
      </c>
    </row>
    <row r="225" spans="1:8" customFormat="1" ht="27">
      <c r="A225" s="16"/>
      <c r="B225" s="17" t="s">
        <v>1815</v>
      </c>
      <c r="C225" s="18" t="s">
        <v>1816</v>
      </c>
      <c r="D225" s="19"/>
      <c r="E225" s="20" t="s">
        <v>31</v>
      </c>
      <c r="F225" s="21">
        <f>4891000*1.1</f>
        <v>5380100</v>
      </c>
      <c r="G225" s="21">
        <v>20</v>
      </c>
      <c r="H225" s="22">
        <v>0.8</v>
      </c>
    </row>
    <row r="226" spans="1:8" customFormat="1" ht="27">
      <c r="A226" s="16"/>
      <c r="B226" s="17" t="s">
        <v>1817</v>
      </c>
      <c r="C226" s="18" t="s">
        <v>1818</v>
      </c>
      <c r="D226" s="19"/>
      <c r="E226" s="20" t="s">
        <v>31</v>
      </c>
      <c r="F226" s="21">
        <f>4852000*1.1</f>
        <v>5337200</v>
      </c>
      <c r="G226" s="21">
        <v>20</v>
      </c>
      <c r="H226" s="22">
        <v>0.8</v>
      </c>
    </row>
    <row r="227" spans="1:8" customFormat="1" ht="27">
      <c r="A227" s="16"/>
      <c r="B227" s="17" t="s">
        <v>1819</v>
      </c>
      <c r="C227" s="18" t="s">
        <v>1820</v>
      </c>
      <c r="D227" s="19"/>
      <c r="E227" s="20" t="s">
        <v>31</v>
      </c>
      <c r="F227" s="21">
        <f>4813000*1.1</f>
        <v>5294300</v>
      </c>
      <c r="G227" s="21">
        <v>20</v>
      </c>
      <c r="H227" s="22">
        <v>0.8</v>
      </c>
    </row>
    <row r="228" spans="1:8" customFormat="1" ht="27">
      <c r="A228" s="16"/>
      <c r="B228" s="17" t="s">
        <v>1821</v>
      </c>
      <c r="C228" s="18" t="s">
        <v>1822</v>
      </c>
      <c r="D228" s="19"/>
      <c r="E228" s="20" t="s">
        <v>31</v>
      </c>
      <c r="F228" s="21">
        <f>4774000*1.1</f>
        <v>5251400</v>
      </c>
      <c r="G228" s="21">
        <v>20</v>
      </c>
      <c r="H228" s="22">
        <v>0.8</v>
      </c>
    </row>
    <row r="229" spans="1:8" customFormat="1" ht="27">
      <c r="A229" s="16"/>
      <c r="B229" s="17" t="s">
        <v>1823</v>
      </c>
      <c r="C229" s="18" t="s">
        <v>1824</v>
      </c>
      <c r="D229" s="19"/>
      <c r="E229" s="20" t="s">
        <v>31</v>
      </c>
      <c r="F229" s="21">
        <f>4735000*1.1</f>
        <v>5208500</v>
      </c>
      <c r="G229" s="21">
        <v>20</v>
      </c>
      <c r="H229" s="22">
        <v>0.8</v>
      </c>
    </row>
    <row r="230" spans="1:8" customFormat="1" ht="27">
      <c r="A230" s="16"/>
      <c r="B230" s="17" t="s">
        <v>1825</v>
      </c>
      <c r="C230" s="18" t="s">
        <v>1826</v>
      </c>
      <c r="D230" s="19"/>
      <c r="E230" s="20" t="s">
        <v>31</v>
      </c>
      <c r="F230" s="21">
        <f>4696000*1.1</f>
        <v>5165600</v>
      </c>
      <c r="G230" s="21">
        <v>20</v>
      </c>
      <c r="H230" s="22">
        <v>0.8</v>
      </c>
    </row>
    <row r="231" spans="1:8" customFormat="1" ht="27">
      <c r="A231" s="16"/>
      <c r="B231" s="17" t="s">
        <v>1827</v>
      </c>
      <c r="C231" s="18" t="s">
        <v>1828</v>
      </c>
      <c r="D231" s="19"/>
      <c r="E231" s="20" t="s">
        <v>31</v>
      </c>
      <c r="F231" s="21">
        <f>4657000*1.1</f>
        <v>5122700</v>
      </c>
      <c r="G231" s="21">
        <v>20</v>
      </c>
      <c r="H231" s="22">
        <v>0.8</v>
      </c>
    </row>
    <row r="232" spans="1:8" customFormat="1" ht="14.5">
      <c r="A232" s="16"/>
      <c r="B232" s="17"/>
      <c r="C232" s="18" t="s">
        <v>1762</v>
      </c>
      <c r="D232" s="19"/>
      <c r="E232" s="20"/>
      <c r="F232" s="21"/>
      <c r="G232" s="21"/>
      <c r="H232" s="22"/>
    </row>
    <row r="233" spans="1:8" customFormat="1" ht="39">
      <c r="A233" s="12">
        <v>14</v>
      </c>
      <c r="B233" s="256" t="s">
        <v>1829</v>
      </c>
      <c r="C233" s="257" t="s">
        <v>1830</v>
      </c>
      <c r="D233" s="12"/>
      <c r="E233" s="12"/>
      <c r="F233" s="14"/>
      <c r="G233" s="14"/>
      <c r="H233" s="15"/>
    </row>
    <row r="234" spans="1:8" customFormat="1" ht="27">
      <c r="A234" s="16"/>
      <c r="B234" s="17"/>
      <c r="C234" s="18" t="s">
        <v>1831</v>
      </c>
      <c r="D234" s="19"/>
      <c r="E234" s="20"/>
      <c r="F234" s="21"/>
      <c r="G234" s="21"/>
      <c r="H234" s="22"/>
    </row>
    <row r="235" spans="1:8" customFormat="1" ht="27">
      <c r="A235" s="16"/>
      <c r="B235" s="17" t="s">
        <v>1832</v>
      </c>
      <c r="C235" s="18" t="s">
        <v>1833</v>
      </c>
      <c r="D235" s="19"/>
      <c r="E235" s="20" t="s">
        <v>31</v>
      </c>
      <c r="F235" s="21">
        <f>5174000*1.1</f>
        <v>5691400</v>
      </c>
      <c r="G235" s="21">
        <v>20</v>
      </c>
      <c r="H235" s="22">
        <v>0.8</v>
      </c>
    </row>
    <row r="236" spans="1:8" customFormat="1" ht="27">
      <c r="A236" s="16"/>
      <c r="B236" s="17" t="s">
        <v>1834</v>
      </c>
      <c r="C236" s="18" t="s">
        <v>1835</v>
      </c>
      <c r="D236" s="19"/>
      <c r="E236" s="20" t="s">
        <v>31</v>
      </c>
      <c r="F236" s="21">
        <f>5143000*1.1</f>
        <v>5657300</v>
      </c>
      <c r="G236" s="21">
        <v>20</v>
      </c>
      <c r="H236" s="22">
        <v>0.8</v>
      </c>
    </row>
    <row r="237" spans="1:8" customFormat="1" ht="27">
      <c r="A237" s="16"/>
      <c r="B237" s="17" t="s">
        <v>1836</v>
      </c>
      <c r="C237" s="18" t="s">
        <v>1837</v>
      </c>
      <c r="D237" s="19"/>
      <c r="E237" s="20" t="s">
        <v>31</v>
      </c>
      <c r="F237" s="21">
        <f>5112000*1.1</f>
        <v>5623200</v>
      </c>
      <c r="G237" s="21">
        <v>20</v>
      </c>
      <c r="H237" s="22">
        <v>0.8</v>
      </c>
    </row>
    <row r="238" spans="1:8" customFormat="1" ht="27">
      <c r="A238" s="16"/>
      <c r="B238" s="17" t="s">
        <v>1838</v>
      </c>
      <c r="C238" s="18" t="s">
        <v>1839</v>
      </c>
      <c r="D238" s="19"/>
      <c r="E238" s="20" t="s">
        <v>31</v>
      </c>
      <c r="F238" s="21">
        <f>5081000*1.1</f>
        <v>5589100</v>
      </c>
      <c r="G238" s="21">
        <v>20</v>
      </c>
      <c r="H238" s="22">
        <v>0.8</v>
      </c>
    </row>
    <row r="239" spans="1:8" customFormat="1" ht="27">
      <c r="A239" s="16"/>
      <c r="B239" s="17" t="s">
        <v>1840</v>
      </c>
      <c r="C239" s="18" t="s">
        <v>1841</v>
      </c>
      <c r="D239" s="19"/>
      <c r="E239" s="20" t="s">
        <v>31</v>
      </c>
      <c r="F239" s="21">
        <f>5050000*1.1</f>
        <v>5555000</v>
      </c>
      <c r="G239" s="21">
        <v>20</v>
      </c>
      <c r="H239" s="22">
        <v>0.8</v>
      </c>
    </row>
    <row r="240" spans="1:8" customFormat="1" ht="27">
      <c r="A240" s="16"/>
      <c r="B240" s="17" t="s">
        <v>1842</v>
      </c>
      <c r="C240" s="18" t="s">
        <v>1843</v>
      </c>
      <c r="D240" s="19"/>
      <c r="E240" s="20" t="s">
        <v>31</v>
      </c>
      <c r="F240" s="21">
        <f>5019000*1.1</f>
        <v>5520900</v>
      </c>
      <c r="G240" s="21">
        <v>20</v>
      </c>
      <c r="H240" s="22">
        <v>0.8</v>
      </c>
    </row>
    <row r="241" spans="1:8" customFormat="1" ht="27">
      <c r="A241" s="16"/>
      <c r="B241" s="17" t="s">
        <v>1844</v>
      </c>
      <c r="C241" s="18" t="s">
        <v>1845</v>
      </c>
      <c r="D241" s="19"/>
      <c r="E241" s="20" t="s">
        <v>31</v>
      </c>
      <c r="F241" s="21">
        <f>4988000*1.1</f>
        <v>5486800</v>
      </c>
      <c r="G241" s="21">
        <v>20</v>
      </c>
      <c r="H241" s="22">
        <v>0.8</v>
      </c>
    </row>
    <row r="242" spans="1:8" customFormat="1" ht="27">
      <c r="A242" s="16"/>
      <c r="B242" s="17" t="s">
        <v>1846</v>
      </c>
      <c r="C242" s="18" t="s">
        <v>1847</v>
      </c>
      <c r="D242" s="19"/>
      <c r="E242" s="20" t="s">
        <v>31</v>
      </c>
      <c r="F242" s="21">
        <f>4957000*1.1</f>
        <v>5452700</v>
      </c>
      <c r="G242" s="21">
        <v>20</v>
      </c>
      <c r="H242" s="22">
        <v>0.8</v>
      </c>
    </row>
    <row r="243" spans="1:8" customFormat="1" ht="27">
      <c r="A243" s="16"/>
      <c r="B243" s="17" t="s">
        <v>1848</v>
      </c>
      <c r="C243" s="18" t="s">
        <v>1849</v>
      </c>
      <c r="D243" s="19"/>
      <c r="E243" s="20" t="s">
        <v>31</v>
      </c>
      <c r="F243" s="21">
        <f>4926000*1.1</f>
        <v>5418600</v>
      </c>
      <c r="G243" s="21">
        <v>20</v>
      </c>
      <c r="H243" s="22">
        <v>0.8</v>
      </c>
    </row>
    <row r="244" spans="1:8" customFormat="1" ht="27">
      <c r="A244" s="16"/>
      <c r="B244" s="17" t="s">
        <v>1850</v>
      </c>
      <c r="C244" s="18" t="s">
        <v>1851</v>
      </c>
      <c r="D244" s="19"/>
      <c r="E244" s="20" t="s">
        <v>31</v>
      </c>
      <c r="F244" s="21">
        <f>4895000*1.1</f>
        <v>5384500</v>
      </c>
      <c r="G244" s="21">
        <v>20</v>
      </c>
      <c r="H244" s="22">
        <v>0.8</v>
      </c>
    </row>
    <row r="245" spans="1:8" customFormat="1" ht="27">
      <c r="A245" s="16"/>
      <c r="B245" s="17" t="s">
        <v>1852</v>
      </c>
      <c r="C245" s="18" t="s">
        <v>1853</v>
      </c>
      <c r="D245" s="19"/>
      <c r="E245" s="20" t="s">
        <v>31</v>
      </c>
      <c r="F245" s="21">
        <f>4864000*1.1</f>
        <v>5350400</v>
      </c>
      <c r="G245" s="21">
        <v>20</v>
      </c>
      <c r="H245" s="22">
        <v>0.8</v>
      </c>
    </row>
    <row r="246" spans="1:8" customFormat="1" ht="27">
      <c r="A246" s="16"/>
      <c r="B246" s="17" t="s">
        <v>1854</v>
      </c>
      <c r="C246" s="18" t="s">
        <v>1855</v>
      </c>
      <c r="D246" s="19"/>
      <c r="E246" s="20" t="s">
        <v>31</v>
      </c>
      <c r="F246" s="21">
        <f>4833000*1.1</f>
        <v>5316300</v>
      </c>
      <c r="G246" s="21">
        <v>20</v>
      </c>
      <c r="H246" s="22">
        <v>0.8</v>
      </c>
    </row>
    <row r="247" spans="1:8" customFormat="1" ht="27">
      <c r="A247" s="16"/>
      <c r="B247" s="17" t="s">
        <v>1856</v>
      </c>
      <c r="C247" s="18" t="s">
        <v>1857</v>
      </c>
      <c r="D247" s="19"/>
      <c r="E247" s="20" t="s">
        <v>31</v>
      </c>
      <c r="F247" s="21">
        <f>4802000*1.1</f>
        <v>5282200</v>
      </c>
      <c r="G247" s="21">
        <v>20</v>
      </c>
      <c r="H247" s="22">
        <v>0.8</v>
      </c>
    </row>
    <row r="248" spans="1:8" customFormat="1" ht="27">
      <c r="A248" s="16"/>
      <c r="B248" s="17" t="s">
        <v>1858</v>
      </c>
      <c r="C248" s="18" t="s">
        <v>1859</v>
      </c>
      <c r="D248" s="19"/>
      <c r="E248" s="20" t="s">
        <v>31</v>
      </c>
      <c r="F248" s="21">
        <f>4771000*1.1</f>
        <v>5248100</v>
      </c>
      <c r="G248" s="21">
        <v>20</v>
      </c>
      <c r="H248" s="22">
        <v>0.8</v>
      </c>
    </row>
    <row r="249" spans="1:8" customFormat="1" ht="27">
      <c r="A249" s="16"/>
      <c r="B249" s="17" t="s">
        <v>1860</v>
      </c>
      <c r="C249" s="18" t="s">
        <v>1861</v>
      </c>
      <c r="D249" s="19"/>
      <c r="E249" s="20" t="s">
        <v>31</v>
      </c>
      <c r="F249" s="21">
        <f>4740000*1.1</f>
        <v>5214000</v>
      </c>
      <c r="G249" s="21">
        <v>20</v>
      </c>
      <c r="H249" s="22">
        <v>0.8</v>
      </c>
    </row>
    <row r="250" spans="1:8" customFormat="1" ht="14.5">
      <c r="A250" s="16"/>
      <c r="B250" s="17"/>
      <c r="C250" s="18" t="s">
        <v>1862</v>
      </c>
      <c r="D250" s="19"/>
      <c r="E250" s="20"/>
      <c r="F250" s="21"/>
      <c r="G250" s="21"/>
      <c r="H250" s="22"/>
    </row>
    <row r="251" spans="1:8" customFormat="1" ht="26">
      <c r="A251" s="256" t="s">
        <v>1863</v>
      </c>
      <c r="B251" s="256" t="s">
        <v>1864</v>
      </c>
      <c r="C251" s="253" t="s">
        <v>1865</v>
      </c>
      <c r="D251" s="30"/>
      <c r="E251" s="30"/>
      <c r="F251" s="30"/>
      <c r="G251" s="30"/>
      <c r="H251" s="30"/>
    </row>
    <row r="252" spans="1:8" customFormat="1" ht="14.5">
      <c r="A252" s="16"/>
      <c r="B252" s="31" t="s">
        <v>1866</v>
      </c>
      <c r="C252" s="18" t="s">
        <v>1866</v>
      </c>
      <c r="D252" s="19"/>
      <c r="E252" s="20" t="s">
        <v>31</v>
      </c>
      <c r="F252" s="21">
        <f>104500*1.1</f>
        <v>114950.00000000001</v>
      </c>
      <c r="G252" s="21">
        <v>10</v>
      </c>
      <c r="H252" s="22">
        <v>0.8</v>
      </c>
    </row>
    <row r="253" spans="1:8" customFormat="1" ht="21">
      <c r="A253" s="16"/>
      <c r="B253" s="31" t="s">
        <v>1867</v>
      </c>
      <c r="C253" s="18" t="s">
        <v>1868</v>
      </c>
      <c r="D253" s="19"/>
      <c r="E253" s="20" t="s">
        <v>31</v>
      </c>
      <c r="F253" s="21">
        <f>159800*1.1</f>
        <v>175780</v>
      </c>
      <c r="G253" s="21">
        <v>10</v>
      </c>
      <c r="H253" s="22">
        <v>0.8</v>
      </c>
    </row>
    <row r="254" spans="1:8" customFormat="1" ht="21">
      <c r="A254" s="16"/>
      <c r="B254" s="31" t="s">
        <v>1869</v>
      </c>
      <c r="C254" s="18" t="s">
        <v>1870</v>
      </c>
      <c r="D254" s="19"/>
      <c r="E254" s="20" t="s">
        <v>31</v>
      </c>
      <c r="F254" s="21">
        <f>196500*1.1</f>
        <v>216150.00000000003</v>
      </c>
      <c r="G254" s="21">
        <v>10</v>
      </c>
      <c r="H254" s="22">
        <v>0.8</v>
      </c>
    </row>
    <row r="255" spans="1:8" customFormat="1" ht="21">
      <c r="A255" s="16"/>
      <c r="B255" s="31" t="s">
        <v>1871</v>
      </c>
      <c r="C255" s="18" t="s">
        <v>1872</v>
      </c>
      <c r="D255" s="19"/>
      <c r="E255" s="20" t="s">
        <v>31</v>
      </c>
      <c r="F255" s="21">
        <f>198000*1.1</f>
        <v>217800.00000000003</v>
      </c>
      <c r="G255" s="21">
        <v>10</v>
      </c>
      <c r="H255" s="22">
        <v>0.8</v>
      </c>
    </row>
    <row r="256" spans="1:8" customFormat="1" ht="21">
      <c r="A256" s="16"/>
      <c r="B256" s="31" t="s">
        <v>1873</v>
      </c>
      <c r="C256" s="18" t="s">
        <v>1874</v>
      </c>
      <c r="D256" s="19"/>
      <c r="E256" s="20" t="s">
        <v>31</v>
      </c>
      <c r="F256" s="21">
        <f>230400*1.1</f>
        <v>253440.00000000003</v>
      </c>
      <c r="G256" s="21">
        <v>10</v>
      </c>
      <c r="H256" s="22">
        <v>0.8</v>
      </c>
    </row>
    <row r="257" spans="1:8" customFormat="1" ht="21">
      <c r="A257" s="16"/>
      <c r="B257" s="31" t="s">
        <v>1875</v>
      </c>
      <c r="C257" s="18" t="s">
        <v>1876</v>
      </c>
      <c r="D257" s="19"/>
      <c r="E257" s="20" t="s">
        <v>31</v>
      </c>
      <c r="F257" s="21"/>
      <c r="G257" s="21">
        <v>10</v>
      </c>
      <c r="H257" s="22">
        <v>0.8</v>
      </c>
    </row>
    <row r="258" spans="1:8" customFormat="1" ht="21">
      <c r="A258" s="16"/>
      <c r="B258" s="31" t="s">
        <v>1877</v>
      </c>
      <c r="C258" s="18" t="s">
        <v>1878</v>
      </c>
      <c r="D258" s="19"/>
      <c r="E258" s="20" t="s">
        <v>31</v>
      </c>
      <c r="F258" s="21"/>
      <c r="G258" s="21">
        <v>10</v>
      </c>
      <c r="H258" s="22">
        <v>0.8</v>
      </c>
    </row>
    <row r="259" spans="1:8" customFormat="1" ht="21">
      <c r="A259" s="16"/>
      <c r="B259" s="31" t="s">
        <v>1879</v>
      </c>
      <c r="C259" s="18" t="s">
        <v>1880</v>
      </c>
      <c r="D259" s="19"/>
      <c r="E259" s="20" t="s">
        <v>31</v>
      </c>
      <c r="F259" s="21">
        <f>300900*1.1</f>
        <v>330990</v>
      </c>
      <c r="G259" s="21">
        <v>10</v>
      </c>
      <c r="H259" s="22">
        <v>0.8</v>
      </c>
    </row>
    <row r="260" spans="1:8" customFormat="1" ht="21">
      <c r="A260" s="16"/>
      <c r="B260" s="31" t="s">
        <v>1881</v>
      </c>
      <c r="C260" s="18" t="s">
        <v>1882</v>
      </c>
      <c r="D260" s="19"/>
      <c r="E260" s="20" t="s">
        <v>31</v>
      </c>
      <c r="F260" s="21">
        <f>325200*1.1</f>
        <v>357720</v>
      </c>
      <c r="G260" s="21">
        <v>10</v>
      </c>
      <c r="H260" s="22">
        <v>0.8</v>
      </c>
    </row>
    <row r="261" spans="1:8" customFormat="1" ht="21">
      <c r="A261" s="16"/>
      <c r="B261" s="31" t="s">
        <v>1883</v>
      </c>
      <c r="C261" s="18" t="s">
        <v>1884</v>
      </c>
      <c r="D261" s="19"/>
      <c r="E261" s="20" t="s">
        <v>31</v>
      </c>
      <c r="F261" s="21">
        <f>348700*1.1</f>
        <v>383570.00000000006</v>
      </c>
      <c r="G261" s="21">
        <v>10</v>
      </c>
      <c r="H261" s="22">
        <v>0.8</v>
      </c>
    </row>
    <row r="262" spans="1:8" customFormat="1" ht="14.5">
      <c r="A262" s="16"/>
      <c r="B262" s="31" t="s">
        <v>1885</v>
      </c>
      <c r="C262" s="18" t="s">
        <v>1886</v>
      </c>
      <c r="D262" s="19"/>
      <c r="E262" s="20" t="s">
        <v>31</v>
      </c>
      <c r="F262" s="21">
        <f>1590700*1.1</f>
        <v>1749770.0000000002</v>
      </c>
      <c r="G262" s="21">
        <v>25</v>
      </c>
      <c r="H262" s="22">
        <v>0.8</v>
      </c>
    </row>
    <row r="263" spans="1:8" customFormat="1" ht="14.5">
      <c r="A263" s="16"/>
      <c r="B263" s="31" t="s">
        <v>1887</v>
      </c>
      <c r="C263" s="18" t="s">
        <v>1888</v>
      </c>
      <c r="D263" s="19"/>
      <c r="E263" s="20" t="s">
        <v>31</v>
      </c>
      <c r="F263" s="21">
        <f>1599500*1.1</f>
        <v>1759450.0000000002</v>
      </c>
      <c r="G263" s="21">
        <v>25</v>
      </c>
      <c r="H263" s="22">
        <v>0.8</v>
      </c>
    </row>
    <row r="264" spans="1:8" customFormat="1" ht="21" customHeight="1">
      <c r="A264" s="16"/>
      <c r="B264" s="31" t="s">
        <v>1889</v>
      </c>
      <c r="C264" s="18" t="s">
        <v>1890</v>
      </c>
      <c r="D264" s="19"/>
      <c r="E264" s="20" t="s">
        <v>31</v>
      </c>
      <c r="F264" s="21">
        <f>1627300*1.1</f>
        <v>1790030.0000000002</v>
      </c>
      <c r="G264" s="21">
        <v>25</v>
      </c>
      <c r="H264" s="22">
        <v>0.8</v>
      </c>
    </row>
    <row r="265" spans="1:8" customFormat="1" ht="21">
      <c r="A265" s="16"/>
      <c r="B265" s="31" t="s">
        <v>1891</v>
      </c>
      <c r="C265" s="18" t="s">
        <v>1892</v>
      </c>
      <c r="D265" s="19"/>
      <c r="E265" s="20" t="s">
        <v>31</v>
      </c>
      <c r="F265" s="21">
        <f>145000*1.1</f>
        <v>159500</v>
      </c>
      <c r="G265" s="21">
        <v>10</v>
      </c>
      <c r="H265" s="22">
        <v>0.8</v>
      </c>
    </row>
    <row r="266" spans="1:8" customFormat="1" ht="21">
      <c r="A266" s="16"/>
      <c r="B266" s="31" t="s">
        <v>1893</v>
      </c>
      <c r="C266" s="18" t="s">
        <v>1894</v>
      </c>
      <c r="D266" s="19"/>
      <c r="E266" s="20" t="s">
        <v>31</v>
      </c>
      <c r="F266" s="21">
        <f>173700*1.1</f>
        <v>191070.00000000003</v>
      </c>
      <c r="G266" s="21">
        <v>10</v>
      </c>
      <c r="H266" s="22">
        <v>0.8</v>
      </c>
    </row>
    <row r="267" spans="1:8" customFormat="1" ht="21">
      <c r="A267" s="16"/>
      <c r="B267" s="31" t="s">
        <v>1895</v>
      </c>
      <c r="C267" s="18" t="s">
        <v>1896</v>
      </c>
      <c r="D267" s="19"/>
      <c r="E267" s="20" t="s">
        <v>31</v>
      </c>
      <c r="F267" s="21"/>
      <c r="G267" s="21">
        <v>10</v>
      </c>
      <c r="H267" s="22">
        <v>0.8</v>
      </c>
    </row>
    <row r="268" spans="1:8" customFormat="1" ht="26">
      <c r="A268" s="256" t="s">
        <v>1897</v>
      </c>
      <c r="B268" s="256" t="s">
        <v>1898</v>
      </c>
      <c r="C268" s="253" t="s">
        <v>1899</v>
      </c>
      <c r="D268" s="12"/>
      <c r="E268" s="12"/>
      <c r="F268" s="14"/>
      <c r="G268" s="14"/>
      <c r="H268" s="15"/>
    </row>
    <row r="269" spans="1:8" customFormat="1" ht="14.5">
      <c r="A269" s="32"/>
      <c r="B269" s="31" t="s">
        <v>1900</v>
      </c>
      <c r="C269" s="18" t="s">
        <v>1901</v>
      </c>
      <c r="D269" s="19"/>
      <c r="E269" s="33" t="s">
        <v>31</v>
      </c>
      <c r="F269" s="21"/>
      <c r="G269" s="21">
        <v>25</v>
      </c>
      <c r="H269" s="22">
        <v>0.8</v>
      </c>
    </row>
    <row r="270" spans="1:8" customFormat="1" ht="14.5">
      <c r="A270" s="32"/>
      <c r="B270" s="31" t="s">
        <v>1902</v>
      </c>
      <c r="C270" s="18" t="s">
        <v>1903</v>
      </c>
      <c r="D270" s="19"/>
      <c r="E270" s="33" t="s">
        <v>31</v>
      </c>
      <c r="F270" s="21">
        <f>251800*1.1</f>
        <v>276980</v>
      </c>
      <c r="G270" s="21">
        <v>25</v>
      </c>
      <c r="H270" s="22">
        <v>0.8</v>
      </c>
    </row>
    <row r="271" spans="1:8" customFormat="1" ht="14.5">
      <c r="A271" s="32"/>
      <c r="B271" s="31" t="s">
        <v>1904</v>
      </c>
      <c r="C271" s="18" t="s">
        <v>1905</v>
      </c>
      <c r="D271" s="19"/>
      <c r="E271" s="33" t="s">
        <v>31</v>
      </c>
      <c r="F271" s="21">
        <f>253600*1.1</f>
        <v>278960</v>
      </c>
      <c r="G271" s="21">
        <v>25</v>
      </c>
      <c r="H271" s="22">
        <v>0.8</v>
      </c>
    </row>
    <row r="272" spans="1:8" customFormat="1" ht="14.5">
      <c r="A272" s="32"/>
      <c r="B272" s="31" t="s">
        <v>1906</v>
      </c>
      <c r="C272" s="18" t="s">
        <v>1907</v>
      </c>
      <c r="D272" s="19"/>
      <c r="E272" s="33" t="s">
        <v>31</v>
      </c>
      <c r="F272" s="21">
        <f>264100*1.1</f>
        <v>290510</v>
      </c>
      <c r="G272" s="21">
        <v>25</v>
      </c>
      <c r="H272" s="22">
        <v>0.8</v>
      </c>
    </row>
    <row r="273" spans="1:8" customFormat="1" ht="14.5">
      <c r="A273" s="32"/>
      <c r="B273" s="31" t="s">
        <v>1908</v>
      </c>
      <c r="C273" s="18" t="s">
        <v>1909</v>
      </c>
      <c r="D273" s="19"/>
      <c r="E273" s="33" t="s">
        <v>31</v>
      </c>
      <c r="F273" s="21">
        <f>276700*1.1</f>
        <v>304370</v>
      </c>
      <c r="G273" s="21">
        <v>25</v>
      </c>
      <c r="H273" s="22">
        <v>0.8</v>
      </c>
    </row>
    <row r="274" spans="1:8" customFormat="1" ht="14.5">
      <c r="A274" s="32"/>
      <c r="B274" s="31" t="s">
        <v>1910</v>
      </c>
      <c r="C274" s="18" t="s">
        <v>1911</v>
      </c>
      <c r="D274" s="19"/>
      <c r="E274" s="33" t="s">
        <v>31</v>
      </c>
      <c r="F274" s="21">
        <f>316700*1.1</f>
        <v>348370</v>
      </c>
      <c r="G274" s="21">
        <v>25</v>
      </c>
      <c r="H274" s="22">
        <v>0.8</v>
      </c>
    </row>
    <row r="275" spans="1:8" customFormat="1" ht="14.5">
      <c r="A275" s="32"/>
      <c r="B275" s="31" t="s">
        <v>1912</v>
      </c>
      <c r="C275" s="18" t="s">
        <v>1913</v>
      </c>
      <c r="D275" s="19"/>
      <c r="E275" s="33" t="s">
        <v>31</v>
      </c>
      <c r="F275" s="21">
        <f>339000*1.1</f>
        <v>372900.00000000006</v>
      </c>
      <c r="G275" s="21">
        <v>25</v>
      </c>
      <c r="H275" s="22">
        <v>0.8</v>
      </c>
    </row>
    <row r="276" spans="1:8" customFormat="1" ht="14.5">
      <c r="A276" s="32"/>
      <c r="B276" s="31" t="s">
        <v>1914</v>
      </c>
      <c r="C276" s="18" t="s">
        <v>1915</v>
      </c>
      <c r="D276" s="19"/>
      <c r="E276" s="33" t="s">
        <v>31</v>
      </c>
      <c r="F276" s="21">
        <f>349000*1.1</f>
        <v>383900.00000000006</v>
      </c>
      <c r="G276" s="21">
        <v>25</v>
      </c>
      <c r="H276" s="22">
        <v>0.8</v>
      </c>
    </row>
    <row r="277" spans="1:8" customFormat="1" ht="14.5">
      <c r="A277" s="32"/>
      <c r="B277" s="31" t="s">
        <v>1916</v>
      </c>
      <c r="C277" s="18" t="s">
        <v>1917</v>
      </c>
      <c r="D277" s="19"/>
      <c r="E277" s="33" t="s">
        <v>31</v>
      </c>
      <c r="F277" s="21"/>
      <c r="G277" s="21">
        <v>25</v>
      </c>
      <c r="H277" s="22">
        <v>0.8</v>
      </c>
    </row>
    <row r="278" spans="1:8" customFormat="1" ht="27">
      <c r="A278" s="16"/>
      <c r="B278" s="31" t="s">
        <v>1918</v>
      </c>
      <c r="C278" s="18" t="s">
        <v>1919</v>
      </c>
      <c r="D278" s="19"/>
      <c r="E278" s="33" t="s">
        <v>31</v>
      </c>
      <c r="F278" s="21">
        <f>256800*1.1</f>
        <v>282480</v>
      </c>
      <c r="G278" s="21">
        <v>25</v>
      </c>
      <c r="H278" s="22">
        <v>0.8</v>
      </c>
    </row>
    <row r="279" spans="1:8" customFormat="1" ht="27">
      <c r="A279" s="16"/>
      <c r="B279" s="31" t="s">
        <v>1920</v>
      </c>
      <c r="C279" s="18" t="s">
        <v>1921</v>
      </c>
      <c r="D279" s="19"/>
      <c r="E279" s="33" t="s">
        <v>31</v>
      </c>
      <c r="F279" s="21">
        <f>252500*1.1</f>
        <v>277750</v>
      </c>
      <c r="G279" s="21">
        <v>25</v>
      </c>
      <c r="H279" s="22">
        <v>0.8</v>
      </c>
    </row>
    <row r="280" spans="1:8" customFormat="1" ht="27">
      <c r="A280" s="16"/>
      <c r="B280" s="31" t="s">
        <v>1922</v>
      </c>
      <c r="C280" s="18" t="s">
        <v>1923</v>
      </c>
      <c r="D280" s="19"/>
      <c r="E280" s="33" t="s">
        <v>31</v>
      </c>
      <c r="F280" s="21">
        <f>257200*1.1</f>
        <v>282920</v>
      </c>
      <c r="G280" s="21">
        <v>25</v>
      </c>
      <c r="H280" s="22">
        <v>0.8</v>
      </c>
    </row>
    <row r="281" spans="1:8" customFormat="1" ht="26">
      <c r="A281" s="256" t="s">
        <v>1924</v>
      </c>
      <c r="B281" s="13"/>
      <c r="C281" s="253" t="s">
        <v>1925</v>
      </c>
      <c r="D281" s="12"/>
      <c r="E281" s="12"/>
      <c r="F281" s="14"/>
      <c r="G281" s="14"/>
      <c r="H281" s="15"/>
    </row>
    <row r="282" spans="1:8" customFormat="1" ht="14.5">
      <c r="A282" s="32"/>
      <c r="B282" s="31" t="s">
        <v>1926</v>
      </c>
      <c r="C282" s="18" t="s">
        <v>1927</v>
      </c>
      <c r="D282" s="19"/>
      <c r="E282" s="33" t="s">
        <v>31</v>
      </c>
      <c r="F282" s="21">
        <f>71900*1.1</f>
        <v>79090</v>
      </c>
      <c r="G282" s="21">
        <v>25</v>
      </c>
      <c r="H282" s="22"/>
    </row>
    <row r="283" spans="1:8" customFormat="1" ht="14.5">
      <c r="A283" s="32"/>
      <c r="B283" s="31" t="s">
        <v>1928</v>
      </c>
      <c r="C283" s="18" t="s">
        <v>1929</v>
      </c>
      <c r="D283" s="19"/>
      <c r="E283" s="33" t="s">
        <v>31</v>
      </c>
      <c r="F283" s="21">
        <f>77900*1.1</f>
        <v>85690</v>
      </c>
      <c r="G283" s="21">
        <v>25</v>
      </c>
      <c r="H283" s="22"/>
    </row>
    <row r="284" spans="1:8" customFormat="1" ht="14.5">
      <c r="A284" s="16"/>
      <c r="B284" s="31" t="s">
        <v>1930</v>
      </c>
      <c r="C284" s="18" t="s">
        <v>1931</v>
      </c>
      <c r="D284" s="19"/>
      <c r="E284" s="33" t="s">
        <v>31</v>
      </c>
      <c r="F284" s="21">
        <f>473400*1.1</f>
        <v>520740.00000000006</v>
      </c>
      <c r="G284" s="21">
        <v>25</v>
      </c>
      <c r="H284" s="22"/>
    </row>
    <row r="285" spans="1:8" customFormat="1" ht="14.5">
      <c r="A285" s="16"/>
      <c r="B285" s="31" t="s">
        <v>1932</v>
      </c>
      <c r="C285" s="18" t="s">
        <v>1933</v>
      </c>
      <c r="D285" s="19"/>
      <c r="E285" s="33" t="s">
        <v>31</v>
      </c>
      <c r="F285" s="21">
        <f>856100*1.1</f>
        <v>941710.00000000012</v>
      </c>
      <c r="G285" s="21">
        <v>25</v>
      </c>
      <c r="H285" s="22"/>
    </row>
    <row r="286" spans="1:8" customFormat="1" ht="26">
      <c r="A286" s="256" t="s">
        <v>1934</v>
      </c>
      <c r="B286" s="13"/>
      <c r="C286" s="253" t="s">
        <v>1935</v>
      </c>
      <c r="D286" s="12"/>
      <c r="E286" s="12"/>
      <c r="F286" s="14"/>
      <c r="G286" s="14"/>
      <c r="H286" s="15"/>
    </row>
    <row r="287" spans="1:8" customFormat="1" ht="14.5">
      <c r="A287" s="16"/>
      <c r="B287" s="17" t="s">
        <v>1936</v>
      </c>
      <c r="C287" s="18" t="s">
        <v>1937</v>
      </c>
      <c r="D287" s="19"/>
      <c r="E287" s="20" t="s">
        <v>31</v>
      </c>
      <c r="F287" s="34">
        <f>48600*1.1</f>
        <v>53460.000000000007</v>
      </c>
      <c r="G287" s="34"/>
      <c r="H287" s="35">
        <v>0.8</v>
      </c>
    </row>
    <row r="288" spans="1:8" customFormat="1" ht="14.5">
      <c r="A288" s="16"/>
      <c r="B288" s="17" t="s">
        <v>1938</v>
      </c>
      <c r="C288" s="18" t="s">
        <v>1939</v>
      </c>
      <c r="D288" s="19"/>
      <c r="E288" s="20" t="s">
        <v>31</v>
      </c>
      <c r="F288" s="34">
        <f>51500*1.1</f>
        <v>56650.000000000007</v>
      </c>
      <c r="G288" s="34"/>
      <c r="H288" s="35">
        <v>0.8</v>
      </c>
    </row>
    <row r="289" spans="1:8" customFormat="1" ht="14.5">
      <c r="A289" s="16"/>
      <c r="B289" s="17" t="s">
        <v>1940</v>
      </c>
      <c r="C289" s="18" t="s">
        <v>1941</v>
      </c>
      <c r="D289" s="19"/>
      <c r="E289" s="20" t="s">
        <v>31</v>
      </c>
      <c r="F289" s="34">
        <f>58000*1.1</f>
        <v>63800.000000000007</v>
      </c>
      <c r="G289" s="34"/>
      <c r="H289" s="35">
        <v>0.8</v>
      </c>
    </row>
    <row r="290" spans="1:8" customFormat="1" ht="14.5">
      <c r="A290" s="16"/>
      <c r="B290" s="17" t="s">
        <v>1942</v>
      </c>
      <c r="C290" s="18" t="s">
        <v>1943</v>
      </c>
      <c r="D290" s="19"/>
      <c r="E290" s="20" t="s">
        <v>31</v>
      </c>
      <c r="F290" s="34">
        <f>62000*1.1</f>
        <v>68200</v>
      </c>
      <c r="G290" s="34"/>
      <c r="H290" s="35">
        <v>0.8</v>
      </c>
    </row>
    <row r="291" spans="1:8" customFormat="1" ht="14.5">
      <c r="A291" s="16"/>
      <c r="B291" s="17" t="s">
        <v>1944</v>
      </c>
      <c r="C291" s="18" t="s">
        <v>1945</v>
      </c>
      <c r="D291" s="19"/>
      <c r="E291" s="20" t="s">
        <v>31</v>
      </c>
      <c r="F291" s="34">
        <f>30700*1.1</f>
        <v>33770</v>
      </c>
      <c r="G291" s="34"/>
      <c r="H291" s="35">
        <v>0.8</v>
      </c>
    </row>
    <row r="292" spans="1:8" customFormat="1" ht="14.5">
      <c r="A292" s="16"/>
      <c r="B292" s="17" t="s">
        <v>1946</v>
      </c>
      <c r="C292" s="18" t="s">
        <v>1947</v>
      </c>
      <c r="D292" s="19"/>
      <c r="E292" s="20" t="s">
        <v>31</v>
      </c>
      <c r="F292" s="34">
        <f>36100*1.1</f>
        <v>39710</v>
      </c>
      <c r="G292" s="34"/>
      <c r="H292" s="35">
        <v>0.8</v>
      </c>
    </row>
    <row r="293" spans="1:8" customFormat="1" ht="14.5">
      <c r="A293" s="16"/>
      <c r="B293" s="17" t="s">
        <v>1948</v>
      </c>
      <c r="C293" s="18" t="s">
        <v>1949</v>
      </c>
      <c r="D293" s="19"/>
      <c r="E293" s="20" t="s">
        <v>31</v>
      </c>
      <c r="F293" s="34">
        <f>11400*1.1</f>
        <v>12540.000000000002</v>
      </c>
      <c r="G293" s="34"/>
      <c r="H293" s="35">
        <v>0.8</v>
      </c>
    </row>
    <row r="294" spans="1:8" customFormat="1" ht="14.5">
      <c r="A294" s="16"/>
      <c r="B294" s="17" t="s">
        <v>1950</v>
      </c>
      <c r="C294" s="18" t="s">
        <v>1951</v>
      </c>
      <c r="D294" s="19"/>
      <c r="E294" s="20" t="s">
        <v>31</v>
      </c>
      <c r="F294" s="34">
        <f>82500*1.1</f>
        <v>90750.000000000015</v>
      </c>
      <c r="G294" s="34"/>
      <c r="H294" s="35">
        <v>0.8</v>
      </c>
    </row>
    <row r="295" spans="1:8" customFormat="1" ht="14.5">
      <c r="A295" s="16"/>
      <c r="B295" s="17" t="s">
        <v>1952</v>
      </c>
      <c r="C295" s="18" t="s">
        <v>1953</v>
      </c>
      <c r="D295" s="19"/>
      <c r="E295" s="20" t="s">
        <v>31</v>
      </c>
      <c r="F295" s="34">
        <f>66300*1.1</f>
        <v>72930</v>
      </c>
      <c r="G295" s="34"/>
      <c r="H295" s="35">
        <v>0.8</v>
      </c>
    </row>
    <row r="296" spans="1:8" customFormat="1" ht="14.5">
      <c r="A296" s="16"/>
      <c r="B296" s="17" t="s">
        <v>1954</v>
      </c>
      <c r="C296" s="18" t="s">
        <v>1955</v>
      </c>
      <c r="D296" s="19"/>
      <c r="E296" s="20" t="s">
        <v>31</v>
      </c>
      <c r="F296" s="21">
        <f>115900*1.1</f>
        <v>127490.00000000001</v>
      </c>
      <c r="G296" s="21"/>
      <c r="H296" s="35">
        <v>0.8</v>
      </c>
    </row>
    <row r="297" spans="1:8" customFormat="1" ht="14.5">
      <c r="A297" s="16"/>
      <c r="B297" s="17" t="s">
        <v>1956</v>
      </c>
      <c r="C297" s="18" t="s">
        <v>1957</v>
      </c>
      <c r="D297" s="19"/>
      <c r="E297" s="20" t="s">
        <v>31</v>
      </c>
      <c r="F297" s="21">
        <f>165800*1.1</f>
        <v>182380.00000000003</v>
      </c>
      <c r="G297" s="21"/>
      <c r="H297" s="35">
        <v>0.8</v>
      </c>
    </row>
    <row r="298" spans="1:8" customFormat="1" ht="14.5">
      <c r="A298" s="16"/>
      <c r="B298" s="17" t="s">
        <v>1958</v>
      </c>
      <c r="C298" s="18" t="s">
        <v>1959</v>
      </c>
      <c r="D298" s="19"/>
      <c r="E298" s="20" t="s">
        <v>31</v>
      </c>
      <c r="F298" s="21">
        <f>160000*1.1</f>
        <v>176000</v>
      </c>
      <c r="G298" s="21"/>
      <c r="H298" s="35">
        <v>0.8</v>
      </c>
    </row>
    <row r="299" spans="1:8" customFormat="1" ht="14.5">
      <c r="A299" s="12"/>
      <c r="B299" s="256" t="s">
        <v>1960</v>
      </c>
      <c r="C299" s="253" t="s">
        <v>1961</v>
      </c>
      <c r="D299" s="12"/>
      <c r="E299" s="12"/>
      <c r="F299" s="14"/>
      <c r="G299" s="14"/>
      <c r="H299" s="15"/>
    </row>
    <row r="300" spans="1:8" customFormat="1" ht="14.5">
      <c r="A300" s="32"/>
      <c r="B300" s="31" t="s">
        <v>1962</v>
      </c>
      <c r="C300" s="18" t="s">
        <v>1963</v>
      </c>
      <c r="D300" s="19"/>
      <c r="E300" s="33" t="s">
        <v>31</v>
      </c>
      <c r="F300" s="21">
        <f>327800*1.1</f>
        <v>360580</v>
      </c>
      <c r="G300" s="21">
        <v>25</v>
      </c>
      <c r="H300" s="22"/>
    </row>
    <row r="301" spans="1:8" customFormat="1" ht="14.5">
      <c r="A301" s="32"/>
      <c r="B301" s="31" t="s">
        <v>1964</v>
      </c>
      <c r="C301" s="18" t="s">
        <v>1965</v>
      </c>
      <c r="D301" s="19"/>
      <c r="E301" s="33" t="s">
        <v>31</v>
      </c>
      <c r="F301" s="21">
        <f>121900*1.1</f>
        <v>134090</v>
      </c>
      <c r="G301" s="21">
        <v>25</v>
      </c>
      <c r="H301" s="22"/>
    </row>
    <row r="302" spans="1:8" customFormat="1" ht="14.5">
      <c r="A302" s="32"/>
      <c r="B302" s="31" t="s">
        <v>1966</v>
      </c>
      <c r="C302" s="18" t="s">
        <v>1967</v>
      </c>
      <c r="D302" s="19"/>
      <c r="E302" s="33" t="s">
        <v>31</v>
      </c>
      <c r="F302" s="21">
        <f>98700*1.1</f>
        <v>108570.00000000001</v>
      </c>
      <c r="G302" s="21">
        <v>25</v>
      </c>
      <c r="H302" s="22"/>
    </row>
    <row r="303" spans="1:8" customFormat="1" ht="14.5">
      <c r="A303" s="32"/>
      <c r="B303" s="31" t="s">
        <v>1968</v>
      </c>
      <c r="C303" s="18" t="s">
        <v>1969</v>
      </c>
      <c r="D303" s="19"/>
      <c r="E303" s="33" t="s">
        <v>31</v>
      </c>
      <c r="F303" s="21">
        <f>212200*1.1</f>
        <v>233420.00000000003</v>
      </c>
      <c r="G303" s="21">
        <v>25</v>
      </c>
      <c r="H303" s="22"/>
    </row>
    <row r="304" spans="1:8" customFormat="1" ht="14.5">
      <c r="A304" s="32"/>
      <c r="B304" s="31" t="s">
        <v>1970</v>
      </c>
      <c r="C304" s="18" t="s">
        <v>1971</v>
      </c>
      <c r="D304" s="19"/>
      <c r="E304" s="33" t="s">
        <v>31</v>
      </c>
      <c r="F304" s="21">
        <f>2043300*1.1</f>
        <v>2247630</v>
      </c>
      <c r="G304" s="21">
        <v>25</v>
      </c>
      <c r="H304" s="22"/>
    </row>
    <row r="305" spans="1:8" customFormat="1" ht="14.5">
      <c r="A305" s="12"/>
      <c r="B305" s="256" t="s">
        <v>1972</v>
      </c>
      <c r="C305" s="253" t="s">
        <v>1973</v>
      </c>
      <c r="D305" s="12"/>
      <c r="E305" s="12"/>
      <c r="F305" s="14"/>
      <c r="G305" s="14"/>
      <c r="H305" s="15"/>
    </row>
    <row r="306" spans="1:8" customFormat="1" ht="21">
      <c r="A306" s="32"/>
      <c r="B306" s="31" t="s">
        <v>1974</v>
      </c>
      <c r="C306" s="18" t="s">
        <v>1975</v>
      </c>
      <c r="D306" s="19"/>
      <c r="E306" s="33" t="s">
        <v>31</v>
      </c>
      <c r="F306" s="21">
        <f>79800*1.1</f>
        <v>87780</v>
      </c>
      <c r="G306" s="21">
        <v>25</v>
      </c>
      <c r="H306" s="22"/>
    </row>
    <row r="307" spans="1:8" customFormat="1" ht="14.5">
      <c r="A307" s="32"/>
      <c r="B307" s="31" t="s">
        <v>1976</v>
      </c>
      <c r="C307" s="18" t="s">
        <v>1977</v>
      </c>
      <c r="D307" s="19"/>
      <c r="E307" s="33" t="s">
        <v>31</v>
      </c>
      <c r="F307" s="21">
        <f>249900*1.1</f>
        <v>274890</v>
      </c>
      <c r="G307" s="21">
        <v>25</v>
      </c>
      <c r="H307" s="22"/>
    </row>
    <row r="308" spans="1:8" customFormat="1" ht="14.5">
      <c r="A308" s="16"/>
      <c r="B308" s="31" t="s">
        <v>1978</v>
      </c>
      <c r="C308" s="18" t="s">
        <v>1979</v>
      </c>
      <c r="D308" s="19"/>
      <c r="E308" s="33" t="s">
        <v>31</v>
      </c>
      <c r="F308" s="21">
        <f>185400*1.1</f>
        <v>203940.00000000003</v>
      </c>
      <c r="G308" s="21">
        <v>25</v>
      </c>
      <c r="H308" s="22"/>
    </row>
    <row r="309" spans="1:8" customFormat="1" ht="14.5">
      <c r="A309" s="12"/>
      <c r="B309" s="256" t="s">
        <v>1980</v>
      </c>
      <c r="C309" s="253" t="s">
        <v>1980</v>
      </c>
      <c r="D309" s="12"/>
      <c r="E309" s="12"/>
      <c r="F309" s="14"/>
      <c r="G309" s="14"/>
      <c r="H309" s="15"/>
    </row>
    <row r="310" spans="1:8" customFormat="1" ht="14.5">
      <c r="A310" s="16"/>
      <c r="B310" s="31" t="s">
        <v>1981</v>
      </c>
      <c r="C310" s="18" t="s">
        <v>1982</v>
      </c>
      <c r="D310" s="19"/>
      <c r="E310" s="33" t="s">
        <v>31</v>
      </c>
      <c r="F310" s="21">
        <f>853200*1.1</f>
        <v>938520.00000000012</v>
      </c>
      <c r="G310" s="34">
        <v>10</v>
      </c>
      <c r="H310" s="35">
        <v>0.8</v>
      </c>
    </row>
    <row r="311" spans="1:8" customFormat="1" ht="14.5">
      <c r="A311" s="16"/>
      <c r="B311" s="31" t="s">
        <v>1983</v>
      </c>
      <c r="C311" s="18" t="s">
        <v>1984</v>
      </c>
      <c r="D311" s="19"/>
      <c r="E311" s="33" t="s">
        <v>31</v>
      </c>
      <c r="F311" s="21">
        <f>944600*1.1</f>
        <v>1039060.0000000001</v>
      </c>
      <c r="G311" s="34">
        <v>10</v>
      </c>
      <c r="H311" s="35">
        <v>0.8</v>
      </c>
    </row>
    <row r="312" spans="1:8" customFormat="1" ht="14.5">
      <c r="A312" s="16"/>
      <c r="B312" s="31" t="s">
        <v>1985</v>
      </c>
      <c r="C312" s="18" t="s">
        <v>1986</v>
      </c>
      <c r="D312" s="19"/>
      <c r="E312" s="33" t="s">
        <v>31</v>
      </c>
      <c r="F312" s="21">
        <f>1091100*1.1</f>
        <v>1200210</v>
      </c>
      <c r="G312" s="34">
        <v>10</v>
      </c>
      <c r="H312" s="35">
        <v>0.8</v>
      </c>
    </row>
    <row r="313" spans="1:8" customFormat="1" ht="14.5">
      <c r="A313" s="16"/>
      <c r="B313" s="31" t="s">
        <v>1987</v>
      </c>
      <c r="C313" s="18" t="s">
        <v>1988</v>
      </c>
      <c r="D313" s="19"/>
      <c r="E313" s="33" t="s">
        <v>31</v>
      </c>
      <c r="F313" s="21">
        <f>1215800*1.1</f>
        <v>1337380</v>
      </c>
      <c r="G313" s="34">
        <v>10</v>
      </c>
      <c r="H313" s="35">
        <v>0.8</v>
      </c>
    </row>
    <row r="314" spans="1:8" customFormat="1" ht="14.5">
      <c r="A314" s="12"/>
      <c r="B314" s="256" t="s">
        <v>1989</v>
      </c>
      <c r="C314" s="253" t="s">
        <v>1989</v>
      </c>
      <c r="D314" s="12"/>
      <c r="E314" s="12"/>
      <c r="F314" s="14"/>
      <c r="G314" s="14"/>
      <c r="H314" s="15"/>
    </row>
    <row r="315" spans="1:8" customFormat="1" ht="14.5">
      <c r="A315" s="16"/>
      <c r="B315" s="17" t="s">
        <v>1990</v>
      </c>
      <c r="C315" s="18" t="s">
        <v>1991</v>
      </c>
      <c r="D315" s="19"/>
      <c r="E315" s="20" t="s">
        <v>31</v>
      </c>
      <c r="F315" s="21">
        <f>801200*1.1</f>
        <v>881320.00000000012</v>
      </c>
      <c r="G315" s="34">
        <v>10</v>
      </c>
      <c r="H315" s="35">
        <v>0.8</v>
      </c>
    </row>
    <row r="316" spans="1:8" customFormat="1" ht="27">
      <c r="A316" s="16"/>
      <c r="B316" s="17" t="s">
        <v>1992</v>
      </c>
      <c r="C316" s="18" t="s">
        <v>1993</v>
      </c>
      <c r="D316" s="19"/>
      <c r="E316" s="20" t="s">
        <v>31</v>
      </c>
      <c r="F316" s="21">
        <f>632000*1.1</f>
        <v>695200</v>
      </c>
      <c r="G316" s="34">
        <v>10</v>
      </c>
      <c r="H316" s="35">
        <v>0.8</v>
      </c>
    </row>
    <row r="317" spans="1:8" customFormat="1" ht="27">
      <c r="A317" s="16"/>
      <c r="B317" s="31" t="s">
        <v>1994</v>
      </c>
      <c r="C317" s="18" t="s">
        <v>1995</v>
      </c>
      <c r="D317" s="19"/>
      <c r="E317" s="20" t="s">
        <v>31</v>
      </c>
      <c r="F317" s="21">
        <f>772700*1.1</f>
        <v>849970.00000000012</v>
      </c>
      <c r="G317" s="34">
        <v>10</v>
      </c>
      <c r="H317" s="35">
        <v>0.8</v>
      </c>
    </row>
    <row r="318" spans="1:8" customFormat="1" ht="27">
      <c r="A318" s="16"/>
      <c r="B318" s="31" t="s">
        <v>1996</v>
      </c>
      <c r="C318" s="18" t="s">
        <v>1997</v>
      </c>
      <c r="D318" s="19"/>
      <c r="E318" s="20" t="s">
        <v>31</v>
      </c>
      <c r="F318" s="21">
        <f>809800*1.1</f>
        <v>890780.00000000012</v>
      </c>
      <c r="G318" s="34">
        <v>10</v>
      </c>
      <c r="H318" s="35">
        <v>0.8</v>
      </c>
    </row>
    <row r="319" spans="1:8" customFormat="1" ht="27">
      <c r="A319" s="16"/>
      <c r="B319" s="31" t="s">
        <v>1998</v>
      </c>
      <c r="C319" s="18" t="s">
        <v>1999</v>
      </c>
      <c r="D319" s="19"/>
      <c r="E319" s="20" t="s">
        <v>31</v>
      </c>
      <c r="F319" s="21">
        <f>878300*1.1</f>
        <v>966130.00000000012</v>
      </c>
      <c r="G319" s="34">
        <v>10</v>
      </c>
      <c r="H319" s="35">
        <v>0.8</v>
      </c>
    </row>
    <row r="320" spans="1:8" customFormat="1" ht="27">
      <c r="A320" s="16"/>
      <c r="B320" s="31" t="s">
        <v>2000</v>
      </c>
      <c r="C320" s="18" t="s">
        <v>2001</v>
      </c>
      <c r="D320" s="19"/>
      <c r="E320" s="20" t="s">
        <v>31</v>
      </c>
      <c r="F320" s="21">
        <f>956200*1.1</f>
        <v>1051820</v>
      </c>
      <c r="G320" s="34">
        <v>10</v>
      </c>
      <c r="H320" s="35">
        <v>0.8</v>
      </c>
    </row>
    <row r="321" spans="1:8" customFormat="1" ht="27">
      <c r="A321" s="16"/>
      <c r="B321" s="31" t="s">
        <v>2002</v>
      </c>
      <c r="C321" s="18" t="s">
        <v>2003</v>
      </c>
      <c r="D321" s="19"/>
      <c r="E321" s="20" t="s">
        <v>31</v>
      </c>
      <c r="F321" s="21">
        <f>879900*1.1</f>
        <v>967890.00000000012</v>
      </c>
      <c r="G321" s="34">
        <v>10</v>
      </c>
      <c r="H321" s="35">
        <v>0.8</v>
      </c>
    </row>
    <row r="322" spans="1:8" customFormat="1" ht="14.5">
      <c r="A322" s="16"/>
      <c r="B322" s="17" t="s">
        <v>2004</v>
      </c>
      <c r="C322" s="18" t="s">
        <v>2005</v>
      </c>
      <c r="D322" s="19"/>
      <c r="E322" s="20" t="s">
        <v>31</v>
      </c>
      <c r="F322" s="34">
        <f>94600*1.1</f>
        <v>104060.00000000001</v>
      </c>
      <c r="G322" s="34">
        <v>10</v>
      </c>
      <c r="H322" s="35">
        <v>0.2</v>
      </c>
    </row>
    <row r="323" spans="1:8" customFormat="1" ht="14.5">
      <c r="A323" s="16"/>
      <c r="B323" s="17" t="s">
        <v>2006</v>
      </c>
      <c r="C323" s="18" t="s">
        <v>2007</v>
      </c>
      <c r="D323" s="19"/>
      <c r="E323" s="20" t="s">
        <v>31</v>
      </c>
      <c r="F323" s="34">
        <f>172000*1.1</f>
        <v>189200.00000000003</v>
      </c>
      <c r="G323" s="34">
        <v>10</v>
      </c>
      <c r="H323" s="35">
        <v>0.2</v>
      </c>
    </row>
    <row r="324" spans="1:8" customFormat="1" ht="14.5">
      <c r="A324" s="12"/>
      <c r="B324" s="13"/>
      <c r="C324" s="253" t="s">
        <v>2008</v>
      </c>
      <c r="D324" s="12"/>
      <c r="E324" s="12"/>
      <c r="F324" s="14"/>
      <c r="G324" s="14"/>
      <c r="H324" s="15"/>
    </row>
    <row r="325" spans="1:8" customFormat="1" ht="27">
      <c r="A325" s="16"/>
      <c r="B325" s="17" t="s">
        <v>2009</v>
      </c>
      <c r="C325" s="18" t="s">
        <v>2010</v>
      </c>
      <c r="D325" s="19"/>
      <c r="E325" s="20" t="s">
        <v>31</v>
      </c>
      <c r="F325" s="34">
        <f>505000*1.1</f>
        <v>555500</v>
      </c>
      <c r="G325" s="34">
        <v>10</v>
      </c>
      <c r="H325" s="35">
        <v>0.8</v>
      </c>
    </row>
    <row r="326" spans="1:8" customFormat="1" ht="14.5">
      <c r="A326" s="16"/>
      <c r="B326" s="17" t="s">
        <v>2011</v>
      </c>
      <c r="C326" s="18" t="s">
        <v>2012</v>
      </c>
      <c r="D326" s="19"/>
      <c r="E326" s="20" t="s">
        <v>2013</v>
      </c>
      <c r="F326" s="34">
        <f>1085100*1.1</f>
        <v>1193610</v>
      </c>
      <c r="G326" s="34">
        <v>10</v>
      </c>
      <c r="H326" s="35">
        <v>0.8</v>
      </c>
    </row>
    <row r="327" spans="1:8" customFormat="1" ht="14.5">
      <c r="A327" s="16"/>
      <c r="B327" s="17" t="s">
        <v>2014</v>
      </c>
      <c r="C327" s="18" t="s">
        <v>2015</v>
      </c>
      <c r="D327" s="19"/>
      <c r="E327" s="20" t="s">
        <v>2013</v>
      </c>
      <c r="F327" s="34">
        <f>404200*1.1</f>
        <v>444620.00000000006</v>
      </c>
      <c r="G327" s="34">
        <v>10</v>
      </c>
      <c r="H327" s="35">
        <v>0.8</v>
      </c>
    </row>
    <row r="328" spans="1:8" customFormat="1" ht="14.5">
      <c r="A328" s="16"/>
      <c r="B328" s="17" t="s">
        <v>2016</v>
      </c>
      <c r="C328" s="18" t="s">
        <v>2017</v>
      </c>
      <c r="D328" s="19"/>
      <c r="E328" s="20" t="s">
        <v>2013</v>
      </c>
      <c r="F328" s="34">
        <f>509100*1.1</f>
        <v>560010</v>
      </c>
      <c r="G328" s="34">
        <v>10</v>
      </c>
      <c r="H328" s="35">
        <v>0.8</v>
      </c>
    </row>
    <row r="329" spans="1:8" customFormat="1" ht="14.5">
      <c r="A329" s="12"/>
      <c r="B329" s="13"/>
      <c r="C329" s="253" t="s">
        <v>2018</v>
      </c>
      <c r="D329" s="12"/>
      <c r="E329" s="12"/>
      <c r="F329" s="14"/>
      <c r="G329" s="14"/>
      <c r="H329" s="15"/>
    </row>
    <row r="330" spans="1:8" customFormat="1" ht="14.5">
      <c r="A330" s="16"/>
      <c r="B330" s="17" t="s">
        <v>2019</v>
      </c>
      <c r="C330" s="18" t="s">
        <v>2020</v>
      </c>
      <c r="D330" s="19"/>
      <c r="E330" s="20" t="s">
        <v>32</v>
      </c>
      <c r="F330" s="34">
        <f>2027400*1.1</f>
        <v>2230140</v>
      </c>
      <c r="G330" s="34">
        <v>20</v>
      </c>
      <c r="H330" s="35">
        <v>0.8</v>
      </c>
    </row>
    <row r="331" spans="1:8" customFormat="1" ht="14.5">
      <c r="A331" s="16"/>
      <c r="B331" s="17" t="s">
        <v>2021</v>
      </c>
      <c r="C331" s="18" t="s">
        <v>2022</v>
      </c>
      <c r="D331" s="19"/>
      <c r="E331" s="20" t="s">
        <v>32</v>
      </c>
      <c r="F331" s="34">
        <f>1422800*1.1</f>
        <v>1565080.0000000002</v>
      </c>
      <c r="G331" s="34">
        <v>20</v>
      </c>
      <c r="H331" s="35">
        <v>0.8</v>
      </c>
    </row>
    <row r="332" spans="1:8" customFormat="1" ht="14.5">
      <c r="A332" s="16"/>
      <c r="B332" s="17" t="s">
        <v>2023</v>
      </c>
      <c r="C332" s="18" t="s">
        <v>2024</v>
      </c>
      <c r="D332" s="19"/>
      <c r="E332" s="20" t="s">
        <v>32</v>
      </c>
      <c r="F332" s="34">
        <f>1908000*1.1</f>
        <v>2098800</v>
      </c>
      <c r="G332" s="34">
        <v>20</v>
      </c>
      <c r="H332" s="35">
        <v>0.8</v>
      </c>
    </row>
    <row r="333" spans="1:8" customFormat="1" ht="14.5">
      <c r="A333" s="16"/>
      <c r="B333" s="17" t="s">
        <v>2025</v>
      </c>
      <c r="C333" s="18" t="s">
        <v>2026</v>
      </c>
      <c r="D333" s="19"/>
      <c r="E333" s="20" t="s">
        <v>32</v>
      </c>
      <c r="F333" s="34">
        <f>1846500*1.1</f>
        <v>2031150.0000000002</v>
      </c>
      <c r="G333" s="34">
        <v>20</v>
      </c>
      <c r="H333" s="35">
        <v>0.8</v>
      </c>
    </row>
    <row r="334" spans="1:8" customFormat="1" ht="14.5">
      <c r="A334" s="16"/>
      <c r="B334" s="17" t="s">
        <v>2027</v>
      </c>
      <c r="C334" s="18" t="s">
        <v>2028</v>
      </c>
      <c r="D334" s="19"/>
      <c r="E334" s="20" t="s">
        <v>32</v>
      </c>
      <c r="F334" s="34">
        <f>1422800*1.1</f>
        <v>1565080.0000000002</v>
      </c>
      <c r="G334" s="34">
        <v>20</v>
      </c>
      <c r="H334" s="35">
        <v>0.8</v>
      </c>
    </row>
    <row r="335" spans="1:8" customFormat="1" ht="14.5">
      <c r="A335" s="16"/>
      <c r="B335" s="17" t="s">
        <v>2029</v>
      </c>
      <c r="C335" s="18" t="s">
        <v>2030</v>
      </c>
      <c r="D335" s="19"/>
      <c r="E335" s="20" t="s">
        <v>32</v>
      </c>
      <c r="F335" s="34">
        <f>2974900*1.1</f>
        <v>3272390.0000000005</v>
      </c>
      <c r="G335" s="34">
        <v>20</v>
      </c>
      <c r="H335" s="35">
        <v>0.8</v>
      </c>
    </row>
    <row r="336" spans="1:8" customFormat="1" ht="14.5">
      <c r="A336" s="12"/>
      <c r="B336" s="13"/>
      <c r="C336" s="253" t="s">
        <v>36</v>
      </c>
      <c r="D336" s="12"/>
      <c r="E336" s="12"/>
      <c r="F336" s="14"/>
      <c r="G336" s="14"/>
      <c r="H336" s="15"/>
    </row>
    <row r="337" spans="1:8" customFormat="1" ht="14.5">
      <c r="A337" s="16"/>
      <c r="B337" s="17" t="s">
        <v>2031</v>
      </c>
      <c r="C337" s="18" t="s">
        <v>2032</v>
      </c>
      <c r="D337" s="19"/>
      <c r="E337" s="20" t="s">
        <v>35</v>
      </c>
      <c r="F337" s="34">
        <f>913000*1.1</f>
        <v>1004300.0000000001</v>
      </c>
      <c r="G337" s="34">
        <v>20</v>
      </c>
      <c r="H337" s="35">
        <v>0.8</v>
      </c>
    </row>
    <row r="338" spans="1:8" customFormat="1" ht="27">
      <c r="A338" s="16"/>
      <c r="B338" s="17" t="s">
        <v>2033</v>
      </c>
      <c r="C338" s="18" t="s">
        <v>2034</v>
      </c>
      <c r="D338" s="19"/>
      <c r="E338" s="20" t="s">
        <v>35</v>
      </c>
      <c r="F338" s="21">
        <f>763700*1.1</f>
        <v>840070.00000000012</v>
      </c>
      <c r="G338" s="34">
        <v>20</v>
      </c>
      <c r="H338" s="35">
        <v>0.8</v>
      </c>
    </row>
    <row r="339" spans="1:8" customFormat="1" ht="14.5">
      <c r="A339" s="16"/>
      <c r="B339" s="17" t="s">
        <v>2035</v>
      </c>
      <c r="C339" s="18" t="s">
        <v>2036</v>
      </c>
      <c r="D339" s="19"/>
      <c r="E339" s="20" t="s">
        <v>35</v>
      </c>
      <c r="F339" s="21">
        <f>433700*1.1</f>
        <v>477070.00000000006</v>
      </c>
      <c r="G339" s="34">
        <v>20</v>
      </c>
      <c r="H339" s="35">
        <v>0.8</v>
      </c>
    </row>
    <row r="340" spans="1:8" customFormat="1" ht="27">
      <c r="A340" s="16"/>
      <c r="B340" s="17" t="s">
        <v>2037</v>
      </c>
      <c r="C340" s="18" t="s">
        <v>2038</v>
      </c>
      <c r="D340" s="19"/>
      <c r="E340" s="20" t="s">
        <v>35</v>
      </c>
      <c r="F340" s="21">
        <f>305900*1.1</f>
        <v>336490</v>
      </c>
      <c r="G340" s="34">
        <v>20</v>
      </c>
      <c r="H340" s="35">
        <v>0.8</v>
      </c>
    </row>
    <row r="341" spans="1:8" customFormat="1" ht="14.5">
      <c r="A341" s="12"/>
      <c r="B341" s="13"/>
      <c r="C341" s="253" t="s">
        <v>2039</v>
      </c>
      <c r="D341" s="12"/>
      <c r="E341" s="12"/>
      <c r="F341" s="14"/>
      <c r="G341" s="14"/>
      <c r="H341" s="15"/>
    </row>
    <row r="342" spans="1:8" customFormat="1" ht="14.5">
      <c r="A342" s="32"/>
      <c r="B342" s="31" t="s">
        <v>2040</v>
      </c>
      <c r="C342" s="18" t="s">
        <v>2040</v>
      </c>
      <c r="D342" s="19"/>
      <c r="E342" s="33" t="s">
        <v>32</v>
      </c>
      <c r="F342" s="21">
        <f>222750*1.1</f>
        <v>245025.00000000003</v>
      </c>
      <c r="G342" s="21">
        <v>30</v>
      </c>
      <c r="H342" s="35">
        <v>0.8</v>
      </c>
    </row>
    <row r="343" spans="1:8" customFormat="1" ht="14.5">
      <c r="A343" s="16"/>
      <c r="B343" s="31" t="s">
        <v>2041</v>
      </c>
      <c r="C343" s="5" t="s">
        <v>2042</v>
      </c>
      <c r="D343" s="19"/>
      <c r="E343" s="33" t="s">
        <v>32</v>
      </c>
      <c r="F343" s="21">
        <f>1866200*1.1</f>
        <v>2052820.0000000002</v>
      </c>
      <c r="G343" s="21">
        <v>30</v>
      </c>
      <c r="H343" s="35">
        <v>0.8</v>
      </c>
    </row>
    <row r="344" spans="1:8" customFormat="1" ht="14.5">
      <c r="A344" s="16"/>
      <c r="B344" s="31" t="s">
        <v>2043</v>
      </c>
      <c r="C344" s="18" t="s">
        <v>2043</v>
      </c>
      <c r="D344" s="19"/>
      <c r="E344" s="33" t="s">
        <v>32</v>
      </c>
      <c r="F344" s="21">
        <f>1933200*1.1</f>
        <v>2126520</v>
      </c>
      <c r="G344" s="21">
        <v>30</v>
      </c>
      <c r="H344" s="35">
        <v>0.8</v>
      </c>
    </row>
    <row r="345" spans="1:8" customFormat="1" ht="14.5">
      <c r="A345" s="12"/>
      <c r="B345" s="13"/>
      <c r="C345" s="253" t="s">
        <v>2044</v>
      </c>
      <c r="D345" s="12"/>
      <c r="E345" s="12"/>
      <c r="F345" s="14"/>
      <c r="G345" s="14"/>
      <c r="H345" s="15"/>
    </row>
    <row r="346" spans="1:8" customFormat="1" ht="14.5">
      <c r="A346" s="32"/>
      <c r="B346" s="31" t="s">
        <v>2045</v>
      </c>
      <c r="C346" s="18" t="s">
        <v>2046</v>
      </c>
      <c r="D346" s="19"/>
      <c r="E346" s="33" t="s">
        <v>31</v>
      </c>
      <c r="F346" s="21">
        <f>145300*1.1</f>
        <v>159830</v>
      </c>
      <c r="G346" s="21">
        <v>20</v>
      </c>
      <c r="H346" s="22">
        <v>0.8</v>
      </c>
    </row>
    <row r="347" spans="1:8" customFormat="1" ht="14.5">
      <c r="A347" s="32"/>
      <c r="B347" s="31" t="s">
        <v>2047</v>
      </c>
      <c r="C347" s="18" t="s">
        <v>2048</v>
      </c>
      <c r="D347" s="19"/>
      <c r="E347" s="33" t="s">
        <v>31</v>
      </c>
      <c r="F347" s="21">
        <f>145300*1.1</f>
        <v>159830</v>
      </c>
      <c r="G347" s="21">
        <v>20</v>
      </c>
      <c r="H347" s="22">
        <v>0.8</v>
      </c>
    </row>
    <row r="348" spans="1:8" customFormat="1" ht="14.5">
      <c r="A348" s="32"/>
      <c r="B348" s="31" t="s">
        <v>2049</v>
      </c>
      <c r="C348" s="18" t="s">
        <v>2050</v>
      </c>
      <c r="D348" s="19"/>
      <c r="E348" s="33" t="s">
        <v>31</v>
      </c>
      <c r="F348" s="21">
        <f>115920*1.1</f>
        <v>127512.00000000001</v>
      </c>
      <c r="G348" s="21">
        <v>20</v>
      </c>
      <c r="H348" s="22">
        <v>0.8</v>
      </c>
    </row>
    <row r="349" spans="1:8" customFormat="1" ht="14.5">
      <c r="A349" s="12"/>
      <c r="B349" s="256" t="s">
        <v>2051</v>
      </c>
      <c r="C349" s="253" t="s">
        <v>2052</v>
      </c>
      <c r="D349" s="12"/>
      <c r="E349" s="12"/>
      <c r="F349" s="14"/>
      <c r="G349" s="14"/>
      <c r="H349" s="15"/>
    </row>
    <row r="350" spans="1:8" customFormat="1" ht="14.5">
      <c r="A350" s="16"/>
      <c r="B350" s="17" t="s">
        <v>2053</v>
      </c>
      <c r="C350" s="18" t="s">
        <v>2054</v>
      </c>
      <c r="D350" s="19"/>
      <c r="E350" s="20" t="s">
        <v>32</v>
      </c>
      <c r="F350" s="34">
        <f>4228200*1.1</f>
        <v>4651020</v>
      </c>
      <c r="G350" s="34">
        <v>10</v>
      </c>
      <c r="H350" s="35">
        <v>0.8</v>
      </c>
    </row>
    <row r="351" spans="1:8" customFormat="1" ht="14.5">
      <c r="A351" s="16"/>
      <c r="B351" s="17" t="s">
        <v>2055</v>
      </c>
      <c r="C351" s="18" t="s">
        <v>2056</v>
      </c>
      <c r="D351" s="19"/>
      <c r="E351" s="20" t="s">
        <v>32</v>
      </c>
      <c r="F351" s="34">
        <f>2826100*1.1</f>
        <v>3108710.0000000005</v>
      </c>
      <c r="G351" s="34">
        <v>10</v>
      </c>
      <c r="H351" s="35">
        <v>0.8</v>
      </c>
    </row>
    <row r="352" spans="1:8" customFormat="1" ht="14.5">
      <c r="A352" s="16"/>
      <c r="B352" s="17" t="s">
        <v>2057</v>
      </c>
      <c r="C352" s="18" t="s">
        <v>2058</v>
      </c>
      <c r="D352" s="19"/>
      <c r="E352" s="20" t="s">
        <v>32</v>
      </c>
      <c r="F352" s="34">
        <f>2115000*1.1</f>
        <v>2326500</v>
      </c>
      <c r="G352" s="34">
        <v>10</v>
      </c>
      <c r="H352" s="35">
        <v>0.8</v>
      </c>
    </row>
    <row r="353" spans="1:8" customFormat="1" ht="14.5">
      <c r="A353" s="16"/>
      <c r="B353" s="17" t="s">
        <v>2059</v>
      </c>
      <c r="C353" s="18" t="s">
        <v>2060</v>
      </c>
      <c r="D353" s="19"/>
      <c r="E353" s="20" t="s">
        <v>32</v>
      </c>
      <c r="F353" s="34">
        <f>3263000*1.1</f>
        <v>3589300.0000000005</v>
      </c>
      <c r="G353" s="34">
        <v>10</v>
      </c>
      <c r="H353" s="35">
        <v>0.8</v>
      </c>
    </row>
    <row r="354" spans="1:8" customFormat="1" ht="14.5">
      <c r="A354" s="12"/>
      <c r="B354" s="256" t="s">
        <v>2061</v>
      </c>
      <c r="C354" s="253" t="s">
        <v>2062</v>
      </c>
      <c r="D354" s="12"/>
      <c r="E354" s="12"/>
      <c r="F354" s="14"/>
      <c r="G354" s="14"/>
      <c r="H354" s="15"/>
    </row>
    <row r="355" spans="1:8" customFormat="1" ht="14.5">
      <c r="A355" s="16"/>
      <c r="B355" s="31" t="s">
        <v>2063</v>
      </c>
      <c r="C355" s="18" t="s">
        <v>2064</v>
      </c>
      <c r="D355" s="19"/>
      <c r="E355" s="20" t="s">
        <v>34</v>
      </c>
      <c r="F355" s="21">
        <f>1138700*1.1</f>
        <v>1252570</v>
      </c>
      <c r="G355" s="34">
        <v>10</v>
      </c>
      <c r="H355" s="35">
        <v>0.8</v>
      </c>
    </row>
    <row r="356" spans="1:8" customFormat="1" ht="14.5">
      <c r="A356" s="16"/>
      <c r="B356" s="31" t="s">
        <v>2065</v>
      </c>
      <c r="C356" s="18" t="s">
        <v>2066</v>
      </c>
      <c r="D356" s="19"/>
      <c r="E356" s="20" t="s">
        <v>34</v>
      </c>
      <c r="F356" s="21">
        <f>633472*1.1</f>
        <v>696819.20000000007</v>
      </c>
      <c r="G356" s="34">
        <v>10</v>
      </c>
      <c r="H356" s="35">
        <v>0.8</v>
      </c>
    </row>
    <row r="357" spans="1:8" customFormat="1" ht="14.5">
      <c r="A357" s="16"/>
      <c r="B357" s="31" t="s">
        <v>2067</v>
      </c>
      <c r="C357" s="18" t="s">
        <v>33</v>
      </c>
      <c r="D357" s="19"/>
      <c r="E357" s="20" t="s">
        <v>2068</v>
      </c>
      <c r="F357" s="21">
        <f>1761800*1.1</f>
        <v>1937980.0000000002</v>
      </c>
      <c r="G357" s="34">
        <v>10</v>
      </c>
      <c r="H357" s="35">
        <v>0.8</v>
      </c>
    </row>
    <row r="358" spans="1:8" customFormat="1" ht="14.5">
      <c r="A358" s="12"/>
      <c r="B358" s="256" t="s">
        <v>2069</v>
      </c>
      <c r="C358" s="253" t="s">
        <v>2070</v>
      </c>
      <c r="D358" s="12"/>
      <c r="E358" s="12"/>
      <c r="F358" s="14"/>
      <c r="G358" s="14"/>
      <c r="H358" s="15"/>
    </row>
    <row r="359" spans="1:8" customFormat="1" ht="14.5">
      <c r="A359" s="16"/>
      <c r="B359" s="31" t="s">
        <v>2071</v>
      </c>
      <c r="C359" s="18" t="s">
        <v>2071</v>
      </c>
      <c r="D359" s="19"/>
      <c r="E359" s="20" t="s">
        <v>31</v>
      </c>
      <c r="F359" s="21">
        <f>189200*1.1</f>
        <v>208120.00000000003</v>
      </c>
      <c r="G359" s="34">
        <v>10</v>
      </c>
      <c r="H359" s="35">
        <v>0.8</v>
      </c>
    </row>
    <row r="360" spans="1:8" customFormat="1" ht="14.5">
      <c r="A360" s="16"/>
      <c r="B360" s="31" t="s">
        <v>2072</v>
      </c>
      <c r="C360" s="18" t="s">
        <v>2073</v>
      </c>
      <c r="D360" s="19"/>
      <c r="E360" s="20" t="s">
        <v>2074</v>
      </c>
      <c r="F360" s="21">
        <f>1007800*1.1</f>
        <v>1108580</v>
      </c>
      <c r="G360" s="34">
        <v>10</v>
      </c>
      <c r="H360" s="35">
        <v>0.8</v>
      </c>
    </row>
    <row r="361" spans="1:8" customFormat="1" ht="14.5">
      <c r="A361" s="16"/>
      <c r="B361" s="31" t="s">
        <v>2075</v>
      </c>
      <c r="C361" s="18" t="s">
        <v>2076</v>
      </c>
      <c r="D361" s="19"/>
      <c r="E361" s="20" t="s">
        <v>2074</v>
      </c>
      <c r="F361" s="21">
        <f>1007800*1.1</f>
        <v>1108580</v>
      </c>
      <c r="G361" s="34">
        <v>10</v>
      </c>
      <c r="H361" s="35">
        <v>0.8</v>
      </c>
    </row>
    <row r="362" spans="1:8" customFormat="1" ht="14.5">
      <c r="A362" s="16"/>
      <c r="B362" s="31" t="s">
        <v>2077</v>
      </c>
      <c r="C362" s="18" t="s">
        <v>2078</v>
      </c>
      <c r="D362" s="19"/>
      <c r="E362" s="20" t="s">
        <v>2074</v>
      </c>
      <c r="F362" s="21">
        <f>1007500*1.1</f>
        <v>1108250</v>
      </c>
      <c r="G362" s="34">
        <v>10</v>
      </c>
      <c r="H362" s="35">
        <v>0.8</v>
      </c>
    </row>
    <row r="363" spans="1:8" customFormat="1" ht="14.5">
      <c r="A363" s="16"/>
      <c r="B363" s="31" t="s">
        <v>2079</v>
      </c>
      <c r="C363" s="18" t="s">
        <v>2080</v>
      </c>
      <c r="D363" s="19"/>
      <c r="E363" s="20" t="s">
        <v>2074</v>
      </c>
      <c r="F363" s="21">
        <f>790500*1.1</f>
        <v>869550.00000000012</v>
      </c>
      <c r="G363" s="34">
        <v>10</v>
      </c>
      <c r="H363" s="35">
        <v>0.8</v>
      </c>
    </row>
    <row r="364" spans="1:8" customFormat="1" ht="14.5">
      <c r="A364" s="16"/>
      <c r="B364" s="31" t="s">
        <v>2081</v>
      </c>
      <c r="C364" s="18" t="s">
        <v>2082</v>
      </c>
      <c r="D364" s="19"/>
      <c r="E364" s="20" t="s">
        <v>2074</v>
      </c>
      <c r="F364" s="21">
        <f>902000*1.1</f>
        <v>992200.00000000012</v>
      </c>
      <c r="G364" s="34">
        <v>10</v>
      </c>
      <c r="H364" s="35">
        <v>0.8</v>
      </c>
    </row>
    <row r="365" spans="1:8" customFormat="1" ht="14.5">
      <c r="A365" s="16"/>
      <c r="B365" s="31" t="s">
        <v>2083</v>
      </c>
      <c r="C365" s="18" t="s">
        <v>2084</v>
      </c>
      <c r="D365" s="19"/>
      <c r="E365" s="20" t="s">
        <v>2085</v>
      </c>
      <c r="F365" s="21">
        <f>551000*1.1</f>
        <v>606100</v>
      </c>
      <c r="G365" s="34">
        <v>10</v>
      </c>
      <c r="H365" s="35">
        <v>0.8</v>
      </c>
    </row>
    <row r="366" spans="1:8" customFormat="1" ht="14.5">
      <c r="A366" s="16"/>
      <c r="B366" s="31" t="s">
        <v>2086</v>
      </c>
      <c r="C366" s="18" t="s">
        <v>46</v>
      </c>
      <c r="D366" s="19"/>
      <c r="E366" s="20" t="s">
        <v>2085</v>
      </c>
      <c r="F366" s="21">
        <f>442500*1.1</f>
        <v>486750.00000000006</v>
      </c>
      <c r="G366" s="34">
        <v>10</v>
      </c>
      <c r="H366" s="35">
        <v>0.8</v>
      </c>
    </row>
    <row r="367" spans="1:8" customFormat="1" ht="14.5">
      <c r="A367" s="16"/>
      <c r="B367" s="31" t="s">
        <v>2087</v>
      </c>
      <c r="C367" s="18" t="s">
        <v>2088</v>
      </c>
      <c r="D367" s="19"/>
      <c r="E367" s="20" t="s">
        <v>2085</v>
      </c>
      <c r="F367" s="21">
        <f>162300*1.1</f>
        <v>178530</v>
      </c>
      <c r="G367" s="34">
        <v>10</v>
      </c>
      <c r="H367" s="35">
        <v>0.8</v>
      </c>
    </row>
    <row r="368" spans="1:8" customFormat="1" ht="14.5">
      <c r="A368" s="16"/>
      <c r="B368" s="31" t="s">
        <v>2089</v>
      </c>
      <c r="C368" s="18" t="s">
        <v>2090</v>
      </c>
      <c r="D368" s="19"/>
      <c r="E368" s="20" t="s">
        <v>2085</v>
      </c>
      <c r="F368" s="21">
        <f>442500*1.1</f>
        <v>486750.00000000006</v>
      </c>
      <c r="G368" s="34">
        <v>10</v>
      </c>
      <c r="H368" s="35">
        <v>0.8</v>
      </c>
    </row>
    <row r="369" spans="1:8" customFormat="1" ht="14.5">
      <c r="A369" s="16"/>
      <c r="B369" s="17" t="s">
        <v>2091</v>
      </c>
      <c r="C369" s="18" t="s">
        <v>2091</v>
      </c>
      <c r="D369" s="19"/>
      <c r="E369" s="20" t="s">
        <v>2085</v>
      </c>
      <c r="F369" s="21">
        <f>590000*1.1</f>
        <v>649000</v>
      </c>
      <c r="G369" s="34">
        <v>10</v>
      </c>
      <c r="H369" s="35">
        <v>0.2</v>
      </c>
    </row>
    <row r="370" spans="1:8" customFormat="1" ht="14.5">
      <c r="A370" s="12"/>
      <c r="B370" s="256" t="s">
        <v>2092</v>
      </c>
      <c r="C370" s="253" t="s">
        <v>2093</v>
      </c>
      <c r="D370" s="12"/>
      <c r="E370" s="12"/>
      <c r="F370" s="14"/>
      <c r="G370" s="14"/>
      <c r="H370" s="15"/>
    </row>
    <row r="371" spans="1:8" customFormat="1" ht="14.5">
      <c r="A371" s="32"/>
      <c r="B371" s="31" t="s">
        <v>2094</v>
      </c>
      <c r="C371" s="18" t="s">
        <v>2095</v>
      </c>
      <c r="D371" s="19" t="s">
        <v>2096</v>
      </c>
      <c r="E371" s="33" t="s">
        <v>2013</v>
      </c>
      <c r="F371" s="21">
        <f>1000000*1.1</f>
        <v>1100000</v>
      </c>
      <c r="G371" s="21">
        <v>25</v>
      </c>
      <c r="H371" s="22"/>
    </row>
    <row r="372" spans="1:8" customFormat="1" ht="14.5">
      <c r="A372" s="32"/>
      <c r="B372" s="31" t="s">
        <v>2097</v>
      </c>
      <c r="C372" s="18" t="s">
        <v>2098</v>
      </c>
      <c r="D372" s="19" t="s">
        <v>2099</v>
      </c>
      <c r="E372" s="33" t="s">
        <v>2013</v>
      </c>
      <c r="F372" s="21">
        <f>630000*1.1</f>
        <v>693000</v>
      </c>
      <c r="G372" s="21">
        <v>25</v>
      </c>
      <c r="H372" s="22"/>
    </row>
    <row r="373" spans="1:8" customFormat="1" ht="21">
      <c r="A373" s="32"/>
      <c r="B373" s="31" t="s">
        <v>2100</v>
      </c>
      <c r="C373" s="18" t="s">
        <v>2101</v>
      </c>
      <c r="D373" s="19"/>
      <c r="E373" s="33" t="s">
        <v>31</v>
      </c>
      <c r="F373" s="21">
        <f>2413000*1.1</f>
        <v>2654300</v>
      </c>
      <c r="G373" s="21">
        <v>25</v>
      </c>
      <c r="H373" s="22"/>
    </row>
    <row r="374" spans="1:8" customFormat="1" ht="21">
      <c r="A374" s="32"/>
      <c r="B374" s="31" t="s">
        <v>2102</v>
      </c>
      <c r="C374" s="18" t="s">
        <v>2103</v>
      </c>
      <c r="D374" s="19"/>
      <c r="E374" s="33" t="s">
        <v>31</v>
      </c>
      <c r="F374" s="21">
        <f>2163000*1.1</f>
        <v>2379300</v>
      </c>
      <c r="G374" s="21">
        <v>25</v>
      </c>
      <c r="H374" s="35"/>
    </row>
    <row r="375" spans="1:8" customFormat="1" ht="21">
      <c r="A375" s="32"/>
      <c r="B375" s="31" t="s">
        <v>2104</v>
      </c>
      <c r="C375" s="18" t="s">
        <v>2105</v>
      </c>
      <c r="D375" s="19"/>
      <c r="E375" s="33" t="s">
        <v>31</v>
      </c>
      <c r="F375" s="21">
        <f>2164000*1.1</f>
        <v>2380400</v>
      </c>
      <c r="G375" s="21">
        <v>25</v>
      </c>
      <c r="H375" s="35"/>
    </row>
    <row r="376" spans="1:8" customFormat="1" ht="14.5">
      <c r="A376" s="32"/>
      <c r="B376" s="31" t="s">
        <v>2106</v>
      </c>
      <c r="C376" s="18" t="s">
        <v>2107</v>
      </c>
      <c r="D376" s="19"/>
      <c r="E376" s="33" t="s">
        <v>31</v>
      </c>
      <c r="F376" s="21">
        <f>2447000*1.1</f>
        <v>2691700</v>
      </c>
      <c r="G376" s="21">
        <v>25</v>
      </c>
      <c r="H376" s="35"/>
    </row>
    <row r="377" spans="1:8" customFormat="1" ht="14.5">
      <c r="A377" s="32"/>
      <c r="B377" s="31" t="s">
        <v>2108</v>
      </c>
      <c r="C377" s="18" t="s">
        <v>2108</v>
      </c>
      <c r="D377" s="19"/>
      <c r="E377" s="33"/>
      <c r="F377" s="26">
        <v>0</v>
      </c>
      <c r="G377" s="21">
        <v>25</v>
      </c>
      <c r="H377" s="35"/>
    </row>
    <row r="378" spans="1:8" customFormat="1" ht="14.5">
      <c r="A378" s="12"/>
      <c r="B378" s="256" t="s">
        <v>2092</v>
      </c>
      <c r="C378" s="253" t="s">
        <v>2109</v>
      </c>
      <c r="D378" s="12"/>
      <c r="E378" s="12"/>
      <c r="F378" s="14"/>
      <c r="G378" s="14"/>
      <c r="H378" s="15"/>
    </row>
    <row r="379" spans="1:8" customFormat="1" ht="14.5">
      <c r="A379" s="32"/>
      <c r="B379" s="31" t="s">
        <v>2110</v>
      </c>
      <c r="C379" s="18" t="s">
        <v>2111</v>
      </c>
      <c r="D379" s="19" t="s">
        <v>2096</v>
      </c>
      <c r="E379" s="33" t="s">
        <v>2013</v>
      </c>
      <c r="F379" s="21">
        <f>1000000*1.1</f>
        <v>1100000</v>
      </c>
      <c r="G379" s="21">
        <v>25</v>
      </c>
      <c r="H379" s="22"/>
    </row>
    <row r="380" spans="1:8" customFormat="1" ht="14.5">
      <c r="A380" s="32"/>
      <c r="B380" s="31" t="s">
        <v>2112</v>
      </c>
      <c r="C380" s="18" t="s">
        <v>2113</v>
      </c>
      <c r="D380" s="19" t="s">
        <v>2099</v>
      </c>
      <c r="E380" s="33" t="s">
        <v>2013</v>
      </c>
      <c r="F380" s="21">
        <f>630000*1.1</f>
        <v>693000</v>
      </c>
      <c r="G380" s="21">
        <v>25</v>
      </c>
      <c r="H380" s="22"/>
    </row>
    <row r="381" spans="1:8" customFormat="1" ht="21">
      <c r="A381" s="32"/>
      <c r="B381" s="31" t="s">
        <v>2114</v>
      </c>
      <c r="C381" s="18" t="s">
        <v>2115</v>
      </c>
      <c r="D381" s="19"/>
      <c r="E381" s="33" t="s">
        <v>31</v>
      </c>
      <c r="F381" s="21">
        <f>2260000*1.1</f>
        <v>2486000</v>
      </c>
      <c r="G381" s="21">
        <v>25</v>
      </c>
      <c r="H381" s="22"/>
    </row>
    <row r="382" spans="1:8" customFormat="1" ht="21">
      <c r="A382" s="32"/>
      <c r="B382" s="31" t="s">
        <v>2116</v>
      </c>
      <c r="C382" s="18" t="s">
        <v>2117</v>
      </c>
      <c r="D382" s="19"/>
      <c r="E382" s="33" t="s">
        <v>31</v>
      </c>
      <c r="F382" s="21">
        <f>2026000*1.1</f>
        <v>2228600</v>
      </c>
      <c r="G382" s="21">
        <v>25</v>
      </c>
      <c r="H382" s="35"/>
    </row>
    <row r="383" spans="1:8" customFormat="1" ht="21">
      <c r="A383" s="32"/>
      <c r="B383" s="31" t="s">
        <v>2118</v>
      </c>
      <c r="C383" s="18" t="s">
        <v>2119</v>
      </c>
      <c r="D383" s="19"/>
      <c r="E383" s="33" t="s">
        <v>31</v>
      </c>
      <c r="F383" s="21">
        <f>2026000*1.1</f>
        <v>2228600</v>
      </c>
      <c r="G383" s="21">
        <v>25</v>
      </c>
      <c r="H383" s="35"/>
    </row>
    <row r="384" spans="1:8" customFormat="1" ht="14.5">
      <c r="A384" s="32"/>
      <c r="B384" s="31" t="s">
        <v>2120</v>
      </c>
      <c r="C384" s="18" t="s">
        <v>2121</v>
      </c>
      <c r="D384" s="19"/>
      <c r="E384" s="33" t="s">
        <v>31</v>
      </c>
      <c r="F384" s="21">
        <f>2237000*1.1</f>
        <v>2460700</v>
      </c>
      <c r="G384" s="21">
        <v>25</v>
      </c>
      <c r="H384" s="35"/>
    </row>
    <row r="385" spans="1:8" customFormat="1" ht="14.5">
      <c r="A385" s="12"/>
      <c r="B385" s="256" t="s">
        <v>2122</v>
      </c>
      <c r="C385" s="253" t="s">
        <v>2123</v>
      </c>
      <c r="D385" s="12"/>
      <c r="E385" s="12"/>
      <c r="F385" s="14"/>
      <c r="G385" s="14"/>
      <c r="H385" s="15"/>
    </row>
    <row r="386" spans="1:8" customFormat="1" ht="27">
      <c r="A386" s="32"/>
      <c r="B386" s="31" t="s">
        <v>2124</v>
      </c>
      <c r="C386" s="18" t="s">
        <v>2125</v>
      </c>
      <c r="D386" s="19"/>
      <c r="E386" s="33" t="s">
        <v>31</v>
      </c>
      <c r="F386" s="36">
        <f>3350000*1.1</f>
        <v>3685000.0000000005</v>
      </c>
      <c r="G386" s="36">
        <v>25</v>
      </c>
      <c r="H386" s="37"/>
    </row>
    <row r="387" spans="1:8" customFormat="1" ht="27">
      <c r="A387" s="32"/>
      <c r="B387" s="31" t="s">
        <v>2126</v>
      </c>
      <c r="C387" s="18" t="s">
        <v>2127</v>
      </c>
      <c r="D387" s="19"/>
      <c r="E387" s="33" t="s">
        <v>31</v>
      </c>
      <c r="F387" s="36">
        <f>3460000*1.1</f>
        <v>3806000.0000000005</v>
      </c>
      <c r="G387" s="36">
        <v>25</v>
      </c>
      <c r="H387" s="37"/>
    </row>
    <row r="388" spans="1:8" customFormat="1" ht="27">
      <c r="A388" s="32"/>
      <c r="B388" s="31" t="s">
        <v>2128</v>
      </c>
      <c r="C388" s="18" t="s">
        <v>2129</v>
      </c>
      <c r="D388" s="19"/>
      <c r="E388" s="33" t="s">
        <v>31</v>
      </c>
      <c r="F388" s="36">
        <f>2930000*1.1</f>
        <v>3223000.0000000005</v>
      </c>
      <c r="G388" s="36">
        <v>25</v>
      </c>
      <c r="H388" s="37"/>
    </row>
    <row r="389" spans="1:8" customFormat="1" ht="27">
      <c r="A389" s="32"/>
      <c r="B389" s="31" t="s">
        <v>2130</v>
      </c>
      <c r="C389" s="18" t="s">
        <v>2131</v>
      </c>
      <c r="D389" s="19"/>
      <c r="E389" s="33" t="s">
        <v>31</v>
      </c>
      <c r="F389" s="36">
        <f>2510000*1.1</f>
        <v>2761000</v>
      </c>
      <c r="G389" s="36">
        <v>25</v>
      </c>
      <c r="H389" s="37"/>
    </row>
    <row r="390" spans="1:8" customFormat="1" ht="14.5">
      <c r="A390" s="12"/>
      <c r="B390" s="256" t="s">
        <v>2122</v>
      </c>
      <c r="C390" s="253" t="s">
        <v>2132</v>
      </c>
      <c r="D390" s="12"/>
      <c r="E390" s="12"/>
      <c r="F390" s="14"/>
      <c r="G390" s="14"/>
      <c r="H390" s="15"/>
    </row>
    <row r="391" spans="1:8" customFormat="1" ht="40.5">
      <c r="A391" s="32"/>
      <c r="B391" s="31" t="s">
        <v>2133</v>
      </c>
      <c r="C391" s="18" t="s">
        <v>2134</v>
      </c>
      <c r="D391" s="19"/>
      <c r="E391" s="33" t="s">
        <v>31</v>
      </c>
      <c r="F391" s="36">
        <f>2750000*1.1</f>
        <v>3025000.0000000005</v>
      </c>
      <c r="G391" s="36">
        <v>25</v>
      </c>
      <c r="H391" s="37"/>
    </row>
    <row r="392" spans="1:8" customFormat="1" ht="40.5">
      <c r="A392" s="32"/>
      <c r="B392" s="31" t="s">
        <v>2135</v>
      </c>
      <c r="C392" s="18" t="s">
        <v>2136</v>
      </c>
      <c r="D392" s="19"/>
      <c r="E392" s="33" t="s">
        <v>31</v>
      </c>
      <c r="F392" s="36">
        <f>3020000*1.1</f>
        <v>3322000.0000000005</v>
      </c>
      <c r="G392" s="36">
        <v>25</v>
      </c>
      <c r="H392" s="37"/>
    </row>
    <row r="393" spans="1:8" customFormat="1" ht="40.5">
      <c r="A393" s="32"/>
      <c r="B393" s="31" t="s">
        <v>2137</v>
      </c>
      <c r="C393" s="18" t="s">
        <v>2138</v>
      </c>
      <c r="D393" s="19"/>
      <c r="E393" s="33" t="s">
        <v>31</v>
      </c>
      <c r="F393" s="36">
        <f>1930000*1.1</f>
        <v>2123000</v>
      </c>
      <c r="G393" s="36">
        <v>25</v>
      </c>
      <c r="H393" s="37"/>
    </row>
    <row r="394" spans="1:8" customFormat="1" ht="40.5">
      <c r="A394" s="32"/>
      <c r="B394" s="31" t="s">
        <v>2139</v>
      </c>
      <c r="C394" s="18" t="s">
        <v>2140</v>
      </c>
      <c r="D394" s="19"/>
      <c r="E394" s="33" t="s">
        <v>31</v>
      </c>
      <c r="F394" s="36">
        <f>2120000*1.1</f>
        <v>2332000</v>
      </c>
      <c r="G394" s="36">
        <v>25</v>
      </c>
      <c r="H394" s="37"/>
    </row>
    <row r="395" spans="1:8" customFormat="1" ht="14.5">
      <c r="A395" s="12"/>
      <c r="B395" s="256" t="s">
        <v>2141</v>
      </c>
      <c r="C395" s="253" t="s">
        <v>2142</v>
      </c>
      <c r="D395" s="12"/>
      <c r="E395" s="12"/>
      <c r="F395" s="14"/>
      <c r="G395" s="14"/>
      <c r="H395" s="15"/>
    </row>
    <row r="396" spans="1:8" customFormat="1" ht="27">
      <c r="A396" s="32"/>
      <c r="B396" s="31" t="s">
        <v>2143</v>
      </c>
      <c r="C396" s="18" t="s">
        <v>2144</v>
      </c>
      <c r="D396" s="19"/>
      <c r="E396" s="33" t="s">
        <v>31</v>
      </c>
      <c r="F396" s="36">
        <f>3190000*1.1</f>
        <v>3509000.0000000005</v>
      </c>
      <c r="G396" s="36">
        <v>25</v>
      </c>
      <c r="H396" s="37"/>
    </row>
    <row r="397" spans="1:8" customFormat="1" ht="14.5">
      <c r="A397" s="12"/>
      <c r="B397" s="13"/>
      <c r="C397" s="253" t="s">
        <v>2145</v>
      </c>
      <c r="D397" s="12"/>
      <c r="E397" s="12"/>
      <c r="F397" s="14"/>
      <c r="G397" s="14"/>
      <c r="H397" s="15"/>
    </row>
    <row r="398" spans="1:8" customFormat="1" ht="14.5">
      <c r="A398" s="16"/>
      <c r="B398" s="17" t="s">
        <v>2146</v>
      </c>
      <c r="C398" s="18" t="s">
        <v>2146</v>
      </c>
      <c r="D398" s="38"/>
      <c r="E398" s="20" t="s">
        <v>2085</v>
      </c>
      <c r="F398" s="36">
        <f>442500*1.1</f>
        <v>486750.00000000006</v>
      </c>
      <c r="G398" s="36">
        <v>10</v>
      </c>
      <c r="H398" s="37">
        <v>0.8</v>
      </c>
    </row>
    <row r="399" spans="1:8" customFormat="1" ht="14.5">
      <c r="A399" s="16"/>
      <c r="B399" s="17" t="s">
        <v>2147</v>
      </c>
      <c r="C399" s="18" t="s">
        <v>2147</v>
      </c>
      <c r="D399" s="38"/>
      <c r="E399" s="20" t="s">
        <v>2085</v>
      </c>
      <c r="F399" s="36">
        <f>1750000</f>
        <v>1750000</v>
      </c>
      <c r="G399" s="36">
        <v>10</v>
      </c>
      <c r="H399" s="37">
        <v>0.8</v>
      </c>
    </row>
    <row r="400" spans="1:8" customFormat="1" ht="14.5">
      <c r="A400" s="16"/>
      <c r="B400" s="17" t="s">
        <v>2148</v>
      </c>
      <c r="C400" s="18" t="s">
        <v>2148</v>
      </c>
      <c r="D400" s="38"/>
      <c r="E400" s="20" t="s">
        <v>47</v>
      </c>
      <c r="F400" s="36">
        <f>1790000*1.1</f>
        <v>1969000.0000000002</v>
      </c>
      <c r="G400" s="36">
        <v>10</v>
      </c>
      <c r="H400" s="37">
        <v>0.2</v>
      </c>
    </row>
    <row r="401" spans="1:8" customFormat="1" ht="14.5">
      <c r="A401" s="16"/>
      <c r="B401" s="17" t="s">
        <v>2149</v>
      </c>
      <c r="C401" s="18" t="s">
        <v>2149</v>
      </c>
      <c r="D401" s="38"/>
      <c r="E401" s="20" t="s">
        <v>47</v>
      </c>
      <c r="F401" s="36">
        <v>3329000</v>
      </c>
      <c r="G401" s="36">
        <v>10</v>
      </c>
      <c r="H401" s="37">
        <v>0.2</v>
      </c>
    </row>
    <row r="402" spans="1:8" customFormat="1" ht="14.5">
      <c r="A402" s="16"/>
      <c r="B402" s="17" t="s">
        <v>2150</v>
      </c>
      <c r="C402" s="18" t="s">
        <v>2150</v>
      </c>
      <c r="D402" s="38"/>
      <c r="E402" s="20" t="s">
        <v>47</v>
      </c>
      <c r="F402" s="36">
        <f>4590000*1.1</f>
        <v>5049000</v>
      </c>
      <c r="G402" s="36">
        <v>10</v>
      </c>
      <c r="H402" s="37">
        <v>0.2</v>
      </c>
    </row>
    <row r="403" spans="1:8" customFormat="1" ht="14.5">
      <c r="A403" s="16"/>
      <c r="B403" s="17" t="s">
        <v>2151</v>
      </c>
      <c r="C403" s="18" t="s">
        <v>2151</v>
      </c>
      <c r="D403" s="38"/>
      <c r="E403" s="20" t="s">
        <v>47</v>
      </c>
      <c r="F403" s="36">
        <v>6559000</v>
      </c>
      <c r="G403" s="36">
        <v>10</v>
      </c>
      <c r="H403" s="37">
        <v>0.2</v>
      </c>
    </row>
    <row r="404" spans="1:8" customFormat="1" ht="14.5">
      <c r="A404" s="16"/>
      <c r="B404" s="17" t="s">
        <v>2152</v>
      </c>
      <c r="C404" s="18" t="s">
        <v>2152</v>
      </c>
      <c r="D404" s="38"/>
      <c r="E404" s="20" t="s">
        <v>47</v>
      </c>
      <c r="F404" s="36">
        <v>2049000</v>
      </c>
      <c r="G404" s="36">
        <v>10</v>
      </c>
      <c r="H404" s="37">
        <v>0.2</v>
      </c>
    </row>
    <row r="405" spans="1:8" customFormat="1" ht="14.5">
      <c r="A405" s="16"/>
      <c r="B405" s="17" t="s">
        <v>2153</v>
      </c>
      <c r="C405" s="18" t="s">
        <v>2153</v>
      </c>
      <c r="D405" s="38"/>
      <c r="E405" s="20" t="s">
        <v>47</v>
      </c>
      <c r="F405" s="36">
        <f>3571818*1.1</f>
        <v>3928999.8000000003</v>
      </c>
      <c r="G405" s="36">
        <v>10</v>
      </c>
      <c r="H405" s="37">
        <v>0.2</v>
      </c>
    </row>
    <row r="406" spans="1:8" customFormat="1" ht="14.5">
      <c r="A406" s="16"/>
      <c r="B406" s="17" t="s">
        <v>2154</v>
      </c>
      <c r="C406" s="18" t="s">
        <v>2154</v>
      </c>
      <c r="D406" s="38"/>
      <c r="E406" s="20" t="s">
        <v>47</v>
      </c>
      <c r="F406" s="36">
        <f>5590000*1.1</f>
        <v>6149000.0000000009</v>
      </c>
      <c r="G406" s="36">
        <v>10</v>
      </c>
      <c r="H406" s="37">
        <v>0.2</v>
      </c>
    </row>
    <row r="407" spans="1:8" customFormat="1" ht="14.5">
      <c r="A407" s="16"/>
      <c r="B407" s="17" t="s">
        <v>2155</v>
      </c>
      <c r="C407" s="18" t="s">
        <v>2155</v>
      </c>
      <c r="D407" s="38"/>
      <c r="E407" s="20" t="s">
        <v>47</v>
      </c>
      <c r="F407" s="36">
        <v>7959000</v>
      </c>
      <c r="G407" s="36">
        <v>10</v>
      </c>
      <c r="H407" s="37">
        <v>0.2</v>
      </c>
    </row>
    <row r="408" spans="1:8" customFormat="1" ht="14.5">
      <c r="A408" s="16"/>
      <c r="B408" s="17" t="s">
        <v>2156</v>
      </c>
      <c r="C408" s="18" t="s">
        <v>2157</v>
      </c>
      <c r="D408" s="19"/>
      <c r="E408" s="20" t="s">
        <v>47</v>
      </c>
      <c r="F408" s="36">
        <v>2789000</v>
      </c>
      <c r="G408" s="36">
        <v>10</v>
      </c>
      <c r="H408" s="37">
        <v>0.2</v>
      </c>
    </row>
    <row r="409" spans="1:8" customFormat="1" ht="14.5">
      <c r="A409" s="16"/>
      <c r="B409" s="17" t="s">
        <v>2158</v>
      </c>
      <c r="C409" s="18" t="s">
        <v>2159</v>
      </c>
      <c r="D409" s="19"/>
      <c r="E409" s="20" t="s">
        <v>47</v>
      </c>
      <c r="F409" s="36">
        <v>4619000</v>
      </c>
      <c r="G409" s="36">
        <v>10</v>
      </c>
      <c r="H409" s="37">
        <v>0.2</v>
      </c>
    </row>
    <row r="410" spans="1:8" customFormat="1" ht="14.5">
      <c r="A410" s="16"/>
      <c r="B410" s="17" t="s">
        <v>2160</v>
      </c>
      <c r="C410" s="18" t="s">
        <v>2161</v>
      </c>
      <c r="D410" s="19"/>
      <c r="E410" s="20" t="s">
        <v>47</v>
      </c>
      <c r="F410" s="36">
        <v>7079000</v>
      </c>
      <c r="G410" s="36">
        <v>10</v>
      </c>
      <c r="H410" s="37">
        <v>0.2</v>
      </c>
    </row>
    <row r="411" spans="1:8" customFormat="1" ht="14.5">
      <c r="A411" s="16"/>
      <c r="B411" s="17" t="s">
        <v>2162</v>
      </c>
      <c r="C411" s="18" t="s">
        <v>2163</v>
      </c>
      <c r="D411" s="19"/>
      <c r="E411" s="20" t="s">
        <v>47</v>
      </c>
      <c r="F411" s="36">
        <v>9239000</v>
      </c>
      <c r="G411" s="36">
        <v>10</v>
      </c>
      <c r="H411" s="37">
        <v>0.2</v>
      </c>
    </row>
    <row r="412" spans="1:8" customFormat="1" ht="14.5">
      <c r="A412" s="16"/>
      <c r="B412" s="17" t="s">
        <v>2164</v>
      </c>
      <c r="C412" s="18" t="s">
        <v>2165</v>
      </c>
      <c r="D412" s="38"/>
      <c r="E412" s="20" t="s">
        <v>47</v>
      </c>
      <c r="F412" s="36">
        <v>2939000</v>
      </c>
      <c r="G412" s="36">
        <v>10</v>
      </c>
      <c r="H412" s="37">
        <v>0.2</v>
      </c>
    </row>
    <row r="413" spans="1:8" customFormat="1" ht="14.5">
      <c r="A413" s="16"/>
      <c r="B413" s="17" t="s">
        <v>2166</v>
      </c>
      <c r="C413" s="18" t="s">
        <v>2167</v>
      </c>
      <c r="D413" s="38"/>
      <c r="E413" s="20" t="s">
        <v>47</v>
      </c>
      <c r="F413" s="36">
        <v>4819000</v>
      </c>
      <c r="G413" s="36">
        <v>10</v>
      </c>
      <c r="H413" s="37">
        <v>0.2</v>
      </c>
    </row>
    <row r="414" spans="1:8" customFormat="1" ht="14.5">
      <c r="A414" s="16"/>
      <c r="B414" s="17" t="s">
        <v>2168</v>
      </c>
      <c r="C414" s="18" t="s">
        <v>2169</v>
      </c>
      <c r="D414" s="38"/>
      <c r="E414" s="20" t="s">
        <v>47</v>
      </c>
      <c r="F414" s="36">
        <v>7329000</v>
      </c>
      <c r="G414" s="36">
        <v>10</v>
      </c>
      <c r="H414" s="37">
        <v>0.2</v>
      </c>
    </row>
    <row r="415" spans="1:8" customFormat="1" ht="14.5">
      <c r="A415" s="16"/>
      <c r="B415" s="17" t="s">
        <v>2170</v>
      </c>
      <c r="C415" s="18" t="s">
        <v>2171</v>
      </c>
      <c r="D415" s="38"/>
      <c r="E415" s="20" t="s">
        <v>47</v>
      </c>
      <c r="F415" s="36">
        <v>9589000</v>
      </c>
      <c r="G415" s="36">
        <v>10</v>
      </c>
      <c r="H415" s="37">
        <v>0.2</v>
      </c>
    </row>
    <row r="416" spans="1:8" customFormat="1" ht="14.5">
      <c r="A416" s="12"/>
      <c r="B416" s="256" t="s">
        <v>2172</v>
      </c>
      <c r="C416" s="30"/>
      <c r="D416" s="12"/>
      <c r="E416" s="12"/>
      <c r="F416" s="14"/>
      <c r="G416" s="14"/>
      <c r="H416" s="15"/>
    </row>
    <row r="417" spans="1:11" customFormat="1" ht="14.5">
      <c r="A417" s="16"/>
      <c r="B417" s="17" t="s">
        <v>2173</v>
      </c>
      <c r="C417" s="18" t="s">
        <v>2174</v>
      </c>
      <c r="D417" s="19"/>
      <c r="E417" s="20" t="s">
        <v>31</v>
      </c>
      <c r="F417" s="34">
        <f>11380*1.1*22</f>
        <v>275396.00000000006</v>
      </c>
      <c r="G417" s="34">
        <v>25</v>
      </c>
      <c r="H417" s="35">
        <v>0.8</v>
      </c>
    </row>
    <row r="418" spans="1:11" customFormat="1" ht="14.5">
      <c r="A418" s="16"/>
      <c r="B418" s="17" t="s">
        <v>2175</v>
      </c>
      <c r="C418" s="18" t="s">
        <v>2176</v>
      </c>
      <c r="D418" s="19"/>
      <c r="E418" s="20" t="s">
        <v>31</v>
      </c>
      <c r="F418" s="34">
        <f>3420*85*1.1</f>
        <v>319770</v>
      </c>
      <c r="G418" s="34">
        <v>25</v>
      </c>
      <c r="H418" s="35">
        <v>0.8</v>
      </c>
    </row>
    <row r="419" spans="1:11" customFormat="1" ht="14.5">
      <c r="A419" s="12"/>
      <c r="B419" s="13"/>
      <c r="C419" s="253" t="s">
        <v>2177</v>
      </c>
      <c r="D419" s="12"/>
      <c r="E419" s="12"/>
      <c r="F419" s="14"/>
      <c r="G419" s="14"/>
      <c r="H419" s="15"/>
    </row>
    <row r="420" spans="1:11" ht="15" customHeight="1">
      <c r="A420" s="16"/>
      <c r="B420" s="17" t="s">
        <v>2178</v>
      </c>
      <c r="C420" s="18" t="s">
        <v>2179</v>
      </c>
      <c r="D420" s="19"/>
      <c r="E420" s="20" t="s">
        <v>44</v>
      </c>
      <c r="F420" s="39">
        <f>25310*1.1</f>
        <v>27841.000000000004</v>
      </c>
      <c r="G420" s="39"/>
      <c r="H420" s="35">
        <v>0.2</v>
      </c>
      <c r="I420" s="5">
        <v>0.9073</v>
      </c>
    </row>
    <row r="421" spans="1:11" ht="15" customHeight="1">
      <c r="A421" s="16"/>
      <c r="B421" s="17" t="s">
        <v>2180</v>
      </c>
      <c r="C421" s="18" t="s">
        <v>2181</v>
      </c>
      <c r="D421" s="19"/>
      <c r="E421" s="20" t="s">
        <v>44</v>
      </c>
      <c r="F421" s="39">
        <f t="shared" ref="F421:F428" si="0">25310*1.1</f>
        <v>27841.000000000004</v>
      </c>
      <c r="G421" s="39"/>
      <c r="H421" s="35">
        <v>0.2</v>
      </c>
      <c r="I421" s="5">
        <v>1.173</v>
      </c>
      <c r="J421" s="5">
        <f>1.5*25</f>
        <v>37.5</v>
      </c>
      <c r="K421" s="5">
        <f>+J421/I421</f>
        <v>31.9693094629156</v>
      </c>
    </row>
    <row r="422" spans="1:11" ht="15" customHeight="1">
      <c r="A422" s="16"/>
      <c r="B422" s="17" t="s">
        <v>2182</v>
      </c>
      <c r="C422" s="18" t="s">
        <v>43</v>
      </c>
      <c r="D422" s="19"/>
      <c r="E422" s="20" t="s">
        <v>44</v>
      </c>
      <c r="F422" s="39">
        <f t="shared" si="0"/>
        <v>27841.000000000004</v>
      </c>
      <c r="G422" s="39"/>
      <c r="H422" s="35">
        <v>0.2</v>
      </c>
      <c r="I422" s="5">
        <v>1.484</v>
      </c>
      <c r="J422" s="5">
        <f>10*1.5</f>
        <v>15</v>
      </c>
      <c r="K422" s="5">
        <f>+J422/I422</f>
        <v>10.107816711590296</v>
      </c>
    </row>
    <row r="423" spans="1:11" ht="15" customHeight="1">
      <c r="A423" s="16"/>
      <c r="B423" s="17" t="s">
        <v>2183</v>
      </c>
      <c r="C423" s="18" t="s">
        <v>2184</v>
      </c>
      <c r="D423" s="19"/>
      <c r="E423" s="20" t="s">
        <v>44</v>
      </c>
      <c r="F423" s="39">
        <f t="shared" si="0"/>
        <v>27841.000000000004</v>
      </c>
      <c r="G423" s="39"/>
      <c r="H423" s="35">
        <v>0.2</v>
      </c>
      <c r="I423" s="5">
        <v>1.839</v>
      </c>
    </row>
    <row r="424" spans="1:11" ht="15" customHeight="1">
      <c r="A424" s="16"/>
      <c r="B424" s="17" t="s">
        <v>2185</v>
      </c>
      <c r="C424" s="18" t="s">
        <v>2186</v>
      </c>
      <c r="D424" s="19"/>
      <c r="E424" s="20" t="s">
        <v>44</v>
      </c>
      <c r="F424" s="39">
        <f t="shared" si="0"/>
        <v>27841.000000000004</v>
      </c>
      <c r="G424" s="39"/>
      <c r="H424" s="35">
        <v>0.2</v>
      </c>
      <c r="I424" s="5">
        <v>2.15</v>
      </c>
    </row>
    <row r="425" spans="1:11" ht="15" customHeight="1">
      <c r="A425" s="16"/>
      <c r="B425" s="17" t="s">
        <v>2187</v>
      </c>
      <c r="C425" s="18" t="s">
        <v>2188</v>
      </c>
      <c r="D425" s="19"/>
      <c r="E425" s="20" t="s">
        <v>44</v>
      </c>
      <c r="F425" s="39">
        <f t="shared" si="0"/>
        <v>27841.000000000004</v>
      </c>
      <c r="G425" s="39"/>
      <c r="H425" s="35">
        <v>0.2</v>
      </c>
      <c r="I425" s="5">
        <v>2.6379999999999999</v>
      </c>
    </row>
    <row r="426" spans="1:11" ht="15" customHeight="1">
      <c r="A426" s="16"/>
      <c r="B426" s="17" t="s">
        <v>2189</v>
      </c>
      <c r="C426" s="18" t="s">
        <v>2190</v>
      </c>
      <c r="D426" s="19"/>
      <c r="E426" s="20" t="s">
        <v>44</v>
      </c>
      <c r="F426" s="39">
        <f t="shared" si="0"/>
        <v>27841.000000000004</v>
      </c>
      <c r="G426" s="39"/>
      <c r="H426" s="35">
        <v>0.2</v>
      </c>
      <c r="I426" s="5">
        <f>22.851/6</f>
        <v>3.8085</v>
      </c>
    </row>
    <row r="427" spans="1:11" ht="15" customHeight="1">
      <c r="A427" s="16"/>
      <c r="B427" s="17" t="s">
        <v>2191</v>
      </c>
      <c r="C427" s="18" t="s">
        <v>2192</v>
      </c>
      <c r="D427" s="19"/>
      <c r="E427" s="20" t="s">
        <v>44</v>
      </c>
      <c r="F427" s="39">
        <f t="shared" si="0"/>
        <v>27841.000000000004</v>
      </c>
      <c r="G427" s="39"/>
      <c r="H427" s="35">
        <v>0.2</v>
      </c>
      <c r="I427" s="5">
        <f>26.799/6</f>
        <v>4.4664999999999999</v>
      </c>
    </row>
    <row r="428" spans="1:11" ht="15" customHeight="1">
      <c r="A428" s="16"/>
      <c r="B428" s="17" t="s">
        <v>2193</v>
      </c>
      <c r="C428" s="18"/>
      <c r="D428" s="19"/>
      <c r="E428" s="20" t="s">
        <v>44</v>
      </c>
      <c r="F428" s="39">
        <f t="shared" si="0"/>
        <v>27841.000000000004</v>
      </c>
      <c r="G428" s="39"/>
      <c r="H428" s="35">
        <v>0.2</v>
      </c>
    </row>
    <row r="429" spans="1:11" customFormat="1" ht="14.5">
      <c r="A429" s="12"/>
      <c r="B429" s="13"/>
      <c r="C429" s="253" t="s">
        <v>2194</v>
      </c>
      <c r="D429" s="12"/>
      <c r="E429" s="12"/>
      <c r="F429" s="14"/>
      <c r="G429" s="14"/>
      <c r="H429" s="15"/>
    </row>
    <row r="430" spans="1:11" customFormat="1" ht="14.5">
      <c r="A430" s="16"/>
      <c r="B430" s="17" t="s">
        <v>2195</v>
      </c>
      <c r="C430" s="18" t="s">
        <v>2196</v>
      </c>
      <c r="D430" s="19"/>
      <c r="E430" s="20" t="s">
        <v>35</v>
      </c>
      <c r="F430" s="34">
        <f>12727*1.1</f>
        <v>13999.7</v>
      </c>
      <c r="G430" s="34"/>
      <c r="H430" s="35">
        <v>0.8</v>
      </c>
    </row>
    <row r="431" spans="1:11" customFormat="1" ht="14.5">
      <c r="A431" s="16"/>
      <c r="B431" s="17" t="s">
        <v>2197</v>
      </c>
      <c r="C431" s="18" t="s">
        <v>2198</v>
      </c>
      <c r="D431" s="19"/>
      <c r="E431" s="20" t="s">
        <v>35</v>
      </c>
      <c r="F431" s="34">
        <f>19545*1.1</f>
        <v>21499.5</v>
      </c>
      <c r="G431" s="34"/>
      <c r="H431" s="35">
        <v>0.8</v>
      </c>
    </row>
    <row r="432" spans="1:11" customFormat="1" ht="14.5">
      <c r="A432" s="16"/>
      <c r="B432" s="17" t="s">
        <v>2199</v>
      </c>
      <c r="C432" s="18" t="s">
        <v>2200</v>
      </c>
      <c r="D432" s="19"/>
      <c r="E432" s="20" t="s">
        <v>35</v>
      </c>
      <c r="F432" s="34">
        <f>36545*1.1</f>
        <v>40199.5</v>
      </c>
      <c r="G432" s="34"/>
      <c r="H432" s="35">
        <v>0.8</v>
      </c>
    </row>
    <row r="433" spans="1:8" customFormat="1" ht="14.5">
      <c r="A433" s="16"/>
      <c r="B433" s="17" t="s">
        <v>2201</v>
      </c>
      <c r="C433" s="18" t="s">
        <v>2202</v>
      </c>
      <c r="D433" s="19"/>
      <c r="E433" s="20" t="s">
        <v>35</v>
      </c>
      <c r="F433" s="34">
        <f>165545*1.1</f>
        <v>182099.50000000003</v>
      </c>
      <c r="G433" s="34"/>
      <c r="H433" s="35">
        <v>0.8</v>
      </c>
    </row>
    <row r="434" spans="1:8" customFormat="1" ht="14.5">
      <c r="A434" s="12"/>
      <c r="B434" s="13"/>
      <c r="C434" s="253" t="s">
        <v>45</v>
      </c>
      <c r="D434" s="12"/>
      <c r="E434" s="12"/>
      <c r="F434" s="14"/>
      <c r="G434" s="14"/>
      <c r="H434" s="15"/>
    </row>
    <row r="435" spans="1:8" customFormat="1" ht="14.5">
      <c r="A435" s="16"/>
      <c r="B435" s="17" t="s">
        <v>2203</v>
      </c>
      <c r="C435" s="18" t="s">
        <v>2204</v>
      </c>
      <c r="D435" s="19"/>
      <c r="E435" s="20" t="s">
        <v>35</v>
      </c>
      <c r="F435" s="34">
        <v>26500</v>
      </c>
      <c r="G435" s="34"/>
      <c r="H435" s="35">
        <v>0.2</v>
      </c>
    </row>
    <row r="436" spans="1:8" customFormat="1" ht="14.5">
      <c r="A436" s="16"/>
      <c r="B436" s="17" t="s">
        <v>2205</v>
      </c>
      <c r="C436" s="18" t="s">
        <v>2206</v>
      </c>
      <c r="D436" s="19"/>
      <c r="E436" s="20" t="s">
        <v>35</v>
      </c>
      <c r="F436" s="34">
        <v>43200</v>
      </c>
      <c r="G436" s="34"/>
      <c r="H436" s="35">
        <v>0.2</v>
      </c>
    </row>
    <row r="437" spans="1:8" customFormat="1" ht="14.5">
      <c r="A437" s="16"/>
      <c r="B437" s="17" t="s">
        <v>2207</v>
      </c>
      <c r="C437" s="18" t="s">
        <v>2208</v>
      </c>
      <c r="D437" s="19"/>
      <c r="E437" s="20" t="s">
        <v>35</v>
      </c>
      <c r="F437" s="34">
        <v>58700</v>
      </c>
      <c r="G437" s="34"/>
      <c r="H437" s="35">
        <v>0.2</v>
      </c>
    </row>
    <row r="438" spans="1:8" customFormat="1" ht="14.5">
      <c r="A438" s="16"/>
      <c r="B438" s="17" t="s">
        <v>2209</v>
      </c>
      <c r="C438" s="18" t="s">
        <v>2210</v>
      </c>
      <c r="D438" s="19"/>
      <c r="E438" s="20" t="s">
        <v>35</v>
      </c>
      <c r="F438" s="34">
        <v>89200</v>
      </c>
      <c r="G438" s="34"/>
      <c r="H438" s="35">
        <v>0.2</v>
      </c>
    </row>
    <row r="439" spans="1:8" customFormat="1" ht="14.5">
      <c r="A439" s="16"/>
      <c r="B439" s="17" t="s">
        <v>2211</v>
      </c>
      <c r="C439" s="18" t="s">
        <v>2212</v>
      </c>
      <c r="D439" s="19"/>
      <c r="E439" s="20" t="s">
        <v>35</v>
      </c>
      <c r="F439" s="34">
        <v>312800</v>
      </c>
      <c r="G439" s="34"/>
      <c r="H439" s="35">
        <v>0.2</v>
      </c>
    </row>
    <row r="440" spans="1:8" customFormat="1" ht="14.5">
      <c r="A440" s="16"/>
      <c r="B440" s="17" t="s">
        <v>2213</v>
      </c>
      <c r="C440" s="18" t="s">
        <v>2214</v>
      </c>
      <c r="D440" s="19"/>
      <c r="E440" s="20" t="s">
        <v>35</v>
      </c>
      <c r="F440" s="34">
        <v>423200</v>
      </c>
      <c r="G440" s="34"/>
      <c r="H440" s="35">
        <v>0.2</v>
      </c>
    </row>
    <row r="441" spans="1:8" customFormat="1" ht="14.5">
      <c r="A441" s="16"/>
      <c r="B441" s="17" t="s">
        <v>2215</v>
      </c>
      <c r="C441" s="18" t="s">
        <v>2216</v>
      </c>
      <c r="D441" s="19"/>
      <c r="E441" s="20" t="s">
        <v>35</v>
      </c>
      <c r="F441" s="34">
        <v>81010</v>
      </c>
      <c r="G441" s="34"/>
      <c r="H441" s="35">
        <v>0.2</v>
      </c>
    </row>
    <row r="442" spans="1:8" customFormat="1" ht="14.5">
      <c r="A442" s="16"/>
      <c r="B442" s="17" t="s">
        <v>2217</v>
      </c>
      <c r="C442" s="18" t="s">
        <v>2218</v>
      </c>
      <c r="D442" s="19"/>
      <c r="E442" s="20" t="s">
        <v>35</v>
      </c>
      <c r="F442" s="34">
        <v>81010</v>
      </c>
      <c r="G442" s="34"/>
      <c r="H442" s="35">
        <v>0.2</v>
      </c>
    </row>
    <row r="443" spans="1:8" customFormat="1" ht="14.5">
      <c r="A443" s="12"/>
      <c r="B443" s="13"/>
      <c r="C443" s="253" t="s">
        <v>2219</v>
      </c>
      <c r="D443" s="12"/>
      <c r="E443" s="12"/>
      <c r="F443" s="14"/>
      <c r="G443" s="14"/>
      <c r="H443" s="15"/>
    </row>
    <row r="444" spans="1:8" customFormat="1" ht="21">
      <c r="A444" s="16"/>
      <c r="B444" s="17" t="s">
        <v>2220</v>
      </c>
      <c r="C444" s="18" t="s">
        <v>2221</v>
      </c>
      <c r="D444" s="19"/>
      <c r="E444" s="20" t="s">
        <v>31</v>
      </c>
      <c r="F444" s="34">
        <f>3195000*1.1/2</f>
        <v>1757250.0000000002</v>
      </c>
      <c r="G444" s="34">
        <v>25</v>
      </c>
      <c r="H444" s="35">
        <v>0.8</v>
      </c>
    </row>
    <row r="445" spans="1:8" customFormat="1" ht="14.5">
      <c r="A445" s="16"/>
      <c r="B445" s="17" t="s">
        <v>2222</v>
      </c>
      <c r="C445" s="18" t="s">
        <v>2223</v>
      </c>
      <c r="D445" s="19"/>
      <c r="E445" s="20" t="s">
        <v>31</v>
      </c>
      <c r="F445" s="34">
        <f>123636*1.1</f>
        <v>135999.6</v>
      </c>
      <c r="G445" s="34"/>
      <c r="H445" s="35">
        <v>0.8</v>
      </c>
    </row>
    <row r="446" spans="1:8" customFormat="1" ht="14.5">
      <c r="A446" s="16"/>
      <c r="B446" s="17" t="s">
        <v>2224</v>
      </c>
      <c r="C446" s="18" t="s">
        <v>2224</v>
      </c>
      <c r="D446" s="19"/>
      <c r="E446" s="20" t="s">
        <v>44</v>
      </c>
      <c r="F446" s="34">
        <f>14520*1.1</f>
        <v>15972.000000000002</v>
      </c>
      <c r="G446" s="34">
        <v>10</v>
      </c>
      <c r="H446" s="35">
        <v>0.8</v>
      </c>
    </row>
    <row r="447" spans="1:8" customFormat="1" ht="14.5">
      <c r="A447" s="12"/>
      <c r="B447" s="256" t="s">
        <v>2225</v>
      </c>
      <c r="C447" s="253" t="s">
        <v>2226</v>
      </c>
      <c r="D447" s="12"/>
      <c r="E447" s="12"/>
      <c r="F447" s="14"/>
      <c r="G447" s="14"/>
      <c r="H447" s="15"/>
    </row>
    <row r="448" spans="1:8" customFormat="1" ht="14.5">
      <c r="A448" s="16"/>
      <c r="B448" s="17" t="s">
        <v>2227</v>
      </c>
      <c r="C448" s="18" t="s">
        <v>2228</v>
      </c>
      <c r="D448" s="19"/>
      <c r="E448" s="20" t="s">
        <v>35</v>
      </c>
      <c r="F448" s="34">
        <f>283000*1.1</f>
        <v>311300</v>
      </c>
      <c r="G448" s="34"/>
      <c r="H448" s="35">
        <v>0.8</v>
      </c>
    </row>
    <row r="449" spans="1:8" customFormat="1" ht="14.5">
      <c r="A449" s="16"/>
      <c r="B449" s="17" t="s">
        <v>2229</v>
      </c>
      <c r="C449" s="18" t="s">
        <v>2230</v>
      </c>
      <c r="D449" s="19"/>
      <c r="E449" s="20" t="s">
        <v>35</v>
      </c>
      <c r="F449" s="34">
        <f>313000*1.1</f>
        <v>344300</v>
      </c>
      <c r="G449" s="34"/>
      <c r="H449" s="35">
        <v>0.8</v>
      </c>
    </row>
    <row r="450" spans="1:8" customFormat="1" ht="14.5">
      <c r="A450" s="16"/>
      <c r="B450" s="17" t="s">
        <v>2231</v>
      </c>
      <c r="C450" s="18" t="s">
        <v>2232</v>
      </c>
      <c r="D450" s="19"/>
      <c r="E450" s="20" t="s">
        <v>35</v>
      </c>
      <c r="F450" s="34">
        <f>467000*1.1</f>
        <v>513700.00000000006</v>
      </c>
      <c r="G450" s="34"/>
      <c r="H450" s="35">
        <v>0.8</v>
      </c>
    </row>
    <row r="451" spans="1:8" customFormat="1" ht="14.5">
      <c r="A451" s="16"/>
      <c r="B451" s="17" t="s">
        <v>2233</v>
      </c>
      <c r="C451" s="18" t="s">
        <v>2234</v>
      </c>
      <c r="D451" s="19"/>
      <c r="E451" s="20" t="s">
        <v>35</v>
      </c>
      <c r="F451" s="34">
        <f>533000*1.1</f>
        <v>586300</v>
      </c>
      <c r="G451" s="34"/>
      <c r="H451" s="35">
        <v>0.8</v>
      </c>
    </row>
    <row r="452" spans="1:8" customFormat="1" ht="14.5">
      <c r="A452" s="16"/>
      <c r="B452" s="17" t="s">
        <v>2235</v>
      </c>
      <c r="C452" s="18" t="s">
        <v>2236</v>
      </c>
      <c r="D452" s="19"/>
      <c r="E452" s="20" t="s">
        <v>35</v>
      </c>
      <c r="F452" s="34">
        <f>978000*1.1</f>
        <v>1075800</v>
      </c>
      <c r="G452" s="34"/>
      <c r="H452" s="35">
        <v>0.8</v>
      </c>
    </row>
    <row r="453" spans="1:8" customFormat="1" ht="14.5">
      <c r="A453" s="16"/>
      <c r="B453" s="17" t="s">
        <v>2237</v>
      </c>
      <c r="C453" s="18" t="s">
        <v>2238</v>
      </c>
      <c r="D453" s="19"/>
      <c r="E453" s="20" t="s">
        <v>35</v>
      </c>
      <c r="F453" s="34">
        <f>1329000*1.1</f>
        <v>1461900.0000000002</v>
      </c>
      <c r="G453" s="34"/>
      <c r="H453" s="35">
        <v>0.8</v>
      </c>
    </row>
    <row r="454" spans="1:8" customFormat="1" ht="14.5">
      <c r="A454" s="16"/>
      <c r="B454" s="17" t="s">
        <v>2239</v>
      </c>
      <c r="C454" s="18" t="s">
        <v>2240</v>
      </c>
      <c r="D454" s="19"/>
      <c r="E454" s="20" t="s">
        <v>35</v>
      </c>
      <c r="F454" s="34">
        <f>2074000*1.1</f>
        <v>2281400</v>
      </c>
      <c r="G454" s="34"/>
      <c r="H454" s="35">
        <v>0.8</v>
      </c>
    </row>
    <row r="455" spans="1:8">
      <c r="C455" s="40"/>
      <c r="D455" s="41"/>
      <c r="E455" s="42"/>
      <c r="F455" s="43"/>
      <c r="G455" s="43"/>
      <c r="H455" s="44"/>
    </row>
    <row r="456" spans="1:8">
      <c r="C456" s="40"/>
      <c r="D456" s="41"/>
      <c r="E456" s="42"/>
      <c r="F456" s="43"/>
      <c r="G456" s="43"/>
      <c r="H456" s="44"/>
    </row>
    <row r="457" spans="1:8">
      <c r="C457" s="40"/>
      <c r="D457" s="41"/>
      <c r="E457" s="42"/>
      <c r="F457" s="43"/>
      <c r="G457" s="43"/>
      <c r="H457" s="44"/>
    </row>
    <row r="458" spans="1:8">
      <c r="C458" s="40"/>
      <c r="D458" s="41"/>
      <c r="E458" s="42"/>
      <c r="F458" s="43"/>
      <c r="G458" s="43"/>
      <c r="H458" s="44"/>
    </row>
    <row r="459" spans="1:8">
      <c r="C459" s="40"/>
      <c r="D459" s="41"/>
      <c r="E459" s="42"/>
      <c r="F459" s="43"/>
      <c r="G459" s="43"/>
      <c r="H459" s="44"/>
    </row>
    <row r="460" spans="1:8">
      <c r="C460" s="40"/>
      <c r="D460" s="41"/>
      <c r="E460" s="42"/>
      <c r="F460" s="43"/>
      <c r="G460" s="43"/>
      <c r="H460" s="44"/>
    </row>
    <row r="461" spans="1:8">
      <c r="C461" s="40"/>
      <c r="D461" s="41"/>
      <c r="E461" s="42"/>
      <c r="F461" s="43"/>
      <c r="G461" s="43"/>
      <c r="H461" s="44"/>
    </row>
    <row r="462" spans="1:8">
      <c r="C462" s="40"/>
      <c r="D462" s="41"/>
      <c r="E462" s="42"/>
      <c r="F462" s="43"/>
      <c r="G462" s="43"/>
      <c r="H462" s="44"/>
    </row>
    <row r="463" spans="1:8">
      <c r="C463" s="40"/>
      <c r="D463" s="41"/>
      <c r="E463" s="42"/>
      <c r="F463" s="43"/>
      <c r="G463" s="43"/>
      <c r="H463" s="44"/>
    </row>
    <row r="464" spans="1:8">
      <c r="C464" s="40"/>
      <c r="D464" s="41"/>
      <c r="E464" s="42"/>
      <c r="F464" s="43"/>
      <c r="G464" s="43"/>
      <c r="H464" s="44"/>
    </row>
    <row r="465" spans="3:8">
      <c r="C465" s="40"/>
      <c r="D465" s="41"/>
      <c r="E465" s="42"/>
      <c r="F465" s="43"/>
      <c r="G465" s="43"/>
      <c r="H465" s="44"/>
    </row>
    <row r="466" spans="3:8">
      <c r="C466" s="40"/>
      <c r="D466" s="41"/>
      <c r="E466" s="42"/>
      <c r="F466" s="43"/>
      <c r="G466" s="43"/>
      <c r="H466" s="44"/>
    </row>
    <row r="467" spans="3:8">
      <c r="C467" s="40"/>
      <c r="D467" s="41"/>
      <c r="E467" s="42"/>
      <c r="F467" s="43"/>
      <c r="G467" s="43"/>
      <c r="H467" s="44"/>
    </row>
    <row r="468" spans="3:8">
      <c r="C468" s="40"/>
      <c r="D468" s="41"/>
      <c r="E468" s="42"/>
      <c r="F468" s="43"/>
      <c r="G468" s="43"/>
      <c r="H468" s="44"/>
    </row>
    <row r="469" spans="3:8">
      <c r="C469" s="40"/>
      <c r="D469" s="41"/>
      <c r="E469" s="42"/>
      <c r="F469" s="43"/>
      <c r="G469" s="43"/>
      <c r="H469" s="44"/>
    </row>
    <row r="470" spans="3:8">
      <c r="C470" s="40"/>
      <c r="D470" s="41"/>
      <c r="E470" s="42"/>
      <c r="F470" s="43"/>
      <c r="G470" s="43"/>
      <c r="H470" s="44"/>
    </row>
    <row r="471" spans="3:8">
      <c r="C471" s="40"/>
      <c r="D471" s="41"/>
      <c r="E471" s="42"/>
      <c r="F471" s="43"/>
      <c r="G471" s="43"/>
      <c r="H471" s="44"/>
    </row>
    <row r="472" spans="3:8">
      <c r="C472" s="40"/>
      <c r="D472" s="41"/>
      <c r="E472" s="42"/>
      <c r="F472" s="43"/>
      <c r="G472" s="43"/>
      <c r="H472" s="44"/>
    </row>
    <row r="473" spans="3:8">
      <c r="C473" s="40"/>
      <c r="D473" s="41"/>
      <c r="E473" s="42"/>
      <c r="F473" s="43"/>
      <c r="G473" s="43"/>
      <c r="H473" s="44"/>
    </row>
    <row r="474" spans="3:8">
      <c r="C474" s="40"/>
      <c r="D474" s="41"/>
      <c r="E474" s="42"/>
      <c r="F474" s="43"/>
      <c r="G474" s="43"/>
      <c r="H474" s="44"/>
    </row>
    <row r="475" spans="3:8">
      <c r="C475" s="40"/>
      <c r="D475" s="41"/>
      <c r="E475" s="42"/>
      <c r="F475" s="43"/>
      <c r="G475" s="43"/>
      <c r="H475" s="44"/>
    </row>
    <row r="476" spans="3:8">
      <c r="C476" s="40"/>
      <c r="D476" s="41"/>
      <c r="E476" s="42"/>
      <c r="F476" s="43"/>
      <c r="G476" s="43"/>
      <c r="H476" s="44"/>
    </row>
    <row r="477" spans="3:8">
      <c r="C477" s="40"/>
      <c r="D477" s="41"/>
      <c r="E477" s="42"/>
      <c r="F477" s="43"/>
      <c r="G477" s="43"/>
      <c r="H477" s="44"/>
    </row>
    <row r="478" spans="3:8">
      <c r="C478" s="40"/>
      <c r="D478" s="41"/>
      <c r="E478" s="42"/>
      <c r="F478" s="43"/>
      <c r="G478" s="43"/>
      <c r="H478" s="44"/>
    </row>
    <row r="479" spans="3:8">
      <c r="C479" s="40"/>
      <c r="D479" s="41"/>
      <c r="E479" s="42"/>
      <c r="F479" s="43"/>
      <c r="G479" s="43"/>
      <c r="H479" s="44"/>
    </row>
    <row r="480" spans="3:8">
      <c r="C480" s="40"/>
      <c r="D480" s="41"/>
      <c r="E480" s="42"/>
      <c r="F480" s="43"/>
      <c r="G480" s="43"/>
      <c r="H480" s="44"/>
    </row>
    <row r="481" spans="3:8">
      <c r="C481" s="40"/>
      <c r="D481" s="41"/>
      <c r="E481" s="42"/>
      <c r="F481" s="43"/>
      <c r="G481" s="43"/>
      <c r="H481" s="44"/>
    </row>
    <row r="482" spans="3:8">
      <c r="C482" s="40"/>
      <c r="D482" s="41"/>
      <c r="E482" s="42"/>
      <c r="F482" s="43"/>
      <c r="G482" s="43"/>
      <c r="H482" s="44"/>
    </row>
    <row r="483" spans="3:8">
      <c r="C483" s="40"/>
      <c r="D483" s="41"/>
      <c r="E483" s="42"/>
      <c r="F483" s="43"/>
      <c r="G483" s="43"/>
      <c r="H483" s="44"/>
    </row>
    <row r="484" spans="3:8">
      <c r="C484" s="40"/>
      <c r="D484" s="41"/>
      <c r="E484" s="42"/>
      <c r="F484" s="43"/>
      <c r="G484" s="43"/>
      <c r="H484" s="44"/>
    </row>
    <row r="485" spans="3:8">
      <c r="C485" s="40"/>
      <c r="D485" s="41"/>
      <c r="E485" s="42"/>
      <c r="F485" s="43"/>
      <c r="G485" s="43"/>
      <c r="H485" s="44"/>
    </row>
    <row r="486" spans="3:8">
      <c r="C486" s="40"/>
      <c r="D486" s="41"/>
      <c r="E486" s="42"/>
      <c r="F486" s="43"/>
      <c r="G486" s="43"/>
      <c r="H486" s="44"/>
    </row>
    <row r="487" spans="3:8">
      <c r="C487" s="40"/>
      <c r="D487" s="41"/>
      <c r="E487" s="42"/>
      <c r="F487" s="43"/>
      <c r="G487" s="43"/>
      <c r="H487" s="44"/>
    </row>
    <row r="488" spans="3:8">
      <c r="C488" s="40"/>
      <c r="D488" s="41"/>
      <c r="E488" s="42"/>
      <c r="F488" s="43"/>
      <c r="G488" s="43"/>
      <c r="H488" s="44"/>
    </row>
    <row r="489" spans="3:8">
      <c r="C489" s="40"/>
      <c r="D489" s="41"/>
      <c r="E489" s="42"/>
      <c r="F489" s="43"/>
      <c r="G489" s="43"/>
      <c r="H489" s="44"/>
    </row>
    <row r="490" spans="3:8">
      <c r="C490" s="40"/>
      <c r="D490" s="41"/>
      <c r="E490" s="42"/>
      <c r="F490" s="43"/>
      <c r="G490" s="43"/>
      <c r="H490" s="44"/>
    </row>
    <row r="491" spans="3:8">
      <c r="C491" s="40"/>
      <c r="D491" s="41"/>
      <c r="E491" s="42"/>
      <c r="F491" s="43"/>
      <c r="G491" s="43"/>
      <c r="H491" s="44"/>
    </row>
    <row r="492" spans="3:8">
      <c r="C492" s="40"/>
      <c r="D492" s="41"/>
      <c r="E492" s="42"/>
      <c r="F492" s="43"/>
      <c r="G492" s="43"/>
      <c r="H492" s="44"/>
    </row>
    <row r="493" spans="3:8">
      <c r="C493" s="40"/>
      <c r="D493" s="41"/>
      <c r="E493" s="42"/>
      <c r="F493" s="43"/>
      <c r="G493" s="43"/>
      <c r="H493" s="44"/>
    </row>
    <row r="494" spans="3:8">
      <c r="C494" s="40"/>
      <c r="D494" s="41"/>
      <c r="E494" s="42"/>
      <c r="F494" s="43"/>
      <c r="G494" s="43"/>
      <c r="H494" s="44"/>
    </row>
    <row r="495" spans="3:8">
      <c r="C495" s="40"/>
      <c r="D495" s="41"/>
      <c r="E495" s="42"/>
      <c r="F495" s="43"/>
      <c r="G495" s="43"/>
      <c r="H495" s="44"/>
    </row>
    <row r="496" spans="3:8">
      <c r="C496" s="40"/>
      <c r="D496" s="41"/>
      <c r="E496" s="42"/>
      <c r="F496" s="43"/>
      <c r="G496" s="43"/>
      <c r="H496" s="44"/>
    </row>
    <row r="497" spans="3:8">
      <c r="C497" s="40"/>
      <c r="D497" s="41"/>
      <c r="E497" s="42"/>
      <c r="F497" s="43"/>
      <c r="G497" s="43"/>
      <c r="H497" s="44"/>
    </row>
    <row r="498" spans="3:8">
      <c r="C498" s="40"/>
      <c r="D498" s="41"/>
      <c r="E498" s="42"/>
      <c r="F498" s="43"/>
      <c r="G498" s="43"/>
      <c r="H498" s="44"/>
    </row>
    <row r="499" spans="3:8">
      <c r="C499" s="40"/>
      <c r="D499" s="41"/>
      <c r="E499" s="42"/>
      <c r="F499" s="43"/>
      <c r="G499" s="43"/>
      <c r="H499" s="44"/>
    </row>
    <row r="500" spans="3:8">
      <c r="C500" s="40"/>
      <c r="D500" s="41"/>
      <c r="E500" s="42"/>
      <c r="F500" s="43"/>
      <c r="G500" s="43"/>
      <c r="H500" s="44"/>
    </row>
    <row r="501" spans="3:8">
      <c r="C501" s="40"/>
      <c r="D501" s="41"/>
      <c r="E501" s="42"/>
      <c r="F501" s="43"/>
      <c r="G501" s="43"/>
      <c r="H501" s="44"/>
    </row>
    <row r="502" spans="3:8">
      <c r="C502" s="40"/>
      <c r="D502" s="41"/>
      <c r="E502" s="42"/>
      <c r="F502" s="43"/>
      <c r="G502" s="43"/>
      <c r="H502" s="44"/>
    </row>
    <row r="503" spans="3:8">
      <c r="C503" s="40"/>
      <c r="D503" s="41"/>
      <c r="E503" s="42"/>
      <c r="F503" s="43"/>
      <c r="G503" s="43"/>
      <c r="H503" s="44"/>
    </row>
    <row r="504" spans="3:8">
      <c r="C504" s="40"/>
      <c r="D504" s="41"/>
      <c r="E504" s="42"/>
      <c r="F504" s="43"/>
      <c r="G504" s="43"/>
      <c r="H504" s="44"/>
    </row>
    <row r="505" spans="3:8">
      <c r="C505" s="40"/>
      <c r="D505" s="41"/>
      <c r="E505" s="42"/>
      <c r="F505" s="43"/>
      <c r="G505" s="43"/>
      <c r="H505" s="44"/>
    </row>
    <row r="506" spans="3:8">
      <c r="C506" s="40"/>
      <c r="D506" s="41"/>
      <c r="E506" s="42"/>
      <c r="F506" s="43"/>
      <c r="G506" s="43"/>
      <c r="H506" s="44"/>
    </row>
    <row r="507" spans="3:8">
      <c r="C507" s="40"/>
      <c r="D507" s="41"/>
      <c r="E507" s="42"/>
      <c r="F507" s="43"/>
      <c r="G507" s="43"/>
      <c r="H507" s="44"/>
    </row>
    <row r="508" spans="3:8">
      <c r="D508" s="45"/>
      <c r="F508" s="46"/>
      <c r="G508" s="46"/>
    </row>
    <row r="509" spans="3:8">
      <c r="D509" s="45"/>
      <c r="F509" s="46"/>
      <c r="G509" s="46"/>
    </row>
    <row r="510" spans="3:8">
      <c r="D510" s="45"/>
      <c r="F510" s="46"/>
      <c r="G510" s="46"/>
    </row>
    <row r="511" spans="3:8">
      <c r="D511" s="45"/>
      <c r="F511" s="46"/>
      <c r="G511" s="46"/>
    </row>
    <row r="512" spans="3:8">
      <c r="D512" s="45"/>
      <c r="F512" s="46"/>
      <c r="G512" s="46"/>
    </row>
    <row r="513" spans="1:9">
      <c r="D513" s="45"/>
      <c r="F513" s="46"/>
      <c r="G513" s="46"/>
    </row>
    <row r="514" spans="1:9">
      <c r="D514" s="45"/>
      <c r="F514" s="46"/>
      <c r="G514" s="46"/>
    </row>
    <row r="515" spans="1:9">
      <c r="D515" s="45"/>
      <c r="F515" s="46"/>
      <c r="G515" s="46"/>
    </row>
    <row r="516" spans="1:9">
      <c r="D516" s="45"/>
      <c r="F516" s="46"/>
      <c r="G516" s="46"/>
    </row>
    <row r="517" spans="1:9">
      <c r="D517" s="45"/>
      <c r="F517" s="46"/>
      <c r="G517" s="46"/>
    </row>
    <row r="518" spans="1:9">
      <c r="D518" s="45"/>
      <c r="F518" s="46"/>
      <c r="G518" s="46"/>
    </row>
    <row r="519" spans="1:9">
      <c r="D519" s="45"/>
      <c r="F519" s="46"/>
      <c r="G519" s="46"/>
    </row>
    <row r="520" spans="1:9" s="2" customFormat="1">
      <c r="A520" s="3"/>
      <c r="B520" s="4"/>
      <c r="C520" s="5"/>
      <c r="D520" s="45"/>
      <c r="E520" s="6"/>
      <c r="F520" s="46"/>
      <c r="G520" s="46"/>
      <c r="I520" s="5"/>
    </row>
    <row r="521" spans="1:9" s="2" customFormat="1">
      <c r="A521" s="3"/>
      <c r="B521" s="4"/>
      <c r="C521" s="5"/>
      <c r="D521" s="45"/>
      <c r="E521" s="6"/>
      <c r="F521" s="46"/>
      <c r="G521" s="46"/>
      <c r="I521" s="5"/>
    </row>
    <row r="522" spans="1:9" s="2" customFormat="1">
      <c r="A522" s="3"/>
      <c r="B522" s="4"/>
      <c r="C522" s="5"/>
      <c r="D522" s="45"/>
      <c r="E522" s="6"/>
      <c r="F522" s="46"/>
      <c r="G522" s="46"/>
      <c r="I522" s="5"/>
    </row>
    <row r="523" spans="1:9" s="2" customFormat="1">
      <c r="A523" s="3"/>
      <c r="B523" s="4"/>
      <c r="C523" s="5"/>
      <c r="D523" s="45"/>
      <c r="E523" s="6"/>
      <c r="F523" s="46"/>
      <c r="G523" s="46"/>
      <c r="I523" s="5"/>
    </row>
    <row r="524" spans="1:9" s="2" customFormat="1">
      <c r="A524" s="3"/>
      <c r="B524" s="4"/>
      <c r="C524" s="5"/>
      <c r="D524" s="45"/>
      <c r="E524" s="6"/>
      <c r="F524" s="46"/>
      <c r="G524" s="46"/>
      <c r="I524" s="5"/>
    </row>
    <row r="525" spans="1:9" s="2" customFormat="1">
      <c r="A525" s="3"/>
      <c r="B525" s="4"/>
      <c r="C525" s="5"/>
      <c r="D525" s="45"/>
      <c r="E525" s="6"/>
      <c r="F525" s="46"/>
      <c r="G525" s="46"/>
      <c r="I525" s="5"/>
    </row>
    <row r="526" spans="1:9" s="2" customFormat="1">
      <c r="A526" s="3"/>
      <c r="B526" s="4"/>
      <c r="C526" s="5"/>
      <c r="D526" s="45"/>
      <c r="E526" s="6"/>
      <c r="F526" s="46"/>
      <c r="G526" s="46"/>
      <c r="I526" s="5"/>
    </row>
    <row r="527" spans="1:9" s="2" customFormat="1">
      <c r="A527" s="3"/>
      <c r="B527" s="4"/>
      <c r="C527" s="5"/>
      <c r="D527" s="45"/>
      <c r="E527" s="6"/>
      <c r="F527" s="46"/>
      <c r="G527" s="46"/>
      <c r="I527" s="5"/>
    </row>
    <row r="528" spans="1:9" s="2" customFormat="1">
      <c r="A528" s="3"/>
      <c r="B528" s="4"/>
      <c r="C528" s="5"/>
      <c r="D528" s="45"/>
      <c r="E528" s="6"/>
      <c r="F528" s="46"/>
      <c r="G528" s="46"/>
      <c r="I528" s="5"/>
    </row>
    <row r="529" spans="1:9" s="2" customFormat="1">
      <c r="A529" s="3"/>
      <c r="B529" s="4"/>
      <c r="C529" s="5"/>
      <c r="D529" s="45"/>
      <c r="E529" s="6"/>
      <c r="F529" s="46"/>
      <c r="G529" s="46"/>
      <c r="I529" s="5"/>
    </row>
    <row r="530" spans="1:9" s="2" customFormat="1">
      <c r="A530" s="3"/>
      <c r="B530" s="4"/>
      <c r="C530" s="5"/>
      <c r="D530" s="45"/>
      <c r="E530" s="6"/>
      <c r="F530" s="46"/>
      <c r="G530" s="46"/>
      <c r="I530" s="5"/>
    </row>
    <row r="531" spans="1:9" s="2" customFormat="1">
      <c r="A531" s="3"/>
      <c r="B531" s="4"/>
      <c r="C531" s="5"/>
      <c r="D531" s="45"/>
      <c r="E531" s="6"/>
      <c r="F531" s="46"/>
      <c r="G531" s="46"/>
      <c r="I531" s="5"/>
    </row>
    <row r="532" spans="1:9" s="2" customFormat="1">
      <c r="A532" s="3"/>
      <c r="B532" s="4"/>
      <c r="C532" s="5"/>
      <c r="D532" s="45"/>
      <c r="E532" s="6"/>
      <c r="F532" s="46"/>
      <c r="G532" s="46"/>
      <c r="I532" s="5"/>
    </row>
    <row r="533" spans="1:9" s="2" customFormat="1">
      <c r="A533" s="3"/>
      <c r="B533" s="4"/>
      <c r="C533" s="5"/>
      <c r="D533" s="45"/>
      <c r="E533" s="6"/>
      <c r="F533" s="46"/>
      <c r="G533" s="46"/>
      <c r="I533" s="5"/>
    </row>
    <row r="534" spans="1:9" s="2" customFormat="1">
      <c r="A534" s="3"/>
      <c r="B534" s="4"/>
      <c r="C534" s="5"/>
      <c r="D534" s="45"/>
      <c r="E534" s="6"/>
      <c r="F534" s="46"/>
      <c r="G534" s="46"/>
      <c r="I534" s="5"/>
    </row>
    <row r="535" spans="1:9" s="2" customFormat="1">
      <c r="A535" s="3"/>
      <c r="B535" s="4"/>
      <c r="C535" s="5"/>
      <c r="D535" s="45"/>
      <c r="E535" s="6"/>
      <c r="F535" s="46"/>
      <c r="G535" s="46"/>
      <c r="I535" s="5"/>
    </row>
    <row r="536" spans="1:9" s="2" customFormat="1">
      <c r="A536" s="3"/>
      <c r="B536" s="4"/>
      <c r="C536" s="5"/>
      <c r="D536" s="45"/>
      <c r="E536" s="6"/>
      <c r="F536" s="46"/>
      <c r="G536" s="46"/>
      <c r="I536" s="5"/>
    </row>
    <row r="537" spans="1:9" s="2" customFormat="1">
      <c r="A537" s="3"/>
      <c r="B537" s="4"/>
      <c r="C537" s="5"/>
      <c r="D537" s="45"/>
      <c r="E537" s="6"/>
      <c r="F537" s="46"/>
      <c r="G537" s="46"/>
      <c r="I537" s="5"/>
    </row>
  </sheetData>
  <autoFilter ref="C1:C537" xr:uid="{00000000-0009-0000-0000-000003000000}"/>
  <mergeCells count="1">
    <mergeCell ref="A1:H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Thôn V</vt:lpstr>
      <vt:lpstr>DL. Cây  (2)</vt:lpstr>
      <vt:lpstr>DL. Cây </vt:lpstr>
      <vt:lpstr>DL. VKT </vt:lpstr>
      <vt:lpstr>'DL. Cây '!BDL.CÂY</vt:lpstr>
      <vt:lpstr>'DL. Cây  (2)'!BDL.CÂY</vt:lpstr>
      <vt:lpstr>'DL. VKT '!BDL.VKT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Đức Việt Nguyễn</cp:lastModifiedBy>
  <cp:lastPrinted>2025-10-08T09:14:00Z</cp:lastPrinted>
  <dcterms:created xsi:type="dcterms:W3CDTF">2025-08-11T01:25:00Z</dcterms:created>
  <dcterms:modified xsi:type="dcterms:W3CDTF">2026-10-23T11:44:54Z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C55EA70660644001AA6CA093ED656CAA_12</vt:lpwstr>
  </property>
  <property fmtid="{D5CDD505-2E9C-101B-9397-08002B2CF9AE}" pid="3" name="KSOProductBuildVer">
    <vt:lpwstr>1033-12.1.0.25242</vt:lpwstr>
  </property>
  <property fmtid="{D5CDD505-2E9C-101B-9397-08002B2CF9AE}" pid="4" name="CalculationRule">
    <vt:i4>0</vt:i4>
  </property>
</Properties>
</file>